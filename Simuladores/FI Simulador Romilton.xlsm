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8.xml" ContentType="application/vnd.openxmlformats-officedocument.drawing+xml"/>
  <Override PartName="/xl/comments4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Drives compartilhados\Pontte Crédito\0_FINANCIAMENTO\0_Análises\Romilton Cioletti - 456804238\"/>
    </mc:Choice>
  </mc:AlternateContent>
  <xr:revisionPtr revIDLastSave="0" documentId="13_ncr:1_{FAC5EC4D-4C88-4DB4-AD06-533A8F2638D1}" xr6:coauthVersionLast="47" xr6:coauthVersionMax="47" xr10:uidLastSave="{00000000-0000-0000-0000-000000000000}"/>
  <bookViews>
    <workbookView xWindow="-108" yWindow="-108" windowWidth="23256" windowHeight="12576" firstSheet="1" activeTab="4" xr2:uid="{00000000-000D-0000-FFFF-FFFF00000000}"/>
  </bookViews>
  <sheets>
    <sheet name="Graficos" sheetId="19" state="hidden" r:id="rId1"/>
    <sheet name="Sim_SAC" sheetId="23" r:id="rId2"/>
    <sheet name="Sim_PRICE" sheetId="21" r:id="rId3"/>
    <sheet name="Contrato" sheetId="18" r:id="rId4"/>
    <sheet name="Simulador PDF" sheetId="17" r:id="rId5"/>
    <sheet name="Resumo" sheetId="1" r:id="rId6"/>
    <sheet name="RENDA" sheetId="24" r:id="rId7"/>
    <sheet name="Avaliacao" sheetId="25" r:id="rId8"/>
    <sheet name="Rating" sheetId="16" r:id="rId9"/>
    <sheet name="Relatório" sheetId="20" r:id="rId10"/>
    <sheet name="Registros" sheetId="7" state="hidden" r:id="rId11"/>
    <sheet name="Sheet2" sheetId="11" r:id="rId12"/>
  </sheets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</externalReferences>
  <definedNames>
    <definedName name="__123Graph_A" localSheetId="7" hidden="1">[1]Assumptions!#REF!</definedName>
    <definedName name="__123Graph_A" hidden="1">[2]Assumptions!#REF!</definedName>
    <definedName name="ABN" localSheetId="7" hidden="1">{#N/A,#N/A,FALSE,"Plan1";#N/A,#N/A,FALSE,"Plan2"}</definedName>
    <definedName name="ABN" localSheetId="6" hidden="1">{#N/A,#N/A,FALSE,"Plan1";#N/A,#N/A,FALSE,"Plan2"}</definedName>
    <definedName name="ABN" hidden="1">{#N/A,#N/A,FALSE,"Plan1";#N/A,#N/A,FALSE,"Plan2"}</definedName>
    <definedName name="ACwvu.PLANILHA2." localSheetId="7" hidden="1">#REF!</definedName>
    <definedName name="ACwvu.PLANILHA2." hidden="1">#REF!</definedName>
    <definedName name="AM_1" localSheetId="7">[3]FUNDO!#REF!</definedName>
    <definedName name="AM_1">[4]FUNDO!#REF!</definedName>
    <definedName name="AM_2" localSheetId="7">[3]FUNDO!#REF!</definedName>
    <definedName name="AM_2">[4]FUNDO!#REF!</definedName>
    <definedName name="AM_3" localSheetId="7">[3]FUNDO!#REF!</definedName>
    <definedName name="AM_3">[4]FUNDO!#REF!</definedName>
    <definedName name="AMOR" localSheetId="7">[5]COMERCIAL!#REF!</definedName>
    <definedName name="AMOR">[6]COMERCIAL!#REF!</definedName>
    <definedName name="ANDRE">TRUE</definedName>
    <definedName name="area" localSheetId="7" hidden="1">{#N/A,#N/A,FALSE,"Plan1";#N/A,#N/A,FALSE,"Plan2"}</definedName>
    <definedName name="area" localSheetId="6" hidden="1">{#N/A,#N/A,FALSE,"Plan1";#N/A,#N/A,FALSE,"Plan2"}</definedName>
    <definedName name="area" hidden="1">{#N/A,#N/A,FALSE,"Plan1";#N/A,#N/A,FALSE,"Plan2"}</definedName>
    <definedName name="_xlnm.Extract" localSheetId="7">#REF!</definedName>
    <definedName name="_xlnm.Extract">#REF!</definedName>
    <definedName name="_xlnm.Print_Area" localSheetId="7">#REF!</definedName>
    <definedName name="_xlnm.Print_Area" localSheetId="2">Sim_PRICE!$B$1:$R$343</definedName>
    <definedName name="_xlnm.Print_Area" localSheetId="1">Sim_SAC!$B$1:$S$342</definedName>
    <definedName name="_xlnm.Print_Area" localSheetId="4">'Simulador PDF'!$B$1:$J$393</definedName>
    <definedName name="_xlnm.Print_Area">#REF!</definedName>
    <definedName name="area1" localSheetId="7" hidden="1">{#N/A,#N/A,FALSE,"Plan1";#N/A,#N/A,FALSE,"Plan2"}</definedName>
    <definedName name="area1" localSheetId="6" hidden="1">{#N/A,#N/A,FALSE,"Plan1";#N/A,#N/A,FALSE,"Plan2"}</definedName>
    <definedName name="area1" hidden="1">{#N/A,#N/A,FALSE,"Plan1";#N/A,#N/A,FALSE,"Plan2"}</definedName>
    <definedName name="AreaB" localSheetId="7" hidden="1">{#N/A,#N/A,FALSE,"Plan1";#N/A,#N/A,FALSE,"Plan2"}</definedName>
    <definedName name="AreaB" localSheetId="6" hidden="1">{#N/A,#N/A,FALSE,"Plan1";#N/A,#N/A,FALSE,"Plan2"}</definedName>
    <definedName name="AreaB" hidden="1">{#N/A,#N/A,FALSE,"Plan1";#N/A,#N/A,FALSE,"Plan2"}</definedName>
    <definedName name="_xlnm.Database" localSheetId="7">#REF!</definedName>
    <definedName name="_xlnm.Database">#REF!</definedName>
    <definedName name="BuiltIn_AutoFilter___1" localSheetId="7">#REF!</definedName>
    <definedName name="BuiltIn_AutoFilter___1">#REF!</definedName>
    <definedName name="BuiltIn_AutoFilter___4" localSheetId="7">#REF!</definedName>
    <definedName name="BuiltIn_AutoFilter___4">#REF!</definedName>
    <definedName name="CELULA" localSheetId="7">#REF!</definedName>
    <definedName name="CELULA">#REF!</definedName>
    <definedName name="código" localSheetId="7">[7]PINI1!#REF!</definedName>
    <definedName name="código">[7]PINI1!#REF!</definedName>
    <definedName name="comentariosperfil" localSheetId="7">[8]Resumo!#REF!</definedName>
    <definedName name="comentariosperfil" localSheetId="8">#REF!</definedName>
    <definedName name="comentariosperfil" localSheetId="6">[8]Resumo!#REF!</definedName>
    <definedName name="comentariosperfil" localSheetId="2">[9]Resumo!#REF!</definedName>
    <definedName name="comentariosperfil" localSheetId="1">[10]Resumo!#REF!</definedName>
    <definedName name="comentariosperfil">Resumo!#REF!</definedName>
    <definedName name="dados" localSheetId="7">#REF!</definedName>
    <definedName name="dados">#REF!</definedName>
    <definedName name="DEST4A" localSheetId="7">[5]COMERCIAL!#REF!</definedName>
    <definedName name="DEST4A">[6]COMERCIAL!#REF!</definedName>
    <definedName name="Dívida">Resumo!$B$57:$F$57</definedName>
    <definedName name="Divida2">Resumo!$B$61:$F$64</definedName>
    <definedName name="E" localSheetId="7">#REF!</definedName>
    <definedName name="E">#REF!</definedName>
    <definedName name="eee" localSheetId="7" hidden="1">{#N/A,#N/A,FALSE,"Plan1";#N/A,#N/A,FALSE,"Plan2"}</definedName>
    <definedName name="eee" localSheetId="6" hidden="1">{#N/A,#N/A,FALSE,"Plan1";#N/A,#N/A,FALSE,"Plan2"}</definedName>
    <definedName name="eee" hidden="1">{#N/A,#N/A,FALSE,"Plan1";#N/A,#N/A,FALSE,"Plan2"}</definedName>
    <definedName name="empresa" localSheetId="7">[8]Resumo!#REF!</definedName>
    <definedName name="empresa" localSheetId="6">[8]Resumo!#REF!</definedName>
    <definedName name="empresa" localSheetId="2">[9]Resumo!#REF!</definedName>
    <definedName name="empresa" localSheetId="1">[10]Resumo!#REF!</definedName>
    <definedName name="empresa">Resumo!#REF!</definedName>
    <definedName name="F" localSheetId="7">#REF!</definedName>
    <definedName name="F">#REF!</definedName>
    <definedName name="Fator_Ch" localSheetId="7">#REF!</definedName>
    <definedName name="Fator_Ch">#REF!</definedName>
    <definedName name="Fator_L" localSheetId="7">#REF!</definedName>
    <definedName name="Fator_L">#REF!</definedName>
    <definedName name="Fator_MO" localSheetId="7">#REF!</definedName>
    <definedName name="Fator_MO">#REF!</definedName>
    <definedName name="Fundo" localSheetId="7">[3]FUNDO!#REF!</definedName>
    <definedName name="Fundo">[4]FUNDO!#REF!</definedName>
    <definedName name="G" localSheetId="7">#REF!</definedName>
    <definedName name="G">#REF!</definedName>
    <definedName name="HONO" localSheetId="7">[5]COMERCIAL!#REF!</definedName>
    <definedName name="HONO">[6]COMERCIAL!#REF!</definedName>
    <definedName name="iii" localSheetId="7" hidden="1">{#N/A,#N/A,FALSE,"Plan1";#N/A,#N/A,FALSE,"Plan2"}</definedName>
    <definedName name="iii" localSheetId="6" hidden="1">{#N/A,#N/A,FALSE,"Plan1";#N/A,#N/A,FALSE,"Plan2"}</definedName>
    <definedName name="iii" hidden="1">{#N/A,#N/A,FALSE,"Plan1";#N/A,#N/A,FALSE,"Plan2"}</definedName>
    <definedName name="INDICADOR" localSheetId="7">[3]FUNDO!#REF!</definedName>
    <definedName name="INDICADOR">[4]FUNDO!#REF!</definedName>
    <definedName name="loca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oca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lugar" localSheetId="7">[8]Resumo!#REF!</definedName>
    <definedName name="lugar" localSheetId="8">#REF!</definedName>
    <definedName name="lugar" localSheetId="6">[8]Resumo!#REF!</definedName>
    <definedName name="lugar" localSheetId="2">[9]Resumo!#REF!</definedName>
    <definedName name="lugar" localSheetId="1">[10]Resumo!#REF!</definedName>
    <definedName name="lugar">Resumo!#REF!</definedName>
    <definedName name="MENU1" localSheetId="7">[5]COMERCIAL!#REF!</definedName>
    <definedName name="MENU1">[6]COMERCIAL!#REF!</definedName>
    <definedName name="MENU2" localSheetId="7">[5]COMERCIAL!#REF!</definedName>
    <definedName name="MENU2">[6]COMERCIAL!#REF!</definedName>
    <definedName name="MENU3" localSheetId="7">#REF!</definedName>
    <definedName name="MENU3">#REF!</definedName>
    <definedName name="MENU4" localSheetId="7">#REF!</definedName>
    <definedName name="MENU4">#REF!</definedName>
    <definedName name="Não">Resumo!$C$14</definedName>
    <definedName name="nova" localSheetId="7" hidden="1">{#N/A,#N/A,FALSE,"Plan1";#N/A,#N/A,FALSE,"Plan2"}</definedName>
    <definedName name="nova" localSheetId="6" hidden="1">{#N/A,#N/A,FALSE,"Plan1";#N/A,#N/A,FALSE,"Plan2"}</definedName>
    <definedName name="nova" hidden="1">{#N/A,#N/A,FALSE,"Plan1";#N/A,#N/A,FALSE,"Plan2"}</definedName>
    <definedName name="nova1" localSheetId="7" hidden="1">{#N/A,#N/A,FALSE,"Plan1";#N/A,#N/A,FALSE,"Plan2"}</definedName>
    <definedName name="nova1" localSheetId="6" hidden="1">{#N/A,#N/A,FALSE,"Plan1";#N/A,#N/A,FALSE,"Plan2"}</definedName>
    <definedName name="nova1" hidden="1">{#N/A,#N/A,FALSE,"Plan1";#N/A,#N/A,FALSE,"Plan2"}</definedName>
    <definedName name="num_mensal2" localSheetId="7">[11]CANT_LC!#REF!</definedName>
    <definedName name="num_mensal2">[12]CANT_LC!#REF!</definedName>
    <definedName name="ooo" localSheetId="7" hidden="1">{#N/A,#N/A,FALSE,"Plan1";#N/A,#N/A,FALSE,"Plan2"}</definedName>
    <definedName name="ooo" localSheetId="6" hidden="1">{#N/A,#N/A,FALSE,"Plan1";#N/A,#N/A,FALSE,"Plan2"}</definedName>
    <definedName name="ooo" hidden="1">{#N/A,#N/A,FALSE,"Plan1";#N/A,#N/A,FALSE,"Plan2"}</definedName>
    <definedName name="plan2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lan2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ppp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ating" localSheetId="7">[8]Resumo!#REF!</definedName>
    <definedName name="Rating" localSheetId="6">[8]Resumo!#REF!</definedName>
    <definedName name="Rating" localSheetId="2">[9]Resumo!#REF!</definedName>
    <definedName name="Rating" localSheetId="1">[10]Resumo!#REF!</definedName>
    <definedName name="Rating">Resumo!#REF!</definedName>
    <definedName name="Ratinganalista" localSheetId="7">[8]Resumo!#REF!</definedName>
    <definedName name="Ratinganalista" localSheetId="6">[8]Resumo!#REF!</definedName>
    <definedName name="Ratinganalista" localSheetId="2">[9]Resumo!#REF!</definedName>
    <definedName name="Ratinganalista" localSheetId="1">[10]Resumo!#REF!</definedName>
    <definedName name="Ratinganalista">Resumo!#REF!</definedName>
    <definedName name="renda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11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cvagas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Rendan" localSheetId="7" hidden="1">{#N/A,#N/A,FALSE,"Plan1";#N/A,#N/A,FALSE,"Plan2"}</definedName>
    <definedName name="Rendan" localSheetId="6" hidden="1">{#N/A,#N/A,FALSE,"Plan1";#N/A,#N/A,FALSE,"Plan2"}</definedName>
    <definedName name="Rendan" hidden="1">{#N/A,#N/A,FALSE,"Plan1";#N/A,#N/A,FALSE,"Plan2"}</definedName>
    <definedName name="RendaProjeto" localSheetId="7" hidden="1">{#N/A,#N/A,FALSE,"Plan1";#N/A,#N/A,FALSE,"Plan2"}</definedName>
    <definedName name="RendaProjeto" localSheetId="6" hidden="1">{#N/A,#N/A,FALSE,"Plan1";#N/A,#N/A,FALSE,"Plan2"}</definedName>
    <definedName name="RendaProjeto" hidden="1">{#N/A,#N/A,FALSE,"Plan1";#N/A,#N/A,FALSE,"Plan2"}</definedName>
    <definedName name="rua" localSheetId="7">[8]Resumo!#REF!</definedName>
    <definedName name="rua" localSheetId="8">#REF!</definedName>
    <definedName name="rua" localSheetId="6">[8]Resumo!#REF!</definedName>
    <definedName name="rua" localSheetId="2">[9]Resumo!#REF!</definedName>
    <definedName name="rua" localSheetId="1">[10]Resumo!#REF!</definedName>
    <definedName name="rua">Resumo!#REF!</definedName>
    <definedName name="SALDO2" localSheetId="7">'[13]ESTUDO '!#REF!</definedName>
    <definedName name="SALDO2">'[14]ESTUDO '!#REF!</definedName>
    <definedName name="SOMA2" localSheetId="7">[3]FUNDO!#REF!</definedName>
    <definedName name="SOMA2">[4]FUNDO!#REF!</definedName>
    <definedName name="Swvu.PLANILHA2." localSheetId="7" hidden="1">#REF!</definedName>
    <definedName name="Swvu.PLANILHA2." hidden="1">#REF!</definedName>
    <definedName name="tabela" localSheetId="7" hidden="1">[1]Assumptions!#REF!</definedName>
    <definedName name="tabela" hidden="1">[2]Assumptions!#REF!</definedName>
    <definedName name="tabelacliente" localSheetId="7">[8]Resumo!#REF!</definedName>
    <definedName name="tabelacliente" localSheetId="8">#REF!</definedName>
    <definedName name="tabelacliente" localSheetId="6">[8]Resumo!#REF!</definedName>
    <definedName name="tabelacliente" localSheetId="2">[9]Resumo!#REF!</definedName>
    <definedName name="tabelacliente" localSheetId="1">[10]Resumo!#REF!</definedName>
    <definedName name="tabelacliente">Resumo!#REF!</definedName>
    <definedName name="Tabelacondiçaoo" localSheetId="7">[8]Resumo!#REF!</definedName>
    <definedName name="Tabelacondiçaoo" localSheetId="6">[8]Resumo!#REF!</definedName>
    <definedName name="Tabelacondiçaoo" localSheetId="2">[9]Resumo!#REF!</definedName>
    <definedName name="Tabelacondiçaoo" localSheetId="1">[10]Resumo!#REF!</definedName>
    <definedName name="Tabelacondiçaoo">Resumo!#REF!</definedName>
    <definedName name="tabeladeaprovados" localSheetId="8">#REF!</definedName>
    <definedName name="tabeladeaprovados">Resumo!$B$11:$C$60</definedName>
    <definedName name="tabeladepossivels" localSheetId="7">[8]Resumo!#REF!</definedName>
    <definedName name="tabeladepossivels" localSheetId="8">#REF!</definedName>
    <definedName name="tabeladepossivels" localSheetId="6">[8]Resumo!#REF!</definedName>
    <definedName name="tabeladepossivels" localSheetId="2">[9]Resumo!#REF!</definedName>
    <definedName name="tabeladepossivels" localSheetId="1">[10]Resumo!#REF!</definedName>
    <definedName name="tabeladepossivels">Resumo!#REF!</definedName>
    <definedName name="tabelafinal" localSheetId="7">[8]Resumo!#REF!</definedName>
    <definedName name="tabelafinal" localSheetId="8">#REF!</definedName>
    <definedName name="tabelafinal" localSheetId="6">[8]Resumo!#REF!</definedName>
    <definedName name="tabelafinal" localSheetId="2">[9]Resumo!#REF!</definedName>
    <definedName name="tabelafinal" localSheetId="1">[10]Resumo!#REF!</definedName>
    <definedName name="tabelafinal">Resumo!#REF!</definedName>
    <definedName name="tabelafinalsac" localSheetId="7">[8]Resumo!#REF!</definedName>
    <definedName name="tabelafinalsac" localSheetId="8">#REF!</definedName>
    <definedName name="tabelafinalsac" localSheetId="6">[8]Resumo!#REF!</definedName>
    <definedName name="tabelafinalsac" localSheetId="2">[9]Resumo!#REF!</definedName>
    <definedName name="tabelafinalsac" localSheetId="1">[10]Resumo!#REF!</definedName>
    <definedName name="tabelafinalsac">Resumo!#REF!</definedName>
    <definedName name="tabelarisco" localSheetId="7">[8]Resumo!#REF!</definedName>
    <definedName name="tabelarisco" localSheetId="8">#REF!</definedName>
    <definedName name="tabelarisco" localSheetId="6">[8]Resumo!#REF!</definedName>
    <definedName name="tabelarisco" localSheetId="2">[9]Resumo!#REF!</definedName>
    <definedName name="tabelarisco" localSheetId="1">[10]Resumo!#REF!</definedName>
    <definedName name="tabelarisco">Resumo!#REF!</definedName>
    <definedName name="tabelavalor" localSheetId="7">[8]Resumo!#REF!</definedName>
    <definedName name="tabelavalor" localSheetId="6">[8]Resumo!#REF!</definedName>
    <definedName name="tabelavalor" localSheetId="2">[9]Resumo!#REF!</definedName>
    <definedName name="tabelavalor" localSheetId="1">[10]Resumo!#REF!</definedName>
    <definedName name="tabelavalor">Resumo!#REF!</definedName>
    <definedName name="TERR" localSheetId="7">[5]COMERCIAL!#REF!</definedName>
    <definedName name="TERR">[6]COMERCIAL!#REF!</definedName>
    <definedName name="TOTAL2" localSheetId="7">'[13]ESTUDO '!#REF!</definedName>
    <definedName name="TOTAL2">'[14]ESTUDO '!#REF!</definedName>
    <definedName name="ttt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tt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TUDO2" localSheetId="7">'[13]ESTUDO '!#REF!</definedName>
    <definedName name="TUDO2">'[14]ESTUDO '!#REF!</definedName>
    <definedName name="uuu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uuu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ALOR2" localSheetId="7">[11]CANT_LC!#REF!</definedName>
    <definedName name="VALOR2">[12]CANT_LC!#REF!</definedName>
    <definedName name="veri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eri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lr_mensal" localSheetId="7">[11]CANT_LC!#REF!</definedName>
    <definedName name="vlr_mensal">[12]CANT_LC!#REF!</definedName>
    <definedName name="vveri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vveri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rn.IMPRESSO." localSheetId="7" hidden="1">{#N/A,#N/A,FALSE,"Plan1";#N/A,#N/A,FALSE,"Plan2"}</definedName>
    <definedName name="wrn.IMPRESSO." localSheetId="6" hidden="1">{#N/A,#N/A,FALSE,"Plan1";#N/A,#N/A,FALSE,"Plan2"}</definedName>
    <definedName name="wrn.IMPRESSO." hidden="1">{#N/A,#N/A,FALSE,"Plan1";#N/A,#N/A,FALSE,"Plan2"}</definedName>
    <definedName name="wvu.PLANILHA2.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wvu.PLANILHA2.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xxx" localSheetId="7" hidden="1">{#N/A,#N/A,FALSE,"Plan1";#N/A,#N/A,FALSE,"Plan2"}</definedName>
    <definedName name="xxx" localSheetId="6" hidden="1">{#N/A,#N/A,FALSE,"Plan1";#N/A,#N/A,FALSE,"Plan2"}</definedName>
    <definedName name="xxx" hidden="1">{#N/A,#N/A,FALSE,"Plan1";#N/A,#N/A,FALSE,"Plan2"}</definedName>
    <definedName name="xxxxx" localSheetId="7" hidden="1">{#N/A,#N/A,FALSE,"Plan1";#N/A,#N/A,FALSE,"Plan2"}</definedName>
    <definedName name="xxxxx" localSheetId="6" hidden="1">{#N/A,#N/A,FALSE,"Plan1";#N/A,#N/A,FALSE,"Plan2"}</definedName>
    <definedName name="xxxxx" hidden="1">{#N/A,#N/A,FALSE,"Plan1";#N/A,#N/A,FALSE,"Plan2"}</definedName>
    <definedName name="yyy" localSheetId="7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localSheetId="6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  <definedName name="yyy" hidden="1">{TRUE,TRUE,-1.25,-15.5,604.5,366.75,FALSE,FALSE,TRUE,TRUE,0,1,#N/A,1,#N/A,9.0125,24.4117647058824,1,FALSE,FALSE,3,TRUE,1,FALSE,100,"Swvu.PLANILHA2.","ACwvu.PLANILHA2.",#N/A,FALSE,FALSE,0.787401575,0.34,0.46,0.5,1,"","",FALSE,FALSE,FALSE,FALSE,1,#N/A,1,1,FALSE,FALSE,#N/A,#N/A,FALSE,FALSE,FALSE,9,65532,65532,FALSE,FALSE,TRUE,TRUE,TRUE}</definedName>
  </definedNames>
  <calcPr calcId="191029" calcMode="autoNoTable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38" i="1" l="1"/>
  <c r="L39" i="1"/>
  <c r="L36" i="1"/>
  <c r="L27" i="1"/>
  <c r="L29" i="1"/>
  <c r="L19" i="1"/>
  <c r="L18" i="1"/>
  <c r="L17" i="1"/>
  <c r="I28" i="1"/>
  <c r="O6" i="25"/>
  <c r="K39" i="25"/>
  <c r="AS57" i="25" s="1"/>
  <c r="F10" i="25"/>
  <c r="C54" i="1"/>
  <c r="F7" i="25"/>
  <c r="T21" i="25" s="1"/>
  <c r="U21" i="25" s="1"/>
  <c r="V21" i="25" s="1"/>
  <c r="F6" i="25"/>
  <c r="G39" i="25" s="1"/>
  <c r="G77" i="25"/>
  <c r="F77" i="25"/>
  <c r="G76" i="25"/>
  <c r="H76" i="25" s="1"/>
  <c r="AR70" i="25"/>
  <c r="G66" i="25"/>
  <c r="E66" i="25"/>
  <c r="D66" i="25"/>
  <c r="BA60" i="25"/>
  <c r="AW60" i="25" s="1"/>
  <c r="AX60" i="25"/>
  <c r="AV60" i="25"/>
  <c r="AO60" i="25"/>
  <c r="AI60" i="25"/>
  <c r="U60" i="25"/>
  <c r="Q60" i="25"/>
  <c r="N60" i="25"/>
  <c r="P60" i="25" s="1"/>
  <c r="R60" i="25" s="1"/>
  <c r="V60" i="25" s="1"/>
  <c r="M60" i="25"/>
  <c r="C60" i="25"/>
  <c r="AN60" i="25" s="1"/>
  <c r="BA59" i="25"/>
  <c r="AW59" i="25" s="1"/>
  <c r="AX59" i="25"/>
  <c r="AU59" i="25" s="1"/>
  <c r="AV59" i="25"/>
  <c r="AO59" i="25"/>
  <c r="AI59" i="25"/>
  <c r="U59" i="25"/>
  <c r="Q59" i="25"/>
  <c r="N59" i="25"/>
  <c r="P59" i="25" s="1"/>
  <c r="R59" i="25" s="1"/>
  <c r="V59" i="25" s="1"/>
  <c r="M59" i="25"/>
  <c r="C59" i="25"/>
  <c r="AN59" i="25" s="1"/>
  <c r="BA58" i="25"/>
  <c r="AW58" i="25" s="1"/>
  <c r="AX58" i="25"/>
  <c r="AU58" i="25" s="1"/>
  <c r="AV58" i="25"/>
  <c r="AO58" i="25"/>
  <c r="AI58" i="25"/>
  <c r="Q58" i="25"/>
  <c r="U58" i="25" s="1"/>
  <c r="N58" i="25"/>
  <c r="P58" i="25" s="1"/>
  <c r="R58" i="25" s="1"/>
  <c r="V58" i="25" s="1"/>
  <c r="M58" i="25"/>
  <c r="C58" i="25"/>
  <c r="AN58" i="25" s="1"/>
  <c r="BA57" i="25"/>
  <c r="AW57" i="25" s="1"/>
  <c r="AX57" i="25"/>
  <c r="AU57" i="25" s="1"/>
  <c r="AV57" i="25"/>
  <c r="AO57" i="25"/>
  <c r="AI57" i="25"/>
  <c r="Q57" i="25"/>
  <c r="U57" i="25" s="1"/>
  <c r="P57" i="25"/>
  <c r="R57" i="25" s="1"/>
  <c r="V57" i="25" s="1"/>
  <c r="N57" i="25"/>
  <c r="M57" i="25"/>
  <c r="C57" i="25"/>
  <c r="AN57" i="25" s="1"/>
  <c r="BA56" i="25"/>
  <c r="AW56" i="25" s="1"/>
  <c r="AX56" i="25"/>
  <c r="AU56" i="25" s="1"/>
  <c r="AV56" i="25"/>
  <c r="AO56" i="25"/>
  <c r="AI56" i="25"/>
  <c r="U56" i="25"/>
  <c r="Q56" i="25"/>
  <c r="N56" i="25"/>
  <c r="P56" i="25" s="1"/>
  <c r="R56" i="25" s="1"/>
  <c r="V56" i="25" s="1"/>
  <c r="M56" i="25"/>
  <c r="C56" i="25"/>
  <c r="AN56" i="25" s="1"/>
  <c r="BA55" i="25"/>
  <c r="AW55" i="25" s="1"/>
  <c r="AX55" i="25"/>
  <c r="AV55" i="25"/>
  <c r="AO55" i="25"/>
  <c r="AI55" i="25"/>
  <c r="U55" i="25"/>
  <c r="Q55" i="25"/>
  <c r="N55" i="25"/>
  <c r="P55" i="25" s="1"/>
  <c r="R55" i="25" s="1"/>
  <c r="V55" i="25" s="1"/>
  <c r="M55" i="25"/>
  <c r="C55" i="25"/>
  <c r="AN55" i="25" s="1"/>
  <c r="BA54" i="25"/>
  <c r="AW54" i="25" s="1"/>
  <c r="AX54" i="25"/>
  <c r="AV54" i="25"/>
  <c r="AO54" i="25"/>
  <c r="AI54" i="25"/>
  <c r="Q54" i="25"/>
  <c r="U54" i="25" s="1"/>
  <c r="N54" i="25"/>
  <c r="P54" i="25" s="1"/>
  <c r="R54" i="25" s="1"/>
  <c r="V54" i="25" s="1"/>
  <c r="M54" i="25"/>
  <c r="C54" i="25"/>
  <c r="AN54" i="25" s="1"/>
  <c r="BA53" i="25"/>
  <c r="AW53" i="25" s="1"/>
  <c r="AX53" i="25"/>
  <c r="AU53" i="25" s="1"/>
  <c r="AV53" i="25"/>
  <c r="AO53" i="25"/>
  <c r="AI53" i="25"/>
  <c r="Q53" i="25"/>
  <c r="U53" i="25" s="1"/>
  <c r="P53" i="25"/>
  <c r="R53" i="25" s="1"/>
  <c r="V53" i="25" s="1"/>
  <c r="N53" i="25"/>
  <c r="M53" i="25"/>
  <c r="C53" i="25"/>
  <c r="AN53" i="25" s="1"/>
  <c r="BA52" i="25"/>
  <c r="AW52" i="25" s="1"/>
  <c r="AX52" i="25"/>
  <c r="AU52" i="25" s="1"/>
  <c r="AV52" i="25"/>
  <c r="AO52" i="25"/>
  <c r="AI52" i="25"/>
  <c r="U52" i="25"/>
  <c r="Q52" i="25"/>
  <c r="N52" i="25"/>
  <c r="P52" i="25" s="1"/>
  <c r="R52" i="25" s="1"/>
  <c r="V52" i="25" s="1"/>
  <c r="M52" i="25"/>
  <c r="C52" i="25"/>
  <c r="AN52" i="25" s="1"/>
  <c r="BA51" i="25"/>
  <c r="AW51" i="25" s="1"/>
  <c r="AX51" i="25"/>
  <c r="AU51" i="25" s="1"/>
  <c r="AV51" i="25"/>
  <c r="AQ51" i="25"/>
  <c r="AO51" i="25"/>
  <c r="AI51" i="25"/>
  <c r="Q51" i="25"/>
  <c r="U51" i="25" s="1"/>
  <c r="P51" i="25"/>
  <c r="R51" i="25" s="1"/>
  <c r="V51" i="25" s="1"/>
  <c r="N51" i="25"/>
  <c r="M51" i="25"/>
  <c r="C51" i="25"/>
  <c r="AN51" i="25" s="1"/>
  <c r="BA50" i="25"/>
  <c r="AW50" i="25" s="1"/>
  <c r="AX50" i="25"/>
  <c r="AV50" i="25"/>
  <c r="AO50" i="25"/>
  <c r="AI50" i="25"/>
  <c r="Q50" i="25"/>
  <c r="U50" i="25" s="1"/>
  <c r="N50" i="25"/>
  <c r="P50" i="25" s="1"/>
  <c r="R50" i="25" s="1"/>
  <c r="V50" i="25" s="1"/>
  <c r="M50" i="25"/>
  <c r="C50" i="25"/>
  <c r="AN50" i="25" s="1"/>
  <c r="BA49" i="25"/>
  <c r="AW49" i="25" s="1"/>
  <c r="AX49" i="25"/>
  <c r="AU49" i="25" s="1"/>
  <c r="AV49" i="25"/>
  <c r="AO49" i="25"/>
  <c r="AI49" i="25"/>
  <c r="Q49" i="25"/>
  <c r="U49" i="25" s="1"/>
  <c r="P49" i="25"/>
  <c r="R49" i="25" s="1"/>
  <c r="V49" i="25" s="1"/>
  <c r="N49" i="25"/>
  <c r="M49" i="25"/>
  <c r="C49" i="25"/>
  <c r="AN49" i="25" s="1"/>
  <c r="BA48" i="25"/>
  <c r="AW48" i="25" s="1"/>
  <c r="AX48" i="25"/>
  <c r="AU48" i="25" s="1"/>
  <c r="AV48" i="25"/>
  <c r="AO48" i="25"/>
  <c r="AI48" i="25"/>
  <c r="U48" i="25"/>
  <c r="Q48" i="25"/>
  <c r="N48" i="25"/>
  <c r="P48" i="25" s="1"/>
  <c r="R48" i="25" s="1"/>
  <c r="V48" i="25" s="1"/>
  <c r="M48" i="25"/>
  <c r="C48" i="25"/>
  <c r="AN48" i="25" s="1"/>
  <c r="BA47" i="25"/>
  <c r="AW47" i="25" s="1"/>
  <c r="AX47" i="25"/>
  <c r="AU47" i="25" s="1"/>
  <c r="AV47" i="25"/>
  <c r="AO47" i="25"/>
  <c r="AI47" i="25"/>
  <c r="Q47" i="25"/>
  <c r="U47" i="25" s="1"/>
  <c r="P47" i="25"/>
  <c r="R47" i="25" s="1"/>
  <c r="V47" i="25" s="1"/>
  <c r="N47" i="25"/>
  <c r="M47" i="25"/>
  <c r="C47" i="25"/>
  <c r="AN47" i="25" s="1"/>
  <c r="BA46" i="25"/>
  <c r="AW46" i="25" s="1"/>
  <c r="AX46" i="25"/>
  <c r="AU46" i="25" s="1"/>
  <c r="AV46" i="25"/>
  <c r="AO46" i="25"/>
  <c r="AI46" i="25"/>
  <c r="U46" i="25"/>
  <c r="Q46" i="25"/>
  <c r="N46" i="25"/>
  <c r="P46" i="25" s="1"/>
  <c r="R46" i="25" s="1"/>
  <c r="V46" i="25" s="1"/>
  <c r="M46" i="25"/>
  <c r="C46" i="25"/>
  <c r="AN46" i="25" s="1"/>
  <c r="AX45" i="25"/>
  <c r="AV45" i="25"/>
  <c r="AO45" i="25"/>
  <c r="AI45" i="25"/>
  <c r="Q45" i="25"/>
  <c r="U45" i="25" s="1"/>
  <c r="N45" i="25"/>
  <c r="P45" i="25" s="1"/>
  <c r="R45" i="25" s="1"/>
  <c r="V45" i="25" s="1"/>
  <c r="M45" i="25"/>
  <c r="C45" i="25"/>
  <c r="AN45" i="25" s="1"/>
  <c r="AX44" i="25"/>
  <c r="AU44" i="25" s="1"/>
  <c r="AV44" i="25"/>
  <c r="AO44" i="25"/>
  <c r="AI44" i="25"/>
  <c r="Q44" i="25"/>
  <c r="U44" i="25" s="1"/>
  <c r="N44" i="25"/>
  <c r="P44" i="25" s="1"/>
  <c r="R44" i="25" s="1"/>
  <c r="V44" i="25" s="1"/>
  <c r="M44" i="25"/>
  <c r="C44" i="25"/>
  <c r="AN44" i="25" s="1"/>
  <c r="AX43" i="25"/>
  <c r="AU43" i="25" s="1"/>
  <c r="AV43" i="25"/>
  <c r="AO43" i="25"/>
  <c r="AI43" i="25"/>
  <c r="Q43" i="25"/>
  <c r="U43" i="25" s="1"/>
  <c r="P43" i="25"/>
  <c r="R43" i="25" s="1"/>
  <c r="V43" i="25" s="1"/>
  <c r="N43" i="25"/>
  <c r="M43" i="25"/>
  <c r="C43" i="25"/>
  <c r="AN43" i="25" s="1"/>
  <c r="AX42" i="25"/>
  <c r="AU42" i="25" s="1"/>
  <c r="AV42" i="25"/>
  <c r="AO42" i="25"/>
  <c r="AI42" i="25"/>
  <c r="AH42" i="25"/>
  <c r="Q42" i="25"/>
  <c r="U42" i="25" s="1"/>
  <c r="N42" i="25"/>
  <c r="P42" i="25" s="1"/>
  <c r="R42" i="25" s="1"/>
  <c r="V42" i="25" s="1"/>
  <c r="M42" i="25"/>
  <c r="C42" i="25"/>
  <c r="AN42" i="25" s="1"/>
  <c r="AX41" i="25"/>
  <c r="AV41" i="25"/>
  <c r="AO41" i="25"/>
  <c r="AI41" i="25"/>
  <c r="Q41" i="25"/>
  <c r="U41" i="25" s="1"/>
  <c r="N41" i="25"/>
  <c r="P41" i="25" s="1"/>
  <c r="R41" i="25" s="1"/>
  <c r="V41" i="25" s="1"/>
  <c r="M41" i="25"/>
  <c r="C41" i="25"/>
  <c r="AN39" i="25"/>
  <c r="AF39" i="25"/>
  <c r="AQ55" i="25" s="1"/>
  <c r="AE39" i="25"/>
  <c r="AI39" i="25" s="1"/>
  <c r="AD39" i="25"/>
  <c r="AC39" i="25"/>
  <c r="L39" i="25"/>
  <c r="AU74" i="25" s="1"/>
  <c r="AV74" i="25" s="1"/>
  <c r="AV75" i="25" s="1"/>
  <c r="J39" i="25"/>
  <c r="I39" i="25"/>
  <c r="H39" i="25"/>
  <c r="F39" i="25"/>
  <c r="E39" i="25"/>
  <c r="AO39" i="25" s="1"/>
  <c r="Q37" i="25"/>
  <c r="O37" i="25"/>
  <c r="AO36" i="25"/>
  <c r="B36" i="25"/>
  <c r="F26" i="25"/>
  <c r="AH60" i="25" s="1"/>
  <c r="AJ60" i="25" s="1"/>
  <c r="AK60" i="25" s="1"/>
  <c r="I9" i="25"/>
  <c r="H55" i="1"/>
  <c r="H45" i="1"/>
  <c r="H35" i="1"/>
  <c r="H25" i="1"/>
  <c r="H15" i="1"/>
  <c r="G1" i="17"/>
  <c r="F10" i="1"/>
  <c r="C40" i="1"/>
  <c r="C13" i="17"/>
  <c r="E18" i="17"/>
  <c r="E22" i="17" s="1"/>
  <c r="G13" i="17" s="1"/>
  <c r="E19" i="17"/>
  <c r="E21" i="17"/>
  <c r="AY4" i="24"/>
  <c r="AN4" i="24"/>
  <c r="AC4" i="24"/>
  <c r="R4" i="24"/>
  <c r="G4" i="24"/>
  <c r="BC50" i="24"/>
  <c r="BB50" i="24"/>
  <c r="BA50" i="24"/>
  <c r="AZ50" i="24"/>
  <c r="AY50" i="24"/>
  <c r="AX50" i="24"/>
  <c r="AW50" i="24"/>
  <c r="AV50" i="24"/>
  <c r="AU50" i="24"/>
  <c r="AT50" i="24"/>
  <c r="AR50" i="24"/>
  <c r="AQ50" i="24"/>
  <c r="AP50" i="24"/>
  <c r="AO50" i="24"/>
  <c r="AN50" i="24"/>
  <c r="AM50" i="24"/>
  <c r="AL50" i="24"/>
  <c r="AK50" i="24"/>
  <c r="AJ50" i="24"/>
  <c r="AI50" i="24"/>
  <c r="AG50" i="24"/>
  <c r="AF50" i="24"/>
  <c r="AE50" i="24"/>
  <c r="C81" i="1" s="1"/>
  <c r="AD50" i="24"/>
  <c r="C80" i="1" s="1"/>
  <c r="AC50" i="24"/>
  <c r="C79" i="1" s="1"/>
  <c r="AB50" i="24"/>
  <c r="C78" i="1" s="1"/>
  <c r="AA50" i="24"/>
  <c r="C77" i="1" s="1"/>
  <c r="Z50" i="24"/>
  <c r="C76" i="1" s="1"/>
  <c r="Y50" i="24"/>
  <c r="X50" i="24"/>
  <c r="V50" i="24"/>
  <c r="U50" i="24"/>
  <c r="T50" i="24"/>
  <c r="C71" i="1" s="1"/>
  <c r="S50" i="24"/>
  <c r="C70" i="1" s="1"/>
  <c r="R50" i="24"/>
  <c r="C69" i="1" s="1"/>
  <c r="Q50" i="24"/>
  <c r="C68" i="1" s="1"/>
  <c r="P50" i="24"/>
  <c r="C67" i="1" s="1"/>
  <c r="O50" i="24"/>
  <c r="C66" i="1" s="1"/>
  <c r="N50" i="24"/>
  <c r="M50" i="24"/>
  <c r="K50" i="24"/>
  <c r="J50" i="24"/>
  <c r="I50" i="24"/>
  <c r="C61" i="1" s="1"/>
  <c r="H50" i="24"/>
  <c r="C60" i="1" s="1"/>
  <c r="G50" i="24"/>
  <c r="C59" i="1" s="1"/>
  <c r="F50" i="24"/>
  <c r="C58" i="1" s="1"/>
  <c r="E50" i="24"/>
  <c r="C57" i="1" s="1"/>
  <c r="D50" i="24"/>
  <c r="C56" i="1" s="1"/>
  <c r="C50" i="24"/>
  <c r="B50" i="24"/>
  <c r="BB15" i="24"/>
  <c r="BA15" i="24" s="1"/>
  <c r="AZ15" i="24" s="1"/>
  <c r="AY15" i="24" s="1"/>
  <c r="AX15" i="24" s="1"/>
  <c r="AW15" i="24" s="1"/>
  <c r="AV15" i="24" s="1"/>
  <c r="AU15" i="24" s="1"/>
  <c r="AT15" i="24" s="1"/>
  <c r="AQ15" i="24"/>
  <c r="AP15" i="24" s="1"/>
  <c r="AO15" i="24" s="1"/>
  <c r="AN15" i="24" s="1"/>
  <c r="AM15" i="24" s="1"/>
  <c r="AL15" i="24" s="1"/>
  <c r="AK15" i="24" s="1"/>
  <c r="AJ15" i="24" s="1"/>
  <c r="AI15" i="24" s="1"/>
  <c r="AF15" i="24"/>
  <c r="AE15" i="24" s="1"/>
  <c r="AD15" i="24" s="1"/>
  <c r="AC15" i="24" s="1"/>
  <c r="AB15" i="24" s="1"/>
  <c r="AA15" i="24" s="1"/>
  <c r="Z15" i="24" s="1"/>
  <c r="Y15" i="24" s="1"/>
  <c r="X15" i="24" s="1"/>
  <c r="U15" i="24"/>
  <c r="T15" i="24" s="1"/>
  <c r="S15" i="24" s="1"/>
  <c r="R15" i="24" s="1"/>
  <c r="Q15" i="24" s="1"/>
  <c r="P15" i="24" s="1"/>
  <c r="O15" i="24" s="1"/>
  <c r="N15" i="24" s="1"/>
  <c r="M15" i="24" s="1"/>
  <c r="J15" i="24"/>
  <c r="I15" i="24" s="1"/>
  <c r="H15" i="24" s="1"/>
  <c r="G15" i="24" s="1"/>
  <c r="F15" i="24" s="1"/>
  <c r="E15" i="24" s="1"/>
  <c r="D15" i="24" s="1"/>
  <c r="C15" i="24" s="1"/>
  <c r="B15" i="24" s="1"/>
  <c r="BE42" i="25" l="1"/>
  <c r="BE44" i="25" s="1"/>
  <c r="AJ42" i="25"/>
  <c r="AK42" i="25" s="1"/>
  <c r="AQ49" i="25"/>
  <c r="O3" i="25"/>
  <c r="O4" i="25"/>
  <c r="AQ53" i="25"/>
  <c r="AS43" i="25"/>
  <c r="BG44" i="25"/>
  <c r="AS48" i="25"/>
  <c r="AS50" i="25"/>
  <c r="AS42" i="25"/>
  <c r="AS55" i="25"/>
  <c r="AS47" i="25"/>
  <c r="AS45" i="25"/>
  <c r="AS41" i="25"/>
  <c r="AS54" i="25"/>
  <c r="AS59" i="25"/>
  <c r="H77" i="25"/>
  <c r="N19" i="25"/>
  <c r="N17" i="25"/>
  <c r="N20" i="25"/>
  <c r="N16" i="25"/>
  <c r="AH41" i="25"/>
  <c r="AJ41" i="25" s="1"/>
  <c r="AK41" i="25" s="1"/>
  <c r="AU41" i="25"/>
  <c r="AQ42" i="25"/>
  <c r="AH45" i="25"/>
  <c r="AJ45" i="25" s="1"/>
  <c r="AK45" i="25" s="1"/>
  <c r="AU50" i="25"/>
  <c r="AS52" i="25"/>
  <c r="AU54" i="25"/>
  <c r="AH55" i="25"/>
  <c r="AJ55" i="25" s="1"/>
  <c r="AK55" i="25" s="1"/>
  <c r="AQ58" i="25"/>
  <c r="AS60" i="25"/>
  <c r="AV66" i="25"/>
  <c r="AQ46" i="25"/>
  <c r="AH49" i="25"/>
  <c r="AJ49" i="25" s="1"/>
  <c r="AK49" i="25" s="1"/>
  <c r="AH51" i="25"/>
  <c r="AJ51" i="25" s="1"/>
  <c r="AK51" i="25" s="1"/>
  <c r="AH53" i="25"/>
  <c r="AJ53" i="25" s="1"/>
  <c r="AK53" i="25" s="1"/>
  <c r="AQ56" i="25"/>
  <c r="AS58" i="25"/>
  <c r="AU60" i="25"/>
  <c r="AH58" i="25"/>
  <c r="AJ58" i="25" s="1"/>
  <c r="AK58" i="25" s="1"/>
  <c r="M39" i="25"/>
  <c r="AN41" i="25"/>
  <c r="AQ44" i="25"/>
  <c r="AH44" i="25"/>
  <c r="AJ44" i="25" s="1"/>
  <c r="AK44" i="25" s="1"/>
  <c r="AU45" i="25"/>
  <c r="AH46" i="25"/>
  <c r="AJ46" i="25" s="1"/>
  <c r="AK46" i="25" s="1"/>
  <c r="AQ48" i="25"/>
  <c r="AS49" i="25"/>
  <c r="AS51" i="25"/>
  <c r="AS53" i="25"/>
  <c r="AU55" i="25"/>
  <c r="AH56" i="25"/>
  <c r="AJ56" i="25" s="1"/>
  <c r="AK56" i="25" s="1"/>
  <c r="AQ59" i="25"/>
  <c r="AQ41" i="25"/>
  <c r="AS44" i="25"/>
  <c r="AS46" i="25"/>
  <c r="AH48" i="25"/>
  <c r="AJ48" i="25" s="1"/>
  <c r="AK48" i="25" s="1"/>
  <c r="AQ50" i="25"/>
  <c r="AQ54" i="25"/>
  <c r="AS56" i="25"/>
  <c r="AH59" i="25"/>
  <c r="AJ59" i="25" s="1"/>
  <c r="AK59" i="25" s="1"/>
  <c r="AV64" i="25"/>
  <c r="AV76" i="25" s="1"/>
  <c r="AQ43" i="25"/>
  <c r="AQ47" i="25"/>
  <c r="AH50" i="25"/>
  <c r="AJ50" i="25" s="1"/>
  <c r="AK50" i="25" s="1"/>
  <c r="AH54" i="25"/>
  <c r="AJ54" i="25" s="1"/>
  <c r="AK54" i="25" s="1"/>
  <c r="AQ57" i="25"/>
  <c r="AH47" i="25"/>
  <c r="AJ47" i="25" s="1"/>
  <c r="AK47" i="25" s="1"/>
  <c r="AQ52" i="25"/>
  <c r="AH57" i="25"/>
  <c r="AJ57" i="25" s="1"/>
  <c r="AK57" i="25" s="1"/>
  <c r="AQ60" i="25"/>
  <c r="AH43" i="25"/>
  <c r="AJ43" i="25" s="1"/>
  <c r="AK43" i="25" s="1"/>
  <c r="AH39" i="25"/>
  <c r="AJ39" i="25" s="1"/>
  <c r="AK39" i="25" s="1"/>
  <c r="AQ45" i="25"/>
  <c r="AH52" i="25"/>
  <c r="AJ52" i="25" s="1"/>
  <c r="AK52" i="25" s="1"/>
  <c r="D7" i="23"/>
  <c r="AZ59" i="25" l="1"/>
  <c r="BE43" i="25"/>
  <c r="AZ54" i="25"/>
  <c r="AY44" i="25"/>
  <c r="AZ50" i="25"/>
  <c r="AY60" i="25"/>
  <c r="AY46" i="25"/>
  <c r="AY56" i="25"/>
  <c r="AT46" i="25"/>
  <c r="AZ60" i="25"/>
  <c r="AZ52" i="25"/>
  <c r="AZ47" i="25"/>
  <c r="AZ43" i="25"/>
  <c r="AZ57" i="25"/>
  <c r="AY52" i="25"/>
  <c r="AY49" i="25"/>
  <c r="AY57" i="25"/>
  <c r="AY47" i="25"/>
  <c r="AY43" i="25"/>
  <c r="AZ58" i="25"/>
  <c r="AY53" i="25"/>
  <c r="AV67" i="25"/>
  <c r="AY51" i="25"/>
  <c r="AZ42" i="25"/>
  <c r="AV68" i="25"/>
  <c r="AZ55" i="25"/>
  <c r="AZ45" i="25"/>
  <c r="AY58" i="25"/>
  <c r="N21" i="25"/>
  <c r="AY41" i="25"/>
  <c r="AY50" i="25"/>
  <c r="AY54" i="25"/>
  <c r="AY55" i="25"/>
  <c r="AZ53" i="25"/>
  <c r="AY42" i="25"/>
  <c r="AZ46" i="25"/>
  <c r="AZ41" i="25"/>
  <c r="AY48" i="25"/>
  <c r="AV70" i="25"/>
  <c r="AZ51" i="25"/>
  <c r="BG42" i="25"/>
  <c r="AV62" i="25"/>
  <c r="BG47" i="25"/>
  <c r="BG48" i="25"/>
  <c r="BG41" i="25"/>
  <c r="AZ44" i="25"/>
  <c r="AY45" i="25"/>
  <c r="AL56" i="25"/>
  <c r="AR56" i="25" s="1"/>
  <c r="AT56" i="25" s="1"/>
  <c r="AL46" i="25"/>
  <c r="AR46" i="25" s="1"/>
  <c r="AL44" i="25"/>
  <c r="AR44" i="25" s="1"/>
  <c r="AT44" i="25" s="1"/>
  <c r="AL49" i="25"/>
  <c r="AR49" i="25" s="1"/>
  <c r="AT49" i="25" s="1"/>
  <c r="AL53" i="25"/>
  <c r="AR53" i="25" s="1"/>
  <c r="AT53" i="25" s="1"/>
  <c r="AL51" i="25"/>
  <c r="AR51" i="25" s="1"/>
  <c r="AT51" i="25" s="1"/>
  <c r="AL58" i="25"/>
  <c r="AR58" i="25" s="1"/>
  <c r="AT58" i="25" s="1"/>
  <c r="AL42" i="25"/>
  <c r="AR42" i="25" s="1"/>
  <c r="AT42" i="25" s="1"/>
  <c r="AL55" i="25"/>
  <c r="AR55" i="25" s="1"/>
  <c r="AT55" i="25" s="1"/>
  <c r="AL45" i="25"/>
  <c r="AR45" i="25" s="1"/>
  <c r="AT45" i="25" s="1"/>
  <c r="AL54" i="25"/>
  <c r="AR54" i="25" s="1"/>
  <c r="AT54" i="25" s="1"/>
  <c r="AL50" i="25"/>
  <c r="AR50" i="25" s="1"/>
  <c r="AT50" i="25" s="1"/>
  <c r="AL41" i="25"/>
  <c r="AR41" i="25" s="1"/>
  <c r="AT41" i="25" s="1"/>
  <c r="AL60" i="25"/>
  <c r="AR60" i="25" s="1"/>
  <c r="AT60" i="25" s="1"/>
  <c r="AL52" i="25"/>
  <c r="AR52" i="25" s="1"/>
  <c r="AT52" i="25" s="1"/>
  <c r="AL43" i="25"/>
  <c r="AR43" i="25" s="1"/>
  <c r="AT43" i="25" s="1"/>
  <c r="AL57" i="25"/>
  <c r="AR57" i="25" s="1"/>
  <c r="AT57" i="25" s="1"/>
  <c r="AL47" i="25"/>
  <c r="AR47" i="25" s="1"/>
  <c r="AT47" i="25" s="1"/>
  <c r="AL59" i="25"/>
  <c r="AR59" i="25" s="1"/>
  <c r="AT59" i="25" s="1"/>
  <c r="AL48" i="25"/>
  <c r="AR48" i="25" s="1"/>
  <c r="AT48" i="25" s="1"/>
  <c r="AZ49" i="25"/>
  <c r="AY59" i="25"/>
  <c r="AZ48" i="25"/>
  <c r="AZ56" i="25"/>
  <c r="DE101" i="1"/>
  <c r="DD101" i="1"/>
  <c r="CX101" i="1"/>
  <c r="H101" i="1"/>
  <c r="BY101" i="1"/>
  <c r="K101" i="1"/>
  <c r="J101" i="1"/>
  <c r="G101" i="1"/>
  <c r="F101" i="1"/>
  <c r="E101" i="1"/>
  <c r="C101" i="1"/>
  <c r="BG43" i="25" l="1"/>
  <c r="BE48" i="25"/>
  <c r="BF48" i="25" s="1"/>
  <c r="BE51" i="25"/>
  <c r="BE50" i="25"/>
  <c r="M9" i="25"/>
  <c r="AV72" i="25"/>
  <c r="AV71" i="25"/>
  <c r="BB59" i="25"/>
  <c r="BB48" i="25"/>
  <c r="BB56" i="25"/>
  <c r="BB46" i="25"/>
  <c r="BB44" i="25"/>
  <c r="BB52" i="25"/>
  <c r="BB60" i="25"/>
  <c r="BB55" i="25"/>
  <c r="BB45" i="25"/>
  <c r="BB49" i="25"/>
  <c r="BB50" i="25"/>
  <c r="BB41" i="25"/>
  <c r="BB57" i="25"/>
  <c r="BB53" i="25"/>
  <c r="BB42" i="25"/>
  <c r="BB54" i="25"/>
  <c r="BB51" i="25"/>
  <c r="BB47" i="25"/>
  <c r="BB58" i="25"/>
  <c r="BB43" i="25"/>
  <c r="BE47" i="25"/>
  <c r="BF47" i="25" s="1"/>
  <c r="BA61" i="25"/>
  <c r="GO101" i="1"/>
  <c r="DF101" i="1"/>
  <c r="DA101" i="1"/>
  <c r="CV101" i="1"/>
  <c r="CU101" i="1"/>
  <c r="CT101" i="1"/>
  <c r="CS101" i="1"/>
  <c r="CO101" i="1"/>
  <c r="CN101" i="1"/>
  <c r="CJ101" i="1"/>
  <c r="CI101" i="1"/>
  <c r="CH101" i="1"/>
  <c r="CG101" i="1"/>
  <c r="CF101" i="1"/>
  <c r="CE101" i="1"/>
  <c r="CD101" i="1"/>
  <c r="CA101" i="1"/>
  <c r="A101" i="1"/>
  <c r="GN101" i="1"/>
  <c r="CB101" i="1"/>
  <c r="BP101" i="1"/>
  <c r="BO101" i="1"/>
  <c r="BN101" i="1"/>
  <c r="BH101" i="1"/>
  <c r="BG101" i="1"/>
  <c r="BF101" i="1"/>
  <c r="BE101" i="1"/>
  <c r="BD101" i="1"/>
  <c r="BC101" i="1"/>
  <c r="BA101" i="1"/>
  <c r="AY101" i="1"/>
  <c r="AX101" i="1"/>
  <c r="AW101" i="1"/>
  <c r="AV101" i="1"/>
  <c r="AU101" i="1"/>
  <c r="AT101" i="1"/>
  <c r="AR101" i="1"/>
  <c r="AP101" i="1"/>
  <c r="AO101" i="1"/>
  <c r="AN101" i="1"/>
  <c r="AM101" i="1"/>
  <c r="AL101" i="1"/>
  <c r="AK101" i="1"/>
  <c r="AI101" i="1"/>
  <c r="AG101" i="1"/>
  <c r="AA101" i="1"/>
  <c r="Z101" i="1"/>
  <c r="Y101" i="1"/>
  <c r="X101" i="1"/>
  <c r="W101" i="1"/>
  <c r="V101" i="1"/>
  <c r="U101" i="1"/>
  <c r="T101" i="1"/>
  <c r="S101" i="1"/>
  <c r="R101" i="1"/>
  <c r="Q101" i="1"/>
  <c r="P101" i="1"/>
  <c r="O101" i="1"/>
  <c r="N101" i="1"/>
  <c r="M101" i="1"/>
  <c r="L101" i="1"/>
  <c r="B101" i="1"/>
  <c r="BA43" i="25" l="1"/>
  <c r="AW43" i="25" s="1"/>
  <c r="BA45" i="25"/>
  <c r="AW45" i="25" s="1"/>
  <c r="BA44" i="25"/>
  <c r="AW44" i="25" s="1"/>
  <c r="BA41" i="25"/>
  <c r="AW41" i="25" s="1"/>
  <c r="BA42" i="25"/>
  <c r="AW42" i="25" s="1"/>
  <c r="BF50" i="25"/>
  <c r="BG51" i="25" s="1"/>
  <c r="M11" i="25"/>
  <c r="O11" i="25" s="1"/>
  <c r="M10" i="25"/>
  <c r="O10" i="25" s="1"/>
  <c r="O9" i="25"/>
  <c r="C49" i="1"/>
  <c r="C9" i="1"/>
  <c r="D101" i="1" s="1"/>
  <c r="F9" i="1"/>
  <c r="BL101" i="1" s="1"/>
  <c r="D10" i="23" l="1"/>
  <c r="BM101" i="1"/>
  <c r="I33" i="17"/>
  <c r="H33" i="17"/>
  <c r="G33" i="17"/>
  <c r="I32" i="17"/>
  <c r="J32" i="17"/>
  <c r="G32" i="17"/>
  <c r="H32" i="17"/>
  <c r="J33" i="17"/>
  <c r="M33" i="17" s="1"/>
  <c r="F16" i="1"/>
  <c r="K15" i="16" l="1"/>
  <c r="L23" i="1"/>
  <c r="DW101" i="1" s="1"/>
  <c r="D15" i="21" l="1"/>
  <c r="D16" i="21" l="1"/>
  <c r="D16" i="23"/>
  <c r="D15" i="23"/>
  <c r="D12" i="23"/>
  <c r="Q21" i="23"/>
  <c r="P21" i="21"/>
  <c r="J3" i="21" l="1"/>
  <c r="E23" i="17" s="1"/>
  <c r="S22" i="23"/>
  <c r="J2" i="21"/>
  <c r="C21" i="23"/>
  <c r="C22" i="23" l="1"/>
  <c r="B33" i="17" s="1"/>
  <c r="B22" i="23"/>
  <c r="X22" i="23" s="1"/>
  <c r="R22" i="21"/>
  <c r="B22" i="21"/>
  <c r="W22" i="21" s="1"/>
  <c r="R21" i="23"/>
  <c r="B32" i="17"/>
  <c r="O22" i="23" l="1"/>
  <c r="S21" i="23"/>
  <c r="T21" i="23" s="1"/>
  <c r="B23" i="21"/>
  <c r="N22" i="21"/>
  <c r="B23" i="23"/>
  <c r="B24" i="21" l="1"/>
  <c r="B24" i="23"/>
  <c r="C23" i="23"/>
  <c r="B34" i="17" s="1"/>
  <c r="B25" i="21" l="1"/>
  <c r="L23" i="23"/>
  <c r="J23" i="23" s="1"/>
  <c r="C24" i="23"/>
  <c r="L24" i="23" s="1"/>
  <c r="B25" i="23"/>
  <c r="R23" i="23"/>
  <c r="S23" i="23" s="1"/>
  <c r="J24" i="23" l="1"/>
  <c r="I24" i="23"/>
  <c r="H23" i="23"/>
  <c r="I23" i="23"/>
  <c r="B26" i="21"/>
  <c r="B26" i="23"/>
  <c r="C25" i="23"/>
  <c r="L25" i="23" s="1"/>
  <c r="R24" i="23"/>
  <c r="S24" i="23" s="1"/>
  <c r="B35" i="17"/>
  <c r="J25" i="23" l="1"/>
  <c r="I25" i="23"/>
  <c r="B27" i="21"/>
  <c r="C26" i="23"/>
  <c r="R26" i="23" s="1"/>
  <c r="S26" i="23" s="1"/>
  <c r="B27" i="23"/>
  <c r="R25" i="23"/>
  <c r="S25" i="23" s="1"/>
  <c r="B36" i="17"/>
  <c r="C22" i="21"/>
  <c r="C21" i="21"/>
  <c r="Q21" i="21" s="1"/>
  <c r="B28" i="21" l="1"/>
  <c r="L26" i="23"/>
  <c r="J26" i="23" s="1"/>
  <c r="B37" i="17"/>
  <c r="C27" i="23"/>
  <c r="R27" i="23" s="1"/>
  <c r="S27" i="23" s="1"/>
  <c r="B28" i="23"/>
  <c r="R21" i="21"/>
  <c r="S21" i="21" s="1"/>
  <c r="C27" i="21"/>
  <c r="Q27" i="21" s="1"/>
  <c r="R27" i="21" s="1"/>
  <c r="C26" i="21"/>
  <c r="K26" i="21" s="1"/>
  <c r="I26" i="21" s="1"/>
  <c r="C23" i="21"/>
  <c r="C25" i="21"/>
  <c r="K25" i="21" s="1"/>
  <c r="I25" i="21" s="1"/>
  <c r="C24" i="21"/>
  <c r="H25" i="21" l="1"/>
  <c r="H36" i="17" s="1"/>
  <c r="H26" i="21"/>
  <c r="I37" i="17"/>
  <c r="C28" i="21"/>
  <c r="K28" i="21" s="1"/>
  <c r="H28" i="21" s="1"/>
  <c r="I26" i="23"/>
  <c r="Q24" i="21"/>
  <c r="R24" i="21" s="1"/>
  <c r="K24" i="21"/>
  <c r="I24" i="21" s="1"/>
  <c r="K27" i="21"/>
  <c r="I27" i="21" s="1"/>
  <c r="B29" i="21"/>
  <c r="Q23" i="21"/>
  <c r="R23" i="21" s="1"/>
  <c r="K23" i="21"/>
  <c r="I23" i="21" s="1"/>
  <c r="L27" i="23"/>
  <c r="J27" i="23" s="1"/>
  <c r="B38" i="17"/>
  <c r="B29" i="23"/>
  <c r="C28" i="23"/>
  <c r="R28" i="23" s="1"/>
  <c r="S28" i="23" s="1"/>
  <c r="I36" i="17"/>
  <c r="Q26" i="21"/>
  <c r="R26" i="21" s="1"/>
  <c r="Q25" i="21"/>
  <c r="R25" i="21" s="1"/>
  <c r="I28" i="21" l="1"/>
  <c r="H27" i="21"/>
  <c r="I38" i="17"/>
  <c r="H24" i="21"/>
  <c r="H35" i="17" s="1"/>
  <c r="I35" i="17"/>
  <c r="H37" i="17"/>
  <c r="H23" i="21"/>
  <c r="H34" i="17" s="1"/>
  <c r="Q28" i="21"/>
  <c r="R28" i="21" s="1"/>
  <c r="I34" i="17"/>
  <c r="G23" i="21"/>
  <c r="I27" i="23"/>
  <c r="B30" i="21"/>
  <c r="C29" i="21"/>
  <c r="Q29" i="21" s="1"/>
  <c r="R29" i="21" s="1"/>
  <c r="B30" i="23"/>
  <c r="L28" i="23"/>
  <c r="J28" i="23" s="1"/>
  <c r="C29" i="23"/>
  <c r="L29" i="23" s="1"/>
  <c r="I29" i="23" s="1"/>
  <c r="B39" i="17"/>
  <c r="H38" i="17" l="1"/>
  <c r="I39" i="17"/>
  <c r="J29" i="23"/>
  <c r="I28" i="23"/>
  <c r="H39" i="17" s="1"/>
  <c r="B31" i="23"/>
  <c r="B31" i="21"/>
  <c r="C30" i="21"/>
  <c r="Q30" i="21" s="1"/>
  <c r="R30" i="21" s="1"/>
  <c r="K29" i="21"/>
  <c r="I29" i="21" s="1"/>
  <c r="C30" i="23"/>
  <c r="R30" i="23" s="1"/>
  <c r="S30" i="23" s="1"/>
  <c r="B40" i="17"/>
  <c r="R29" i="23"/>
  <c r="S29" i="23" s="1"/>
  <c r="H29" i="21" l="1"/>
  <c r="H40" i="17" s="1"/>
  <c r="I40" i="17"/>
  <c r="B32" i="23"/>
  <c r="C31" i="23"/>
  <c r="L31" i="23" s="1"/>
  <c r="I31" i="23" s="1"/>
  <c r="K30" i="21"/>
  <c r="I30" i="21" s="1"/>
  <c r="C31" i="21"/>
  <c r="Q31" i="21" s="1"/>
  <c r="R31" i="21" s="1"/>
  <c r="B32" i="21"/>
  <c r="B41" i="17"/>
  <c r="L30" i="23"/>
  <c r="J30" i="23" s="1"/>
  <c r="H30" i="21" l="1"/>
  <c r="I41" i="17"/>
  <c r="J31" i="23"/>
  <c r="I30" i="23"/>
  <c r="B42" i="17"/>
  <c r="R31" i="23"/>
  <c r="S31" i="23" s="1"/>
  <c r="B33" i="23"/>
  <c r="C32" i="23"/>
  <c r="L32" i="23" s="1"/>
  <c r="I32" i="23" s="1"/>
  <c r="C32" i="21"/>
  <c r="Q32" i="21" s="1"/>
  <c r="R32" i="21" s="1"/>
  <c r="B33" i="21"/>
  <c r="K31" i="21"/>
  <c r="I31" i="21" s="1"/>
  <c r="H41" i="17" l="1"/>
  <c r="H31" i="21"/>
  <c r="H42" i="17" s="1"/>
  <c r="I42" i="17"/>
  <c r="J32" i="23"/>
  <c r="B34" i="23"/>
  <c r="C33" i="23"/>
  <c r="L33" i="23" s="1"/>
  <c r="I33" i="23" s="1"/>
  <c r="B43" i="17"/>
  <c r="R32" i="23"/>
  <c r="S32" i="23" s="1"/>
  <c r="K32" i="21"/>
  <c r="I32" i="21" s="1"/>
  <c r="B34" i="21"/>
  <c r="C33" i="21"/>
  <c r="Q33" i="21" s="1"/>
  <c r="R33" i="21" s="1"/>
  <c r="H32" i="21" l="1"/>
  <c r="H43" i="17" s="1"/>
  <c r="I43" i="17"/>
  <c r="J33" i="23"/>
  <c r="B35" i="23"/>
  <c r="C34" i="23"/>
  <c r="L34" i="23" s="1"/>
  <c r="I34" i="23" s="1"/>
  <c r="B44" i="17"/>
  <c r="R33" i="23"/>
  <c r="S33" i="23" s="1"/>
  <c r="K33" i="21"/>
  <c r="I33" i="21" s="1"/>
  <c r="B35" i="21"/>
  <c r="C34" i="21"/>
  <c r="Q34" i="21" s="1"/>
  <c r="R34" i="21" s="1"/>
  <c r="H33" i="21" l="1"/>
  <c r="H44" i="17" s="1"/>
  <c r="J34" i="23"/>
  <c r="C35" i="23"/>
  <c r="L35" i="23" s="1"/>
  <c r="I35" i="23" s="1"/>
  <c r="B36" i="23"/>
  <c r="R34" i="23"/>
  <c r="S34" i="23" s="1"/>
  <c r="B45" i="17"/>
  <c r="K34" i="21"/>
  <c r="I34" i="21" s="1"/>
  <c r="B36" i="21"/>
  <c r="C35" i="21"/>
  <c r="Q35" i="21" s="1"/>
  <c r="R35" i="21" s="1"/>
  <c r="I44" i="17"/>
  <c r="H34" i="21" l="1"/>
  <c r="H45" i="17" s="1"/>
  <c r="I45" i="17"/>
  <c r="J35" i="23"/>
  <c r="C36" i="23"/>
  <c r="L36" i="23" s="1"/>
  <c r="J36" i="23" s="1"/>
  <c r="B37" i="23"/>
  <c r="B46" i="17"/>
  <c r="R35" i="23"/>
  <c r="S35" i="23" s="1"/>
  <c r="K35" i="21"/>
  <c r="I35" i="21" s="1"/>
  <c r="B37" i="21"/>
  <c r="C36" i="21"/>
  <c r="Q36" i="21" s="1"/>
  <c r="R36" i="21" s="1"/>
  <c r="H35" i="21" l="1"/>
  <c r="H46" i="17" s="1"/>
  <c r="I46" i="17"/>
  <c r="B47" i="17"/>
  <c r="R36" i="23"/>
  <c r="S36" i="23" s="1"/>
  <c r="I36" i="23"/>
  <c r="B38" i="23"/>
  <c r="C37" i="23"/>
  <c r="L37" i="23" s="1"/>
  <c r="I37" i="23" s="1"/>
  <c r="C37" i="21"/>
  <c r="Q37" i="21" s="1"/>
  <c r="R37" i="21" s="1"/>
  <c r="B38" i="21"/>
  <c r="K36" i="21"/>
  <c r="I36" i="21" s="1"/>
  <c r="H36" i="21" l="1"/>
  <c r="H47" i="17" s="1"/>
  <c r="I47" i="17"/>
  <c r="C38" i="23"/>
  <c r="L38" i="23" s="1"/>
  <c r="I38" i="23" s="1"/>
  <c r="J37" i="23"/>
  <c r="B39" i="23"/>
  <c r="C39" i="23" s="1"/>
  <c r="L39" i="23" s="1"/>
  <c r="I39" i="23" s="1"/>
  <c r="B48" i="17"/>
  <c r="R37" i="23"/>
  <c r="S37" i="23" s="1"/>
  <c r="K37" i="21"/>
  <c r="I37" i="21" s="1"/>
  <c r="B39" i="21"/>
  <c r="C38" i="21"/>
  <c r="Q38" i="21" s="1"/>
  <c r="R38" i="21" s="1"/>
  <c r="H37" i="21" l="1"/>
  <c r="H48" i="17" s="1"/>
  <c r="I48" i="17"/>
  <c r="B40" i="23"/>
  <c r="B41" i="23" s="1"/>
  <c r="B49" i="17"/>
  <c r="R38" i="23"/>
  <c r="S38" i="23" s="1"/>
  <c r="J38" i="23"/>
  <c r="J39" i="23"/>
  <c r="C39" i="21"/>
  <c r="Q39" i="21" s="1"/>
  <c r="R39" i="21" s="1"/>
  <c r="B40" i="21"/>
  <c r="K38" i="21"/>
  <c r="I38" i="21" s="1"/>
  <c r="R39" i="23"/>
  <c r="S39" i="23" s="1"/>
  <c r="B50" i="17"/>
  <c r="H38" i="21" l="1"/>
  <c r="H49" i="17" s="1"/>
  <c r="C40" i="23"/>
  <c r="L40" i="23" s="1"/>
  <c r="I40" i="23" s="1"/>
  <c r="K39" i="21"/>
  <c r="I39" i="21" s="1"/>
  <c r="I49" i="17"/>
  <c r="C40" i="21"/>
  <c r="Q40" i="21" s="1"/>
  <c r="R40" i="21" s="1"/>
  <c r="B41" i="21"/>
  <c r="C41" i="23"/>
  <c r="L41" i="23" s="1"/>
  <c r="I41" i="23" s="1"/>
  <c r="B42" i="23"/>
  <c r="H39" i="21" l="1"/>
  <c r="H50" i="17" s="1"/>
  <c r="I50" i="17"/>
  <c r="B51" i="17"/>
  <c r="R40" i="23"/>
  <c r="S40" i="23" s="1"/>
  <c r="J40" i="23"/>
  <c r="J41" i="23"/>
  <c r="K40" i="21"/>
  <c r="I40" i="21" s="1"/>
  <c r="C41" i="21"/>
  <c r="Q41" i="21" s="1"/>
  <c r="R41" i="21" s="1"/>
  <c r="B42" i="21"/>
  <c r="R41" i="23"/>
  <c r="S41" i="23" s="1"/>
  <c r="B52" i="17"/>
  <c r="C42" i="23"/>
  <c r="L42" i="23" s="1"/>
  <c r="I42" i="23" s="1"/>
  <c r="B43" i="23"/>
  <c r="H40" i="21" l="1"/>
  <c r="H51" i="17" s="1"/>
  <c r="J42" i="23"/>
  <c r="C42" i="21"/>
  <c r="Q42" i="21" s="1"/>
  <c r="R42" i="21" s="1"/>
  <c r="B43" i="21"/>
  <c r="K41" i="21"/>
  <c r="I41" i="21" s="1"/>
  <c r="I51" i="17"/>
  <c r="B44" i="23"/>
  <c r="C43" i="23"/>
  <c r="L43" i="23" s="1"/>
  <c r="I43" i="23" s="1"/>
  <c r="R42" i="23"/>
  <c r="S42" i="23" s="1"/>
  <c r="B53" i="17"/>
  <c r="H41" i="21" l="1"/>
  <c r="H52" i="17" s="1"/>
  <c r="I52" i="17"/>
  <c r="J43" i="23"/>
  <c r="C43" i="21"/>
  <c r="Q43" i="21" s="1"/>
  <c r="R43" i="21" s="1"/>
  <c r="B44" i="21"/>
  <c r="K42" i="21"/>
  <c r="I42" i="21" s="1"/>
  <c r="R43" i="23"/>
  <c r="S43" i="23" s="1"/>
  <c r="B54" i="17"/>
  <c r="B45" i="23"/>
  <c r="C44" i="23"/>
  <c r="L44" i="23" s="1"/>
  <c r="I44" i="23" s="1"/>
  <c r="H42" i="21" l="1"/>
  <c r="H53" i="17" s="1"/>
  <c r="I53" i="17"/>
  <c r="J44" i="23"/>
  <c r="B45" i="21"/>
  <c r="C44" i="21"/>
  <c r="Q44" i="21" s="1"/>
  <c r="R44" i="21" s="1"/>
  <c r="K43" i="21"/>
  <c r="I43" i="21" s="1"/>
  <c r="C45" i="23"/>
  <c r="L45" i="23" s="1"/>
  <c r="I45" i="23" s="1"/>
  <c r="B46" i="23"/>
  <c r="R44" i="23"/>
  <c r="S44" i="23" s="1"/>
  <c r="B55" i="17"/>
  <c r="H43" i="21" l="1"/>
  <c r="H54" i="17" s="1"/>
  <c r="J45" i="23"/>
  <c r="B46" i="21"/>
  <c r="C45" i="21"/>
  <c r="Q45" i="21" s="1"/>
  <c r="R45" i="21" s="1"/>
  <c r="I54" i="17"/>
  <c r="K44" i="21"/>
  <c r="I44" i="21" s="1"/>
  <c r="B47" i="23"/>
  <c r="C46" i="23"/>
  <c r="L46" i="23" s="1"/>
  <c r="I46" i="23" s="1"/>
  <c r="R45" i="23"/>
  <c r="S45" i="23" s="1"/>
  <c r="B56" i="17"/>
  <c r="H44" i="21" l="1"/>
  <c r="H55" i="17" s="1"/>
  <c r="I55" i="17"/>
  <c r="J46" i="23"/>
  <c r="B47" i="21"/>
  <c r="C46" i="21"/>
  <c r="Q46" i="21" s="1"/>
  <c r="R46" i="21" s="1"/>
  <c r="K45" i="21"/>
  <c r="I45" i="21" s="1"/>
  <c r="R46" i="23"/>
  <c r="S46" i="23" s="1"/>
  <c r="B57" i="17"/>
  <c r="B48" i="23"/>
  <c r="C47" i="23"/>
  <c r="L47" i="23" s="1"/>
  <c r="I47" i="23" s="1"/>
  <c r="H45" i="21" l="1"/>
  <c r="H56" i="17" s="1"/>
  <c r="I56" i="17"/>
  <c r="J47" i="23"/>
  <c r="B48" i="21"/>
  <c r="C47" i="21"/>
  <c r="Q47" i="21" s="1"/>
  <c r="R47" i="21" s="1"/>
  <c r="K46" i="21"/>
  <c r="I46" i="21" s="1"/>
  <c r="B49" i="23"/>
  <c r="C48" i="23"/>
  <c r="L48" i="23" s="1"/>
  <c r="I48" i="23" s="1"/>
  <c r="B58" i="17"/>
  <c r="R47" i="23"/>
  <c r="S47" i="23" s="1"/>
  <c r="H46" i="21" l="1"/>
  <c r="H57" i="17" s="1"/>
  <c r="I57" i="17"/>
  <c r="J48" i="23"/>
  <c r="B49" i="21"/>
  <c r="C48" i="21"/>
  <c r="Q48" i="21" s="1"/>
  <c r="R48" i="21" s="1"/>
  <c r="K47" i="21"/>
  <c r="I47" i="21" s="1"/>
  <c r="R48" i="23"/>
  <c r="S48" i="23" s="1"/>
  <c r="B59" i="17"/>
  <c r="C49" i="23"/>
  <c r="L49" i="23" s="1"/>
  <c r="I49" i="23" s="1"/>
  <c r="B50" i="23"/>
  <c r="H47" i="21" l="1"/>
  <c r="H58" i="17" s="1"/>
  <c r="I58" i="17"/>
  <c r="J49" i="23"/>
  <c r="K48" i="21"/>
  <c r="I48" i="21" s="1"/>
  <c r="B50" i="21"/>
  <c r="C49" i="21"/>
  <c r="Q49" i="21" s="1"/>
  <c r="R49" i="21" s="1"/>
  <c r="R49" i="23"/>
  <c r="S49" i="23" s="1"/>
  <c r="B60" i="17"/>
  <c r="C50" i="23"/>
  <c r="L50" i="23" s="1"/>
  <c r="I50" i="23" s="1"/>
  <c r="B51" i="23"/>
  <c r="H48" i="21" l="1"/>
  <c r="H59" i="17" s="1"/>
  <c r="I59" i="17"/>
  <c r="J50" i="23"/>
  <c r="B51" i="21"/>
  <c r="C50" i="21"/>
  <c r="Q50" i="21" s="1"/>
  <c r="R50" i="21" s="1"/>
  <c r="K49" i="21"/>
  <c r="I49" i="21" s="1"/>
  <c r="B52" i="23"/>
  <c r="C51" i="23"/>
  <c r="L51" i="23" s="1"/>
  <c r="I51" i="23" s="1"/>
  <c r="R50" i="23"/>
  <c r="S50" i="23" s="1"/>
  <c r="B61" i="17"/>
  <c r="H49" i="21" l="1"/>
  <c r="H60" i="17" s="1"/>
  <c r="I60" i="17"/>
  <c r="J51" i="23"/>
  <c r="B52" i="21"/>
  <c r="C51" i="21"/>
  <c r="Q51" i="21" s="1"/>
  <c r="R51" i="21" s="1"/>
  <c r="K50" i="21"/>
  <c r="I50" i="21" s="1"/>
  <c r="C52" i="23"/>
  <c r="L52" i="23" s="1"/>
  <c r="I52" i="23" s="1"/>
  <c r="B53" i="23"/>
  <c r="R51" i="23"/>
  <c r="S51" i="23" s="1"/>
  <c r="B62" i="17"/>
  <c r="H50" i="21" l="1"/>
  <c r="H61" i="17" s="1"/>
  <c r="I61" i="17"/>
  <c r="J52" i="23"/>
  <c r="K51" i="21"/>
  <c r="I51" i="21" s="1"/>
  <c r="B53" i="21"/>
  <c r="C52" i="21"/>
  <c r="Q52" i="21" s="1"/>
  <c r="R52" i="21" s="1"/>
  <c r="B54" i="23"/>
  <c r="C53" i="23"/>
  <c r="L53" i="23" s="1"/>
  <c r="I53" i="23" s="1"/>
  <c r="R52" i="23"/>
  <c r="S52" i="23" s="1"/>
  <c r="B63" i="17"/>
  <c r="H51" i="21" l="1"/>
  <c r="H62" i="17" s="1"/>
  <c r="I62" i="17"/>
  <c r="J53" i="23"/>
  <c r="K52" i="21"/>
  <c r="I52" i="21" s="1"/>
  <c r="B54" i="21"/>
  <c r="C53" i="21"/>
  <c r="Q53" i="21" s="1"/>
  <c r="R53" i="21" s="1"/>
  <c r="B64" i="17"/>
  <c r="R53" i="23"/>
  <c r="S53" i="23" s="1"/>
  <c r="B55" i="23"/>
  <c r="C54" i="23"/>
  <c r="L54" i="23" s="1"/>
  <c r="I54" i="23" s="1"/>
  <c r="H52" i="21" l="1"/>
  <c r="H63" i="17" s="1"/>
  <c r="I63" i="17"/>
  <c r="J54" i="23"/>
  <c r="C54" i="21"/>
  <c r="Q54" i="21" s="1"/>
  <c r="R54" i="21" s="1"/>
  <c r="B55" i="21"/>
  <c r="K53" i="21"/>
  <c r="I53" i="21" s="1"/>
  <c r="R54" i="23"/>
  <c r="S54" i="23" s="1"/>
  <c r="B65" i="17"/>
  <c r="C55" i="23"/>
  <c r="L55" i="23" s="1"/>
  <c r="I55" i="23" s="1"/>
  <c r="B56" i="23"/>
  <c r="H53" i="21" l="1"/>
  <c r="H64" i="17" s="1"/>
  <c r="I64" i="17"/>
  <c r="J55" i="23"/>
  <c r="K54" i="21"/>
  <c r="I54" i="21" s="1"/>
  <c r="C55" i="21"/>
  <c r="Q55" i="21" s="1"/>
  <c r="R55" i="21" s="1"/>
  <c r="B56" i="21"/>
  <c r="B57" i="23"/>
  <c r="C56" i="23"/>
  <c r="L56" i="23" s="1"/>
  <c r="I56" i="23" s="1"/>
  <c r="R55" i="23"/>
  <c r="S55" i="23" s="1"/>
  <c r="B66" i="17"/>
  <c r="H54" i="21" l="1"/>
  <c r="H65" i="17" s="1"/>
  <c r="J56" i="23"/>
  <c r="K55" i="21"/>
  <c r="I55" i="21" s="1"/>
  <c r="B57" i="21"/>
  <c r="C56" i="21"/>
  <c r="Q56" i="21" s="1"/>
  <c r="R56" i="21" s="1"/>
  <c r="I65" i="17"/>
  <c r="B67" i="17"/>
  <c r="R56" i="23"/>
  <c r="S56" i="23" s="1"/>
  <c r="B58" i="23"/>
  <c r="C57" i="23"/>
  <c r="L57" i="23" s="1"/>
  <c r="I57" i="23" s="1"/>
  <c r="H55" i="21" l="1"/>
  <c r="H66" i="17" s="1"/>
  <c r="I66" i="17"/>
  <c r="J57" i="23"/>
  <c r="C57" i="21"/>
  <c r="Q57" i="21" s="1"/>
  <c r="R57" i="21" s="1"/>
  <c r="B58" i="21"/>
  <c r="K56" i="21"/>
  <c r="I56" i="21" s="1"/>
  <c r="R57" i="23"/>
  <c r="S57" i="23" s="1"/>
  <c r="B68" i="17"/>
  <c r="B59" i="23"/>
  <c r="C58" i="23"/>
  <c r="L58" i="23" s="1"/>
  <c r="I58" i="23" s="1"/>
  <c r="H56" i="21" l="1"/>
  <c r="H67" i="17" s="1"/>
  <c r="J58" i="23"/>
  <c r="B59" i="21"/>
  <c r="C58" i="21"/>
  <c r="Q58" i="21" s="1"/>
  <c r="R58" i="21" s="1"/>
  <c r="I67" i="17"/>
  <c r="K57" i="21"/>
  <c r="I57" i="21" s="1"/>
  <c r="R58" i="23"/>
  <c r="S58" i="23" s="1"/>
  <c r="B69" i="17"/>
  <c r="B60" i="23"/>
  <c r="C59" i="23"/>
  <c r="L59" i="23" s="1"/>
  <c r="I59" i="23" s="1"/>
  <c r="H57" i="21" l="1"/>
  <c r="H68" i="17" s="1"/>
  <c r="I68" i="17"/>
  <c r="J59" i="23"/>
  <c r="C59" i="21"/>
  <c r="Q59" i="21" s="1"/>
  <c r="R59" i="21" s="1"/>
  <c r="B60" i="21"/>
  <c r="K58" i="21"/>
  <c r="I58" i="21" s="1"/>
  <c r="R59" i="23"/>
  <c r="S59" i="23" s="1"/>
  <c r="B70" i="17"/>
  <c r="C60" i="23"/>
  <c r="L60" i="23" s="1"/>
  <c r="I60" i="23" s="1"/>
  <c r="B61" i="23"/>
  <c r="H58" i="21" l="1"/>
  <c r="H69" i="17" s="1"/>
  <c r="J60" i="23"/>
  <c r="C60" i="21"/>
  <c r="Q60" i="21" s="1"/>
  <c r="R60" i="21" s="1"/>
  <c r="B61" i="21"/>
  <c r="I69" i="17"/>
  <c r="K59" i="21"/>
  <c r="I59" i="21" s="1"/>
  <c r="R60" i="23"/>
  <c r="S60" i="23" s="1"/>
  <c r="B71" i="17"/>
  <c r="C61" i="23"/>
  <c r="L61" i="23" s="1"/>
  <c r="I61" i="23" s="1"/>
  <c r="B62" i="23"/>
  <c r="H59" i="21" l="1"/>
  <c r="H70" i="17" s="1"/>
  <c r="I70" i="17"/>
  <c r="J61" i="23"/>
  <c r="B62" i="21"/>
  <c r="C61" i="21"/>
  <c r="Q61" i="21" s="1"/>
  <c r="R61" i="21" s="1"/>
  <c r="K60" i="21"/>
  <c r="I60" i="21" s="1"/>
  <c r="C62" i="23"/>
  <c r="L62" i="23" s="1"/>
  <c r="I62" i="23" s="1"/>
  <c r="B63" i="23"/>
  <c r="R61" i="23"/>
  <c r="S61" i="23" s="1"/>
  <c r="B72" i="17"/>
  <c r="H60" i="21" l="1"/>
  <c r="H71" i="17" s="1"/>
  <c r="I71" i="17"/>
  <c r="J62" i="23"/>
  <c r="B63" i="21"/>
  <c r="C62" i="21"/>
  <c r="Q62" i="21" s="1"/>
  <c r="R62" i="21" s="1"/>
  <c r="K61" i="21"/>
  <c r="I61" i="21" s="1"/>
  <c r="B73" i="17"/>
  <c r="R62" i="23"/>
  <c r="S62" i="23" s="1"/>
  <c r="C63" i="23"/>
  <c r="L63" i="23" s="1"/>
  <c r="I63" i="23" s="1"/>
  <c r="B64" i="23"/>
  <c r="H61" i="21" l="1"/>
  <c r="H72" i="17" s="1"/>
  <c r="I72" i="17"/>
  <c r="J63" i="23"/>
  <c r="K62" i="21"/>
  <c r="I62" i="21" s="1"/>
  <c r="B64" i="21"/>
  <c r="C63" i="21"/>
  <c r="Q63" i="21" s="1"/>
  <c r="R63" i="21" s="1"/>
  <c r="C64" i="23"/>
  <c r="L64" i="23" s="1"/>
  <c r="I64" i="23" s="1"/>
  <c r="B65" i="23"/>
  <c r="R63" i="23"/>
  <c r="S63" i="23" s="1"/>
  <c r="B74" i="17"/>
  <c r="H62" i="21" l="1"/>
  <c r="H73" i="17" s="1"/>
  <c r="J64" i="23"/>
  <c r="I73" i="17"/>
  <c r="B65" i="21"/>
  <c r="C64" i="21"/>
  <c r="Q64" i="21" s="1"/>
  <c r="R64" i="21" s="1"/>
  <c r="K63" i="21"/>
  <c r="I63" i="21" s="1"/>
  <c r="B66" i="23"/>
  <c r="C65" i="23"/>
  <c r="L65" i="23" s="1"/>
  <c r="I65" i="23" s="1"/>
  <c r="B75" i="17"/>
  <c r="R64" i="23"/>
  <c r="S64" i="23" s="1"/>
  <c r="H63" i="21" l="1"/>
  <c r="H74" i="17" s="1"/>
  <c r="I74" i="17"/>
  <c r="J65" i="23"/>
  <c r="B66" i="21"/>
  <c r="C65" i="21"/>
  <c r="Q65" i="21" s="1"/>
  <c r="R65" i="21" s="1"/>
  <c r="K64" i="21"/>
  <c r="I64" i="21" s="1"/>
  <c r="R65" i="23"/>
  <c r="S65" i="23" s="1"/>
  <c r="B76" i="17"/>
  <c r="B67" i="23"/>
  <c r="C66" i="23"/>
  <c r="L66" i="23" s="1"/>
  <c r="I66" i="23" s="1"/>
  <c r="H64" i="21" l="1"/>
  <c r="H75" i="17" s="1"/>
  <c r="I75" i="17"/>
  <c r="J66" i="23"/>
  <c r="B67" i="21"/>
  <c r="C66" i="21"/>
  <c r="Q66" i="21" s="1"/>
  <c r="R66" i="21" s="1"/>
  <c r="K65" i="21"/>
  <c r="I65" i="21" s="1"/>
  <c r="R66" i="23"/>
  <c r="S66" i="23" s="1"/>
  <c r="B77" i="17"/>
  <c r="B68" i="23"/>
  <c r="C67" i="23"/>
  <c r="L67" i="23" s="1"/>
  <c r="I67" i="23" s="1"/>
  <c r="H65" i="21" l="1"/>
  <c r="H76" i="17" s="1"/>
  <c r="I76" i="17"/>
  <c r="J67" i="23"/>
  <c r="C67" i="21"/>
  <c r="Q67" i="21" s="1"/>
  <c r="R67" i="21" s="1"/>
  <c r="B68" i="21"/>
  <c r="K66" i="21"/>
  <c r="I66" i="21" s="1"/>
  <c r="C68" i="23"/>
  <c r="L68" i="23" s="1"/>
  <c r="I68" i="23" s="1"/>
  <c r="B69" i="23"/>
  <c r="R67" i="23"/>
  <c r="S67" i="23" s="1"/>
  <c r="B78" i="17"/>
  <c r="H66" i="21" l="1"/>
  <c r="H77" i="17" s="1"/>
  <c r="I77" i="17"/>
  <c r="J68" i="23"/>
  <c r="B69" i="21"/>
  <c r="C68" i="21"/>
  <c r="Q68" i="21" s="1"/>
  <c r="R68" i="21" s="1"/>
  <c r="K67" i="21"/>
  <c r="I67" i="21" s="1"/>
  <c r="R68" i="23"/>
  <c r="S68" i="23" s="1"/>
  <c r="B79" i="17"/>
  <c r="C69" i="23"/>
  <c r="L69" i="23" s="1"/>
  <c r="I69" i="23" s="1"/>
  <c r="B70" i="23"/>
  <c r="H67" i="21" l="1"/>
  <c r="H78" i="17" s="1"/>
  <c r="I78" i="17"/>
  <c r="J69" i="23"/>
  <c r="B70" i="21"/>
  <c r="C69" i="21"/>
  <c r="Q69" i="21" s="1"/>
  <c r="R69" i="21" s="1"/>
  <c r="K68" i="21"/>
  <c r="I68" i="21" s="1"/>
  <c r="C70" i="23"/>
  <c r="L70" i="23" s="1"/>
  <c r="I70" i="23" s="1"/>
  <c r="B71" i="23"/>
  <c r="R69" i="23"/>
  <c r="S69" i="23" s="1"/>
  <c r="B80" i="17"/>
  <c r="H68" i="21" l="1"/>
  <c r="H79" i="17" s="1"/>
  <c r="I79" i="17"/>
  <c r="J70" i="23"/>
  <c r="B71" i="21"/>
  <c r="C70" i="21"/>
  <c r="Q70" i="21" s="1"/>
  <c r="R70" i="21" s="1"/>
  <c r="K69" i="21"/>
  <c r="I69" i="21" s="1"/>
  <c r="B72" i="23"/>
  <c r="C71" i="23"/>
  <c r="L71" i="23" s="1"/>
  <c r="I71" i="23" s="1"/>
  <c r="R70" i="23"/>
  <c r="S70" i="23" s="1"/>
  <c r="B81" i="17"/>
  <c r="H69" i="21" l="1"/>
  <c r="H80" i="17" s="1"/>
  <c r="I80" i="17"/>
  <c r="J71" i="23"/>
  <c r="B72" i="21"/>
  <c r="C71" i="21"/>
  <c r="Q71" i="21" s="1"/>
  <c r="R71" i="21" s="1"/>
  <c r="K70" i="21"/>
  <c r="I70" i="21" s="1"/>
  <c r="R71" i="23"/>
  <c r="S71" i="23" s="1"/>
  <c r="B82" i="17"/>
  <c r="C72" i="23"/>
  <c r="L72" i="23" s="1"/>
  <c r="I72" i="23" s="1"/>
  <c r="B73" i="23"/>
  <c r="H70" i="21" l="1"/>
  <c r="H81" i="17" s="1"/>
  <c r="I81" i="17"/>
  <c r="J72" i="23"/>
  <c r="B73" i="21"/>
  <c r="C72" i="21"/>
  <c r="Q72" i="21" s="1"/>
  <c r="R72" i="21" s="1"/>
  <c r="K71" i="21"/>
  <c r="I71" i="21" s="1"/>
  <c r="R72" i="23"/>
  <c r="S72" i="23" s="1"/>
  <c r="B83" i="17"/>
  <c r="B74" i="23"/>
  <c r="C73" i="23"/>
  <c r="L73" i="23" s="1"/>
  <c r="I73" i="23" s="1"/>
  <c r="H71" i="21" l="1"/>
  <c r="H82" i="17" s="1"/>
  <c r="J73" i="23"/>
  <c r="C73" i="21"/>
  <c r="Q73" i="21" s="1"/>
  <c r="R73" i="21" s="1"/>
  <c r="B74" i="21"/>
  <c r="K72" i="21"/>
  <c r="I72" i="21" s="1"/>
  <c r="I82" i="17"/>
  <c r="B75" i="23"/>
  <c r="C74" i="23"/>
  <c r="L74" i="23" s="1"/>
  <c r="I74" i="23" s="1"/>
  <c r="B84" i="17"/>
  <c r="R73" i="23"/>
  <c r="S73" i="23" s="1"/>
  <c r="H72" i="21" l="1"/>
  <c r="H83" i="17" s="1"/>
  <c r="J74" i="23"/>
  <c r="K73" i="21"/>
  <c r="I73" i="21" s="1"/>
  <c r="I83" i="17"/>
  <c r="B75" i="21"/>
  <c r="C74" i="21"/>
  <c r="Q74" i="21" s="1"/>
  <c r="R74" i="21" s="1"/>
  <c r="R74" i="23"/>
  <c r="S74" i="23" s="1"/>
  <c r="B85" i="17"/>
  <c r="B76" i="23"/>
  <c r="C75" i="23"/>
  <c r="L75" i="23" s="1"/>
  <c r="I75" i="23" s="1"/>
  <c r="H73" i="21" l="1"/>
  <c r="H84" i="17" s="1"/>
  <c r="I84" i="17"/>
  <c r="J75" i="23"/>
  <c r="B76" i="21"/>
  <c r="C75" i="21"/>
  <c r="Q75" i="21" s="1"/>
  <c r="R75" i="21" s="1"/>
  <c r="K74" i="21"/>
  <c r="I74" i="21" s="1"/>
  <c r="R75" i="23"/>
  <c r="S75" i="23" s="1"/>
  <c r="B86" i="17"/>
  <c r="B77" i="23"/>
  <c r="C76" i="23"/>
  <c r="L76" i="23" s="1"/>
  <c r="I76" i="23" s="1"/>
  <c r="H74" i="21" l="1"/>
  <c r="H85" i="17" s="1"/>
  <c r="J76" i="23"/>
  <c r="I85" i="17"/>
  <c r="C76" i="21"/>
  <c r="Q76" i="21" s="1"/>
  <c r="R76" i="21" s="1"/>
  <c r="B77" i="21"/>
  <c r="K75" i="21"/>
  <c r="I75" i="21" s="1"/>
  <c r="C77" i="23"/>
  <c r="L77" i="23" s="1"/>
  <c r="I77" i="23" s="1"/>
  <c r="B78" i="23"/>
  <c r="R76" i="23"/>
  <c r="S76" i="23" s="1"/>
  <c r="B87" i="17"/>
  <c r="H75" i="21" l="1"/>
  <c r="H86" i="17" s="1"/>
  <c r="I86" i="17"/>
  <c r="J77" i="23"/>
  <c r="B78" i="21"/>
  <c r="C77" i="21"/>
  <c r="Q77" i="21" s="1"/>
  <c r="R77" i="21" s="1"/>
  <c r="K76" i="21"/>
  <c r="I76" i="21" s="1"/>
  <c r="B79" i="23"/>
  <c r="C78" i="23"/>
  <c r="L78" i="23" s="1"/>
  <c r="I78" i="23" s="1"/>
  <c r="R77" i="23"/>
  <c r="S77" i="23" s="1"/>
  <c r="B88" i="17"/>
  <c r="H76" i="21" l="1"/>
  <c r="H87" i="17" s="1"/>
  <c r="J78" i="23"/>
  <c r="I87" i="17"/>
  <c r="C78" i="21"/>
  <c r="Q78" i="21" s="1"/>
  <c r="R78" i="21" s="1"/>
  <c r="B79" i="21"/>
  <c r="K77" i="21"/>
  <c r="I77" i="21" s="1"/>
  <c r="R78" i="23"/>
  <c r="S78" i="23" s="1"/>
  <c r="B89" i="17"/>
  <c r="B80" i="23"/>
  <c r="C79" i="23"/>
  <c r="L79" i="23" s="1"/>
  <c r="I79" i="23" s="1"/>
  <c r="H77" i="21" l="1"/>
  <c r="H88" i="17" s="1"/>
  <c r="I88" i="17"/>
  <c r="J79" i="23"/>
  <c r="K78" i="21"/>
  <c r="I78" i="21" s="1"/>
  <c r="B80" i="21"/>
  <c r="C79" i="21"/>
  <c r="Q79" i="21" s="1"/>
  <c r="R79" i="21" s="1"/>
  <c r="B81" i="23"/>
  <c r="C80" i="23"/>
  <c r="L80" i="23" s="1"/>
  <c r="I80" i="23" s="1"/>
  <c r="R79" i="23"/>
  <c r="S79" i="23" s="1"/>
  <c r="B90" i="17"/>
  <c r="H78" i="21" l="1"/>
  <c r="H89" i="17" s="1"/>
  <c r="J80" i="23"/>
  <c r="B81" i="21"/>
  <c r="C80" i="21"/>
  <c r="Q80" i="21" s="1"/>
  <c r="R80" i="21" s="1"/>
  <c r="K79" i="21"/>
  <c r="I79" i="21" s="1"/>
  <c r="I89" i="17"/>
  <c r="R80" i="23"/>
  <c r="S80" i="23" s="1"/>
  <c r="B91" i="17"/>
  <c r="C81" i="23"/>
  <c r="L81" i="23" s="1"/>
  <c r="I81" i="23" s="1"/>
  <c r="B82" i="23"/>
  <c r="H79" i="21" l="1"/>
  <c r="H90" i="17" s="1"/>
  <c r="J81" i="23"/>
  <c r="B82" i="21"/>
  <c r="C81" i="21"/>
  <c r="Q81" i="21" s="1"/>
  <c r="R81" i="21" s="1"/>
  <c r="I90" i="17"/>
  <c r="K80" i="21"/>
  <c r="I80" i="21" s="1"/>
  <c r="C82" i="23"/>
  <c r="L82" i="23" s="1"/>
  <c r="I82" i="23" s="1"/>
  <c r="B83" i="23"/>
  <c r="B92" i="17"/>
  <c r="R81" i="23"/>
  <c r="S81" i="23" s="1"/>
  <c r="H80" i="21" l="1"/>
  <c r="H91" i="17" s="1"/>
  <c r="J82" i="23"/>
  <c r="I91" i="17"/>
  <c r="B83" i="21"/>
  <c r="C82" i="21"/>
  <c r="Q82" i="21" s="1"/>
  <c r="R82" i="21" s="1"/>
  <c r="K81" i="21"/>
  <c r="I81" i="21" s="1"/>
  <c r="C83" i="23"/>
  <c r="L83" i="23" s="1"/>
  <c r="I83" i="23" s="1"/>
  <c r="B84" i="23"/>
  <c r="R82" i="23"/>
  <c r="S82" i="23" s="1"/>
  <c r="B93" i="17"/>
  <c r="H81" i="21" l="1"/>
  <c r="H92" i="17" s="1"/>
  <c r="I92" i="17"/>
  <c r="J83" i="23"/>
  <c r="C83" i="21"/>
  <c r="Q83" i="21" s="1"/>
  <c r="R83" i="21" s="1"/>
  <c r="B84" i="21"/>
  <c r="K82" i="21"/>
  <c r="I82" i="21" s="1"/>
  <c r="C84" i="23"/>
  <c r="L84" i="23" s="1"/>
  <c r="I84" i="23" s="1"/>
  <c r="B85" i="23"/>
  <c r="R83" i="23"/>
  <c r="S83" i="23" s="1"/>
  <c r="B94" i="17"/>
  <c r="H82" i="21" l="1"/>
  <c r="H93" i="17" s="1"/>
  <c r="I93" i="17"/>
  <c r="J84" i="23"/>
  <c r="B85" i="21"/>
  <c r="C84" i="21"/>
  <c r="Q84" i="21" s="1"/>
  <c r="R84" i="21" s="1"/>
  <c r="K83" i="21"/>
  <c r="I83" i="21" s="1"/>
  <c r="B86" i="23"/>
  <c r="C85" i="23"/>
  <c r="L85" i="23" s="1"/>
  <c r="I85" i="23" s="1"/>
  <c r="R84" i="23"/>
  <c r="S84" i="23" s="1"/>
  <c r="B95" i="17"/>
  <c r="H83" i="21" l="1"/>
  <c r="H94" i="17" s="1"/>
  <c r="J85" i="23"/>
  <c r="K84" i="21"/>
  <c r="I84" i="21" s="1"/>
  <c r="C85" i="21"/>
  <c r="Q85" i="21" s="1"/>
  <c r="R85" i="21" s="1"/>
  <c r="B86" i="21"/>
  <c r="I94" i="17"/>
  <c r="R85" i="23"/>
  <c r="S85" i="23" s="1"/>
  <c r="B96" i="17"/>
  <c r="C86" i="23"/>
  <c r="L86" i="23" s="1"/>
  <c r="I86" i="23" s="1"/>
  <c r="B87" i="23"/>
  <c r="H84" i="21" l="1"/>
  <c r="H95" i="17" s="1"/>
  <c r="I95" i="17"/>
  <c r="J86" i="23"/>
  <c r="K85" i="21"/>
  <c r="I85" i="21" s="1"/>
  <c r="B87" i="21"/>
  <c r="C86" i="21"/>
  <c r="Q86" i="21" s="1"/>
  <c r="R86" i="21" s="1"/>
  <c r="C87" i="23"/>
  <c r="L87" i="23" s="1"/>
  <c r="I87" i="23" s="1"/>
  <c r="B88" i="23"/>
  <c r="R86" i="23"/>
  <c r="S86" i="23" s="1"/>
  <c r="B97" i="17"/>
  <c r="H85" i="21" l="1"/>
  <c r="H96" i="17" s="1"/>
  <c r="J87" i="23"/>
  <c r="I96" i="17"/>
  <c r="B88" i="21"/>
  <c r="C87" i="21"/>
  <c r="Q87" i="21" s="1"/>
  <c r="R87" i="21" s="1"/>
  <c r="K86" i="21"/>
  <c r="I86" i="21" s="1"/>
  <c r="C88" i="23"/>
  <c r="L88" i="23" s="1"/>
  <c r="I88" i="23" s="1"/>
  <c r="B89" i="23"/>
  <c r="R87" i="23"/>
  <c r="S87" i="23" s="1"/>
  <c r="B98" i="17"/>
  <c r="H86" i="21" l="1"/>
  <c r="H97" i="17" s="1"/>
  <c r="J88" i="23"/>
  <c r="I97" i="17"/>
  <c r="C88" i="21"/>
  <c r="Q88" i="21" s="1"/>
  <c r="R88" i="21" s="1"/>
  <c r="B89" i="21"/>
  <c r="K87" i="21"/>
  <c r="I87" i="21" s="1"/>
  <c r="C89" i="23"/>
  <c r="L89" i="23" s="1"/>
  <c r="I89" i="23" s="1"/>
  <c r="B90" i="23"/>
  <c r="R88" i="23"/>
  <c r="S88" i="23" s="1"/>
  <c r="B99" i="17"/>
  <c r="H87" i="21" l="1"/>
  <c r="H98" i="17" s="1"/>
  <c r="J89" i="23"/>
  <c r="K88" i="21"/>
  <c r="I88" i="21" s="1"/>
  <c r="C89" i="21"/>
  <c r="Q89" i="21" s="1"/>
  <c r="R89" i="21" s="1"/>
  <c r="B90" i="21"/>
  <c r="I98" i="17"/>
  <c r="C90" i="23"/>
  <c r="L90" i="23" s="1"/>
  <c r="I90" i="23" s="1"/>
  <c r="B91" i="23"/>
  <c r="R89" i="23"/>
  <c r="S89" i="23" s="1"/>
  <c r="B100" i="17"/>
  <c r="H88" i="21" l="1"/>
  <c r="H99" i="17" s="1"/>
  <c r="J90" i="23"/>
  <c r="B91" i="21"/>
  <c r="C90" i="21"/>
  <c r="Q90" i="21" s="1"/>
  <c r="R90" i="21" s="1"/>
  <c r="K89" i="21"/>
  <c r="I89" i="21" s="1"/>
  <c r="I99" i="17"/>
  <c r="B92" i="23"/>
  <c r="C91" i="23"/>
  <c r="L91" i="23" s="1"/>
  <c r="I91" i="23" s="1"/>
  <c r="B101" i="17"/>
  <c r="R90" i="23"/>
  <c r="S90" i="23" s="1"/>
  <c r="H89" i="21" l="1"/>
  <c r="H100" i="17" s="1"/>
  <c r="J91" i="23"/>
  <c r="C91" i="21"/>
  <c r="Q91" i="21" s="1"/>
  <c r="R91" i="21" s="1"/>
  <c r="B92" i="21"/>
  <c r="I100" i="17"/>
  <c r="K90" i="21"/>
  <c r="I90" i="21" s="1"/>
  <c r="R91" i="23"/>
  <c r="S91" i="23" s="1"/>
  <c r="B102" i="17"/>
  <c r="C92" i="23"/>
  <c r="L92" i="23" s="1"/>
  <c r="I92" i="23" s="1"/>
  <c r="B93" i="23"/>
  <c r="H90" i="21" l="1"/>
  <c r="H101" i="17" s="1"/>
  <c r="J92" i="23"/>
  <c r="B93" i="21"/>
  <c r="C92" i="21"/>
  <c r="Q92" i="21" s="1"/>
  <c r="R92" i="21" s="1"/>
  <c r="K91" i="21"/>
  <c r="I91" i="21" s="1"/>
  <c r="I101" i="17"/>
  <c r="B94" i="23"/>
  <c r="C93" i="23"/>
  <c r="L93" i="23" s="1"/>
  <c r="I93" i="23" s="1"/>
  <c r="R92" i="23"/>
  <c r="S92" i="23" s="1"/>
  <c r="B103" i="17"/>
  <c r="H91" i="21" l="1"/>
  <c r="H102" i="17" s="1"/>
  <c r="J93" i="23"/>
  <c r="B94" i="21"/>
  <c r="C93" i="21"/>
  <c r="Q93" i="21" s="1"/>
  <c r="R93" i="21" s="1"/>
  <c r="I102" i="17"/>
  <c r="K92" i="21"/>
  <c r="I92" i="21" s="1"/>
  <c r="R93" i="23"/>
  <c r="S93" i="23" s="1"/>
  <c r="B104" i="17"/>
  <c r="B95" i="23"/>
  <c r="C94" i="23"/>
  <c r="L94" i="23" s="1"/>
  <c r="I94" i="23" s="1"/>
  <c r="H92" i="21" l="1"/>
  <c r="H103" i="17" s="1"/>
  <c r="J94" i="23"/>
  <c r="I103" i="17"/>
  <c r="B95" i="21"/>
  <c r="C94" i="21"/>
  <c r="Q94" i="21" s="1"/>
  <c r="R94" i="21" s="1"/>
  <c r="K93" i="21"/>
  <c r="I93" i="21" s="1"/>
  <c r="C95" i="23"/>
  <c r="L95" i="23" s="1"/>
  <c r="I95" i="23" s="1"/>
  <c r="B96" i="23"/>
  <c r="R94" i="23"/>
  <c r="S94" i="23" s="1"/>
  <c r="B105" i="17"/>
  <c r="H93" i="21" l="1"/>
  <c r="H104" i="17" s="1"/>
  <c r="I104" i="17"/>
  <c r="J95" i="23"/>
  <c r="C95" i="21"/>
  <c r="Q95" i="21" s="1"/>
  <c r="R95" i="21" s="1"/>
  <c r="B96" i="21"/>
  <c r="K94" i="21"/>
  <c r="I94" i="21" s="1"/>
  <c r="R95" i="23"/>
  <c r="S95" i="23" s="1"/>
  <c r="B106" i="17"/>
  <c r="C96" i="23"/>
  <c r="L96" i="23" s="1"/>
  <c r="I96" i="23" s="1"/>
  <c r="B97" i="23"/>
  <c r="H94" i="21" l="1"/>
  <c r="H105" i="17" s="1"/>
  <c r="J96" i="23"/>
  <c r="B97" i="21"/>
  <c r="C96" i="21"/>
  <c r="Q96" i="21" s="1"/>
  <c r="R96" i="21" s="1"/>
  <c r="K95" i="21"/>
  <c r="I95" i="21" s="1"/>
  <c r="I105" i="17"/>
  <c r="C97" i="23"/>
  <c r="L97" i="23" s="1"/>
  <c r="I97" i="23" s="1"/>
  <c r="B98" i="23"/>
  <c r="R96" i="23"/>
  <c r="S96" i="23" s="1"/>
  <c r="B107" i="17"/>
  <c r="H95" i="21" l="1"/>
  <c r="H106" i="17" s="1"/>
  <c r="J97" i="23"/>
  <c r="I106" i="17"/>
  <c r="B98" i="21"/>
  <c r="C97" i="21"/>
  <c r="Q97" i="21" s="1"/>
  <c r="R97" i="21" s="1"/>
  <c r="K96" i="21"/>
  <c r="I96" i="21" s="1"/>
  <c r="C98" i="23"/>
  <c r="L98" i="23" s="1"/>
  <c r="I98" i="23" s="1"/>
  <c r="B99" i="23"/>
  <c r="R97" i="23"/>
  <c r="S97" i="23" s="1"/>
  <c r="B108" i="17"/>
  <c r="H96" i="21" l="1"/>
  <c r="H107" i="17" s="1"/>
  <c r="J98" i="23"/>
  <c r="C98" i="21"/>
  <c r="Q98" i="21" s="1"/>
  <c r="R98" i="21" s="1"/>
  <c r="B99" i="21"/>
  <c r="K97" i="21"/>
  <c r="I97" i="21" s="1"/>
  <c r="I107" i="17"/>
  <c r="B100" i="23"/>
  <c r="C99" i="23"/>
  <c r="L99" i="23" s="1"/>
  <c r="I99" i="23" s="1"/>
  <c r="R98" i="23"/>
  <c r="S98" i="23" s="1"/>
  <c r="B109" i="17"/>
  <c r="H97" i="21" l="1"/>
  <c r="H108" i="17" s="1"/>
  <c r="I108" i="17"/>
  <c r="J99" i="23"/>
  <c r="C99" i="21"/>
  <c r="Q99" i="21" s="1"/>
  <c r="R99" i="21" s="1"/>
  <c r="B100" i="21"/>
  <c r="K98" i="21"/>
  <c r="I98" i="21" s="1"/>
  <c r="R99" i="23"/>
  <c r="S99" i="23" s="1"/>
  <c r="B110" i="17"/>
  <c r="B101" i="23"/>
  <c r="C100" i="23"/>
  <c r="L100" i="23" s="1"/>
  <c r="I100" i="23" s="1"/>
  <c r="H98" i="21" l="1"/>
  <c r="H109" i="17" s="1"/>
  <c r="I109" i="17"/>
  <c r="J100" i="23"/>
  <c r="B101" i="21"/>
  <c r="C100" i="21"/>
  <c r="Q100" i="21" s="1"/>
  <c r="R100" i="21" s="1"/>
  <c r="K99" i="21"/>
  <c r="I99" i="21" s="1"/>
  <c r="R100" i="23"/>
  <c r="S100" i="23" s="1"/>
  <c r="B111" i="17"/>
  <c r="B102" i="23"/>
  <c r="C101" i="23"/>
  <c r="L101" i="23" s="1"/>
  <c r="I101" i="23" s="1"/>
  <c r="H99" i="21" l="1"/>
  <c r="H110" i="17" s="1"/>
  <c r="J101" i="23"/>
  <c r="I110" i="17"/>
  <c r="C101" i="21"/>
  <c r="Q101" i="21" s="1"/>
  <c r="R101" i="21" s="1"/>
  <c r="B102" i="21"/>
  <c r="K100" i="21"/>
  <c r="I100" i="21" s="1"/>
  <c r="R101" i="23"/>
  <c r="S101" i="23" s="1"/>
  <c r="B112" i="17"/>
  <c r="C102" i="23"/>
  <c r="L102" i="23" s="1"/>
  <c r="I102" i="23" s="1"/>
  <c r="B103" i="23"/>
  <c r="H100" i="21" l="1"/>
  <c r="H111" i="17" s="1"/>
  <c r="I111" i="17"/>
  <c r="J102" i="23"/>
  <c r="C102" i="21"/>
  <c r="Q102" i="21" s="1"/>
  <c r="R102" i="21" s="1"/>
  <c r="B103" i="21"/>
  <c r="K101" i="21"/>
  <c r="I101" i="21" s="1"/>
  <c r="C103" i="23"/>
  <c r="L103" i="23" s="1"/>
  <c r="I103" i="23" s="1"/>
  <c r="B104" i="23"/>
  <c r="R102" i="23"/>
  <c r="S102" i="23" s="1"/>
  <c r="B113" i="17"/>
  <c r="H101" i="21" l="1"/>
  <c r="H112" i="17" s="1"/>
  <c r="J103" i="23"/>
  <c r="K102" i="21"/>
  <c r="I102" i="21" s="1"/>
  <c r="I112" i="17"/>
  <c r="C103" i="21"/>
  <c r="Q103" i="21" s="1"/>
  <c r="R103" i="21" s="1"/>
  <c r="B104" i="21"/>
  <c r="C104" i="23"/>
  <c r="L104" i="23" s="1"/>
  <c r="I104" i="23" s="1"/>
  <c r="B105" i="23"/>
  <c r="B114" i="17"/>
  <c r="R103" i="23"/>
  <c r="S103" i="23" s="1"/>
  <c r="H102" i="21" l="1"/>
  <c r="H113" i="17" s="1"/>
  <c r="J104" i="23"/>
  <c r="I113" i="17"/>
  <c r="B105" i="21"/>
  <c r="C104" i="21"/>
  <c r="Q104" i="21" s="1"/>
  <c r="R104" i="21" s="1"/>
  <c r="K103" i="21"/>
  <c r="I103" i="21" s="1"/>
  <c r="B106" i="23"/>
  <c r="C105" i="23"/>
  <c r="L105" i="23" s="1"/>
  <c r="I105" i="23" s="1"/>
  <c r="R104" i="23"/>
  <c r="S104" i="23" s="1"/>
  <c r="B115" i="17"/>
  <c r="H103" i="21" l="1"/>
  <c r="H114" i="17" s="1"/>
  <c r="I114" i="17"/>
  <c r="J105" i="23"/>
  <c r="B106" i="21"/>
  <c r="C105" i="21"/>
  <c r="Q105" i="21" s="1"/>
  <c r="R105" i="21" s="1"/>
  <c r="K104" i="21"/>
  <c r="I104" i="21" s="1"/>
  <c r="R105" i="23"/>
  <c r="S105" i="23" s="1"/>
  <c r="B116" i="17"/>
  <c r="C106" i="23"/>
  <c r="L106" i="23" s="1"/>
  <c r="I106" i="23" s="1"/>
  <c r="B107" i="23"/>
  <c r="H104" i="21" l="1"/>
  <c r="H115" i="17" s="1"/>
  <c r="I115" i="17"/>
  <c r="J106" i="23"/>
  <c r="B107" i="21"/>
  <c r="C106" i="21"/>
  <c r="Q106" i="21" s="1"/>
  <c r="R106" i="21" s="1"/>
  <c r="K105" i="21"/>
  <c r="I105" i="21" s="1"/>
  <c r="C107" i="23"/>
  <c r="L107" i="23" s="1"/>
  <c r="I107" i="23" s="1"/>
  <c r="B108" i="23"/>
  <c r="R106" i="23"/>
  <c r="S106" i="23" s="1"/>
  <c r="B117" i="17"/>
  <c r="H105" i="21" l="1"/>
  <c r="H116" i="17" s="1"/>
  <c r="J107" i="23"/>
  <c r="B108" i="21"/>
  <c r="C107" i="21"/>
  <c r="Q107" i="21" s="1"/>
  <c r="R107" i="21" s="1"/>
  <c r="I116" i="17"/>
  <c r="K106" i="21"/>
  <c r="I106" i="21" s="1"/>
  <c r="C108" i="23"/>
  <c r="L108" i="23" s="1"/>
  <c r="I108" i="23" s="1"/>
  <c r="B109" i="23"/>
  <c r="R107" i="23"/>
  <c r="S107" i="23" s="1"/>
  <c r="B118" i="17"/>
  <c r="H106" i="21" l="1"/>
  <c r="H117" i="17" s="1"/>
  <c r="I117" i="17"/>
  <c r="J108" i="23"/>
  <c r="C108" i="21"/>
  <c r="Q108" i="21" s="1"/>
  <c r="R108" i="21" s="1"/>
  <c r="B109" i="21"/>
  <c r="K107" i="21"/>
  <c r="I107" i="21" s="1"/>
  <c r="C109" i="23"/>
  <c r="L109" i="23" s="1"/>
  <c r="I109" i="23" s="1"/>
  <c r="B110" i="23"/>
  <c r="R108" i="23"/>
  <c r="S108" i="23" s="1"/>
  <c r="B119" i="17"/>
  <c r="H107" i="21" l="1"/>
  <c r="H118" i="17" s="1"/>
  <c r="J109" i="23"/>
  <c r="I118" i="17"/>
  <c r="B110" i="21"/>
  <c r="C109" i="21"/>
  <c r="Q109" i="21" s="1"/>
  <c r="R109" i="21" s="1"/>
  <c r="K108" i="21"/>
  <c r="I108" i="21" s="1"/>
  <c r="C110" i="23"/>
  <c r="L110" i="23" s="1"/>
  <c r="I110" i="23" s="1"/>
  <c r="B111" i="23"/>
  <c r="R109" i="23"/>
  <c r="S109" i="23" s="1"/>
  <c r="B120" i="17"/>
  <c r="H108" i="21" l="1"/>
  <c r="H119" i="17" s="1"/>
  <c r="J110" i="23"/>
  <c r="B111" i="21"/>
  <c r="C110" i="21"/>
  <c r="Q110" i="21" s="1"/>
  <c r="R110" i="21" s="1"/>
  <c r="K109" i="21"/>
  <c r="I109" i="21" s="1"/>
  <c r="I119" i="17"/>
  <c r="C111" i="23"/>
  <c r="L111" i="23" s="1"/>
  <c r="I111" i="23" s="1"/>
  <c r="B112" i="23"/>
  <c r="R110" i="23"/>
  <c r="S110" i="23" s="1"/>
  <c r="B121" i="17"/>
  <c r="H109" i="21" l="1"/>
  <c r="H120" i="17" s="1"/>
  <c r="I120" i="17"/>
  <c r="J111" i="23"/>
  <c r="B112" i="21"/>
  <c r="C111" i="21"/>
  <c r="Q111" i="21" s="1"/>
  <c r="R111" i="21" s="1"/>
  <c r="K110" i="21"/>
  <c r="I110" i="21" s="1"/>
  <c r="B113" i="23"/>
  <c r="C112" i="23"/>
  <c r="L112" i="23" s="1"/>
  <c r="I112" i="23" s="1"/>
  <c r="R111" i="23"/>
  <c r="S111" i="23" s="1"/>
  <c r="B122" i="17"/>
  <c r="H110" i="21" l="1"/>
  <c r="H121" i="17" s="1"/>
  <c r="I121" i="17"/>
  <c r="J112" i="23"/>
  <c r="B113" i="21"/>
  <c r="C112" i="21"/>
  <c r="Q112" i="21" s="1"/>
  <c r="R112" i="21" s="1"/>
  <c r="K111" i="21"/>
  <c r="I111" i="21" s="1"/>
  <c r="R112" i="23"/>
  <c r="S112" i="23" s="1"/>
  <c r="B123" i="17"/>
  <c r="B114" i="23"/>
  <c r="C113" i="23"/>
  <c r="L113" i="23" s="1"/>
  <c r="I113" i="23" s="1"/>
  <c r="H111" i="21" l="1"/>
  <c r="H122" i="17" s="1"/>
  <c r="J113" i="23"/>
  <c r="I122" i="17"/>
  <c r="B114" i="21"/>
  <c r="C113" i="21"/>
  <c r="Q113" i="21" s="1"/>
  <c r="R113" i="21" s="1"/>
  <c r="K112" i="21"/>
  <c r="I112" i="21" s="1"/>
  <c r="B115" i="23"/>
  <c r="C114" i="23"/>
  <c r="L114" i="23" s="1"/>
  <c r="I114" i="23" s="1"/>
  <c r="R113" i="23"/>
  <c r="S113" i="23" s="1"/>
  <c r="B124" i="17"/>
  <c r="H112" i="21" l="1"/>
  <c r="H123" i="17" s="1"/>
  <c r="I123" i="17"/>
  <c r="J114" i="23"/>
  <c r="B115" i="21"/>
  <c r="C114" i="21"/>
  <c r="Q114" i="21" s="1"/>
  <c r="R114" i="21" s="1"/>
  <c r="K113" i="21"/>
  <c r="I113" i="21" s="1"/>
  <c r="R114" i="23"/>
  <c r="S114" i="23" s="1"/>
  <c r="B125" i="17"/>
  <c r="C115" i="23"/>
  <c r="L115" i="23" s="1"/>
  <c r="I115" i="23" s="1"/>
  <c r="B116" i="23"/>
  <c r="H113" i="21" l="1"/>
  <c r="H124" i="17" s="1"/>
  <c r="I124" i="17"/>
  <c r="J115" i="23"/>
  <c r="C115" i="21"/>
  <c r="Q115" i="21" s="1"/>
  <c r="R115" i="21" s="1"/>
  <c r="B116" i="21"/>
  <c r="K114" i="21"/>
  <c r="I114" i="21" s="1"/>
  <c r="B117" i="23"/>
  <c r="C116" i="23"/>
  <c r="L116" i="23" s="1"/>
  <c r="I116" i="23" s="1"/>
  <c r="R115" i="23"/>
  <c r="S115" i="23" s="1"/>
  <c r="B126" i="17"/>
  <c r="H114" i="21" l="1"/>
  <c r="H125" i="17" s="1"/>
  <c r="I125" i="17"/>
  <c r="J116" i="23"/>
  <c r="B117" i="21"/>
  <c r="C116" i="21"/>
  <c r="Q116" i="21" s="1"/>
  <c r="R116" i="21" s="1"/>
  <c r="K115" i="21"/>
  <c r="I115" i="21" s="1"/>
  <c r="R116" i="23"/>
  <c r="S116" i="23" s="1"/>
  <c r="B127" i="17"/>
  <c r="B118" i="23"/>
  <c r="C117" i="23"/>
  <c r="L117" i="23" s="1"/>
  <c r="I117" i="23" s="1"/>
  <c r="H115" i="21" l="1"/>
  <c r="H126" i="17" s="1"/>
  <c r="I126" i="17"/>
  <c r="J117" i="23"/>
  <c r="B118" i="21"/>
  <c r="C117" i="21"/>
  <c r="Q117" i="21" s="1"/>
  <c r="R117" i="21" s="1"/>
  <c r="K116" i="21"/>
  <c r="I116" i="21" s="1"/>
  <c r="R117" i="23"/>
  <c r="S117" i="23" s="1"/>
  <c r="B128" i="17"/>
  <c r="B119" i="23"/>
  <c r="C118" i="23"/>
  <c r="L118" i="23" s="1"/>
  <c r="I118" i="23" s="1"/>
  <c r="H116" i="21" l="1"/>
  <c r="H127" i="17" s="1"/>
  <c r="I127" i="17"/>
  <c r="J118" i="23"/>
  <c r="K117" i="21"/>
  <c r="I117" i="21" s="1"/>
  <c r="B119" i="21"/>
  <c r="C118" i="21"/>
  <c r="Q118" i="21" s="1"/>
  <c r="R118" i="21" s="1"/>
  <c r="R118" i="23"/>
  <c r="S118" i="23" s="1"/>
  <c r="B129" i="17"/>
  <c r="C119" i="23"/>
  <c r="L119" i="23" s="1"/>
  <c r="I119" i="23" s="1"/>
  <c r="B120" i="23"/>
  <c r="H117" i="21" l="1"/>
  <c r="H128" i="17" s="1"/>
  <c r="J119" i="23"/>
  <c r="I128" i="17"/>
  <c r="C119" i="21"/>
  <c r="Q119" i="21" s="1"/>
  <c r="R119" i="21" s="1"/>
  <c r="B120" i="21"/>
  <c r="K118" i="21"/>
  <c r="I118" i="21" s="1"/>
  <c r="C120" i="23"/>
  <c r="L120" i="23" s="1"/>
  <c r="I120" i="23" s="1"/>
  <c r="B121" i="23"/>
  <c r="R119" i="23"/>
  <c r="S119" i="23" s="1"/>
  <c r="B130" i="17"/>
  <c r="H118" i="21" l="1"/>
  <c r="H129" i="17" s="1"/>
  <c r="I129" i="17"/>
  <c r="J120" i="23"/>
  <c r="C120" i="21"/>
  <c r="Q120" i="21" s="1"/>
  <c r="R120" i="21" s="1"/>
  <c r="B121" i="21"/>
  <c r="K119" i="21"/>
  <c r="I119" i="21" s="1"/>
  <c r="C121" i="23"/>
  <c r="L121" i="23" s="1"/>
  <c r="I121" i="23" s="1"/>
  <c r="B122" i="23"/>
  <c r="R120" i="23"/>
  <c r="S120" i="23" s="1"/>
  <c r="B131" i="17"/>
  <c r="H119" i="21" l="1"/>
  <c r="H130" i="17" s="1"/>
  <c r="I130" i="17"/>
  <c r="J121" i="23"/>
  <c r="K120" i="21"/>
  <c r="I120" i="21" s="1"/>
  <c r="B122" i="21"/>
  <c r="C121" i="21"/>
  <c r="Q121" i="21" s="1"/>
  <c r="R121" i="21" s="1"/>
  <c r="C122" i="23"/>
  <c r="L122" i="23" s="1"/>
  <c r="I122" i="23" s="1"/>
  <c r="B123" i="23"/>
  <c r="R121" i="23"/>
  <c r="S121" i="23" s="1"/>
  <c r="B132" i="17"/>
  <c r="H120" i="21" l="1"/>
  <c r="H131" i="17" s="1"/>
  <c r="J122" i="23"/>
  <c r="B123" i="21"/>
  <c r="C122" i="21"/>
  <c r="Q122" i="21" s="1"/>
  <c r="R122" i="21" s="1"/>
  <c r="K121" i="21"/>
  <c r="I121" i="21" s="1"/>
  <c r="I131" i="17"/>
  <c r="C123" i="23"/>
  <c r="L123" i="23" s="1"/>
  <c r="I123" i="23" s="1"/>
  <c r="B124" i="23"/>
  <c r="R122" i="23"/>
  <c r="S122" i="23" s="1"/>
  <c r="B133" i="17"/>
  <c r="H121" i="21" l="1"/>
  <c r="H132" i="17" s="1"/>
  <c r="I132" i="17"/>
  <c r="J123" i="23"/>
  <c r="B124" i="21"/>
  <c r="C123" i="21"/>
  <c r="Q123" i="21" s="1"/>
  <c r="R123" i="21" s="1"/>
  <c r="K122" i="21"/>
  <c r="I122" i="21" s="1"/>
  <c r="C124" i="23"/>
  <c r="L124" i="23" s="1"/>
  <c r="I124" i="23" s="1"/>
  <c r="B125" i="23"/>
  <c r="R123" i="23"/>
  <c r="S123" i="23" s="1"/>
  <c r="B134" i="17"/>
  <c r="H122" i="21" l="1"/>
  <c r="H133" i="17" s="1"/>
  <c r="I133" i="17"/>
  <c r="J124" i="23"/>
  <c r="C124" i="21"/>
  <c r="Q124" i="21" s="1"/>
  <c r="R124" i="21" s="1"/>
  <c r="B125" i="21"/>
  <c r="K123" i="21"/>
  <c r="I123" i="21" s="1"/>
  <c r="B126" i="23"/>
  <c r="C125" i="23"/>
  <c r="L125" i="23" s="1"/>
  <c r="I125" i="23" s="1"/>
  <c r="R124" i="23"/>
  <c r="S124" i="23" s="1"/>
  <c r="B135" i="17"/>
  <c r="H123" i="21" l="1"/>
  <c r="H134" i="17" s="1"/>
  <c r="J125" i="23"/>
  <c r="I134" i="17"/>
  <c r="B126" i="21"/>
  <c r="C125" i="21"/>
  <c r="Q125" i="21" s="1"/>
  <c r="R125" i="21" s="1"/>
  <c r="K124" i="21"/>
  <c r="I124" i="21" s="1"/>
  <c r="R125" i="23"/>
  <c r="S125" i="23" s="1"/>
  <c r="B136" i="17"/>
  <c r="B127" i="23"/>
  <c r="C126" i="23"/>
  <c r="L126" i="23" s="1"/>
  <c r="I126" i="23" s="1"/>
  <c r="H124" i="21" l="1"/>
  <c r="H135" i="17" s="1"/>
  <c r="I135" i="17"/>
  <c r="J126" i="23"/>
  <c r="B127" i="21"/>
  <c r="C126" i="21"/>
  <c r="Q126" i="21" s="1"/>
  <c r="R126" i="21" s="1"/>
  <c r="K125" i="21"/>
  <c r="I125" i="21" s="1"/>
  <c r="R126" i="23"/>
  <c r="S126" i="23" s="1"/>
  <c r="B137" i="17"/>
  <c r="C127" i="23"/>
  <c r="L127" i="23" s="1"/>
  <c r="I127" i="23" s="1"/>
  <c r="B128" i="23"/>
  <c r="H125" i="21" l="1"/>
  <c r="H136" i="17" s="1"/>
  <c r="I136" i="17"/>
  <c r="J127" i="23"/>
  <c r="C127" i="21"/>
  <c r="Q127" i="21" s="1"/>
  <c r="R127" i="21" s="1"/>
  <c r="B128" i="21"/>
  <c r="K126" i="21"/>
  <c r="I126" i="21" s="1"/>
  <c r="C128" i="23"/>
  <c r="L128" i="23" s="1"/>
  <c r="I128" i="23" s="1"/>
  <c r="B129" i="23"/>
  <c r="R127" i="23"/>
  <c r="S127" i="23" s="1"/>
  <c r="B138" i="17"/>
  <c r="H126" i="21" l="1"/>
  <c r="H137" i="17" s="1"/>
  <c r="I137" i="17"/>
  <c r="J128" i="23"/>
  <c r="C128" i="21"/>
  <c r="Q128" i="21" s="1"/>
  <c r="R128" i="21" s="1"/>
  <c r="B129" i="21"/>
  <c r="K127" i="21"/>
  <c r="I127" i="21" s="1"/>
  <c r="C129" i="23"/>
  <c r="L129" i="23" s="1"/>
  <c r="I129" i="23" s="1"/>
  <c r="B130" i="23"/>
  <c r="R128" i="23"/>
  <c r="S128" i="23" s="1"/>
  <c r="B139" i="17"/>
  <c r="H127" i="21" l="1"/>
  <c r="H138" i="17" s="1"/>
  <c r="J129" i="23"/>
  <c r="I138" i="17"/>
  <c r="B130" i="21"/>
  <c r="C129" i="21"/>
  <c r="Q129" i="21" s="1"/>
  <c r="R129" i="21" s="1"/>
  <c r="K128" i="21"/>
  <c r="I128" i="21" s="1"/>
  <c r="B131" i="23"/>
  <c r="C130" i="23"/>
  <c r="L130" i="23" s="1"/>
  <c r="I130" i="23" s="1"/>
  <c r="R129" i="23"/>
  <c r="S129" i="23" s="1"/>
  <c r="B140" i="17"/>
  <c r="H128" i="21" l="1"/>
  <c r="H139" i="17" s="1"/>
  <c r="J130" i="23"/>
  <c r="C130" i="21"/>
  <c r="Q130" i="21" s="1"/>
  <c r="R130" i="21" s="1"/>
  <c r="B131" i="21"/>
  <c r="I139" i="17"/>
  <c r="K129" i="21"/>
  <c r="I129" i="21" s="1"/>
  <c r="R130" i="23"/>
  <c r="S130" i="23" s="1"/>
  <c r="B141" i="17"/>
  <c r="C131" i="23"/>
  <c r="L131" i="23" s="1"/>
  <c r="I131" i="23" s="1"/>
  <c r="B132" i="23"/>
  <c r="H129" i="21" l="1"/>
  <c r="J131" i="23"/>
  <c r="B132" i="21"/>
  <c r="C131" i="21"/>
  <c r="Q131" i="21" s="1"/>
  <c r="R131" i="21" s="1"/>
  <c r="I140" i="17"/>
  <c r="H140" i="17"/>
  <c r="K130" i="21"/>
  <c r="I130" i="21" s="1"/>
  <c r="B133" i="23"/>
  <c r="C132" i="23"/>
  <c r="L132" i="23" s="1"/>
  <c r="I132" i="23" s="1"/>
  <c r="R131" i="23"/>
  <c r="S131" i="23" s="1"/>
  <c r="B142" i="17"/>
  <c r="H130" i="21" l="1"/>
  <c r="I141" i="17"/>
  <c r="J132" i="23"/>
  <c r="B133" i="21"/>
  <c r="C132" i="21"/>
  <c r="Q132" i="21" s="1"/>
  <c r="R132" i="21" s="1"/>
  <c r="K131" i="21"/>
  <c r="I131" i="21" s="1"/>
  <c r="H141" i="17"/>
  <c r="R132" i="23"/>
  <c r="S132" i="23" s="1"/>
  <c r="B143" i="17"/>
  <c r="B134" i="23"/>
  <c r="C133" i="23"/>
  <c r="L133" i="23" s="1"/>
  <c r="I133" i="23" s="1"/>
  <c r="H131" i="21" l="1"/>
  <c r="H142" i="17" s="1"/>
  <c r="J133" i="23"/>
  <c r="I142" i="17"/>
  <c r="C133" i="21"/>
  <c r="Q133" i="21" s="1"/>
  <c r="R133" i="21" s="1"/>
  <c r="B134" i="21"/>
  <c r="K132" i="21"/>
  <c r="I132" i="21" s="1"/>
  <c r="C134" i="23"/>
  <c r="L134" i="23" s="1"/>
  <c r="I134" i="23" s="1"/>
  <c r="B135" i="23"/>
  <c r="R133" i="23"/>
  <c r="S133" i="23" s="1"/>
  <c r="B144" i="17"/>
  <c r="H132" i="21" l="1"/>
  <c r="H143" i="17" s="1"/>
  <c r="I143" i="17"/>
  <c r="J134" i="23"/>
  <c r="B135" i="21"/>
  <c r="C134" i="21"/>
  <c r="Q134" i="21" s="1"/>
  <c r="R134" i="21" s="1"/>
  <c r="K133" i="21"/>
  <c r="I133" i="21" s="1"/>
  <c r="B136" i="23"/>
  <c r="C135" i="23"/>
  <c r="L135" i="23" s="1"/>
  <c r="I135" i="23" s="1"/>
  <c r="R134" i="23"/>
  <c r="S134" i="23" s="1"/>
  <c r="B145" i="17"/>
  <c r="H133" i="21" l="1"/>
  <c r="H144" i="17" s="1"/>
  <c r="I144" i="17"/>
  <c r="J135" i="23"/>
  <c r="B136" i="21"/>
  <c r="C135" i="21"/>
  <c r="Q135" i="21" s="1"/>
  <c r="R135" i="21" s="1"/>
  <c r="K134" i="21"/>
  <c r="I134" i="21" s="1"/>
  <c r="R135" i="23"/>
  <c r="S135" i="23" s="1"/>
  <c r="B146" i="17"/>
  <c r="C136" i="23"/>
  <c r="L136" i="23" s="1"/>
  <c r="I136" i="23" s="1"/>
  <c r="B137" i="23"/>
  <c r="H134" i="21" l="1"/>
  <c r="H145" i="17" s="1"/>
  <c r="J136" i="23"/>
  <c r="K135" i="21"/>
  <c r="I135" i="21" s="1"/>
  <c r="B137" i="21"/>
  <c r="C136" i="21"/>
  <c r="Q136" i="21" s="1"/>
  <c r="R136" i="21" s="1"/>
  <c r="I145" i="17"/>
  <c r="R136" i="23"/>
  <c r="S136" i="23" s="1"/>
  <c r="B147" i="17"/>
  <c r="B138" i="23"/>
  <c r="C137" i="23"/>
  <c r="L137" i="23" s="1"/>
  <c r="I137" i="23" s="1"/>
  <c r="H135" i="21" l="1"/>
  <c r="H146" i="17" s="1"/>
  <c r="J137" i="23"/>
  <c r="I146" i="17"/>
  <c r="K136" i="21"/>
  <c r="I136" i="21" s="1"/>
  <c r="B138" i="21"/>
  <c r="C137" i="21"/>
  <c r="Q137" i="21" s="1"/>
  <c r="R137" i="21" s="1"/>
  <c r="R137" i="23"/>
  <c r="S137" i="23" s="1"/>
  <c r="B148" i="17"/>
  <c r="B139" i="23"/>
  <c r="C138" i="23"/>
  <c r="L138" i="23" s="1"/>
  <c r="I138" i="23" s="1"/>
  <c r="H136" i="21" l="1"/>
  <c r="H147" i="17" s="1"/>
  <c r="I147" i="17"/>
  <c r="J138" i="23"/>
  <c r="B139" i="21"/>
  <c r="C138" i="21"/>
  <c r="Q138" i="21" s="1"/>
  <c r="R138" i="21" s="1"/>
  <c r="K137" i="21"/>
  <c r="I137" i="21" s="1"/>
  <c r="R138" i="23"/>
  <c r="S138" i="23" s="1"/>
  <c r="B149" i="17"/>
  <c r="B140" i="23"/>
  <c r="C139" i="23"/>
  <c r="L139" i="23" s="1"/>
  <c r="I139" i="23" s="1"/>
  <c r="H137" i="21" l="1"/>
  <c r="H148" i="17" s="1"/>
  <c r="J139" i="23"/>
  <c r="I148" i="17"/>
  <c r="K138" i="21"/>
  <c r="I138" i="21" s="1"/>
  <c r="B140" i="21"/>
  <c r="C139" i="21"/>
  <c r="Q139" i="21" s="1"/>
  <c r="R139" i="21" s="1"/>
  <c r="B150" i="17"/>
  <c r="R139" i="23"/>
  <c r="S139" i="23" s="1"/>
  <c r="C140" i="23"/>
  <c r="L140" i="23" s="1"/>
  <c r="I140" i="23" s="1"/>
  <c r="B141" i="23"/>
  <c r="H138" i="21" l="1"/>
  <c r="H149" i="17" s="1"/>
  <c r="I149" i="17"/>
  <c r="J140" i="23"/>
  <c r="B141" i="21"/>
  <c r="C140" i="21"/>
  <c r="Q140" i="21" s="1"/>
  <c r="R140" i="21" s="1"/>
  <c r="K139" i="21"/>
  <c r="I139" i="21" s="1"/>
  <c r="B142" i="23"/>
  <c r="C141" i="23"/>
  <c r="L141" i="23" s="1"/>
  <c r="I141" i="23" s="1"/>
  <c r="R140" i="23"/>
  <c r="S140" i="23" s="1"/>
  <c r="B151" i="17"/>
  <c r="H139" i="21" l="1"/>
  <c r="H150" i="17" s="1"/>
  <c r="I150" i="17"/>
  <c r="J141" i="23"/>
  <c r="B142" i="21"/>
  <c r="C141" i="21"/>
  <c r="Q141" i="21" s="1"/>
  <c r="R141" i="21" s="1"/>
  <c r="K140" i="21"/>
  <c r="I140" i="21" s="1"/>
  <c r="R141" i="23"/>
  <c r="S141" i="23" s="1"/>
  <c r="B152" i="17"/>
  <c r="B143" i="23"/>
  <c r="C142" i="23"/>
  <c r="L142" i="23" s="1"/>
  <c r="I142" i="23" s="1"/>
  <c r="H140" i="21" l="1"/>
  <c r="H151" i="17" s="1"/>
  <c r="I151" i="17"/>
  <c r="J142" i="23"/>
  <c r="B143" i="21"/>
  <c r="C142" i="21"/>
  <c r="Q142" i="21" s="1"/>
  <c r="R142" i="21" s="1"/>
  <c r="K141" i="21"/>
  <c r="I141" i="21" s="1"/>
  <c r="R142" i="23"/>
  <c r="S142" i="23" s="1"/>
  <c r="B153" i="17"/>
  <c r="B144" i="23"/>
  <c r="C143" i="23"/>
  <c r="L143" i="23" s="1"/>
  <c r="I143" i="23" s="1"/>
  <c r="H141" i="21" l="1"/>
  <c r="H152" i="17" s="1"/>
  <c r="J143" i="23"/>
  <c r="I152" i="17"/>
  <c r="B144" i="21"/>
  <c r="C143" i="21"/>
  <c r="Q143" i="21" s="1"/>
  <c r="R143" i="21" s="1"/>
  <c r="K142" i="21"/>
  <c r="I142" i="21" s="1"/>
  <c r="C144" i="23"/>
  <c r="L144" i="23" s="1"/>
  <c r="I144" i="23" s="1"/>
  <c r="B145" i="23"/>
  <c r="R143" i="23"/>
  <c r="S143" i="23" s="1"/>
  <c r="B154" i="17"/>
  <c r="H142" i="21" l="1"/>
  <c r="H153" i="17" s="1"/>
  <c r="I153" i="17"/>
  <c r="J144" i="23"/>
  <c r="B145" i="21"/>
  <c r="C144" i="21"/>
  <c r="Q144" i="21" s="1"/>
  <c r="R144" i="21" s="1"/>
  <c r="K143" i="21"/>
  <c r="I143" i="21" s="1"/>
  <c r="B146" i="23"/>
  <c r="C145" i="23"/>
  <c r="L145" i="23" s="1"/>
  <c r="I145" i="23" s="1"/>
  <c r="R144" i="23"/>
  <c r="S144" i="23" s="1"/>
  <c r="B155" i="17"/>
  <c r="H143" i="21" l="1"/>
  <c r="H154" i="17" s="1"/>
  <c r="I154" i="17"/>
  <c r="J145" i="23"/>
  <c r="B146" i="21"/>
  <c r="C145" i="21"/>
  <c r="Q145" i="21" s="1"/>
  <c r="R145" i="21" s="1"/>
  <c r="K144" i="21"/>
  <c r="I144" i="21" s="1"/>
  <c r="R145" i="23"/>
  <c r="S145" i="23" s="1"/>
  <c r="B156" i="17"/>
  <c r="B147" i="23"/>
  <c r="C146" i="23"/>
  <c r="L146" i="23" s="1"/>
  <c r="I146" i="23" s="1"/>
  <c r="H144" i="21" l="1"/>
  <c r="H155" i="17" s="1"/>
  <c r="I155" i="17"/>
  <c r="J146" i="23"/>
  <c r="C146" i="21"/>
  <c r="Q146" i="21" s="1"/>
  <c r="R146" i="21" s="1"/>
  <c r="B147" i="21"/>
  <c r="K145" i="21"/>
  <c r="I145" i="21" s="1"/>
  <c r="C147" i="23"/>
  <c r="L147" i="23" s="1"/>
  <c r="I147" i="23" s="1"/>
  <c r="B148" i="23"/>
  <c r="R146" i="23"/>
  <c r="S146" i="23" s="1"/>
  <c r="B157" i="17"/>
  <c r="H145" i="21" l="1"/>
  <c r="H156" i="17" s="1"/>
  <c r="J147" i="23"/>
  <c r="I156" i="17"/>
  <c r="B148" i="21"/>
  <c r="C147" i="21"/>
  <c r="Q147" i="21" s="1"/>
  <c r="R147" i="21" s="1"/>
  <c r="K146" i="21"/>
  <c r="I146" i="21" s="1"/>
  <c r="C148" i="23"/>
  <c r="L148" i="23" s="1"/>
  <c r="I148" i="23" s="1"/>
  <c r="B149" i="23"/>
  <c r="R147" i="23"/>
  <c r="S147" i="23" s="1"/>
  <c r="B158" i="17"/>
  <c r="H146" i="21" l="1"/>
  <c r="H157" i="17" s="1"/>
  <c r="I157" i="17"/>
  <c r="J148" i="23"/>
  <c r="K147" i="21"/>
  <c r="I147" i="21" s="1"/>
  <c r="C148" i="21"/>
  <c r="Q148" i="21" s="1"/>
  <c r="R148" i="21" s="1"/>
  <c r="B149" i="21"/>
  <c r="C149" i="23"/>
  <c r="L149" i="23" s="1"/>
  <c r="I149" i="23" s="1"/>
  <c r="B150" i="23"/>
  <c r="R148" i="23"/>
  <c r="S148" i="23" s="1"/>
  <c r="B159" i="17"/>
  <c r="H147" i="21" l="1"/>
  <c r="H158" i="17" s="1"/>
  <c r="I158" i="17"/>
  <c r="J149" i="23"/>
  <c r="B150" i="21"/>
  <c r="C149" i="21"/>
  <c r="Q149" i="21" s="1"/>
  <c r="R149" i="21" s="1"/>
  <c r="K148" i="21"/>
  <c r="I148" i="21" s="1"/>
  <c r="C150" i="23"/>
  <c r="L150" i="23" s="1"/>
  <c r="I150" i="23" s="1"/>
  <c r="B151" i="23"/>
  <c r="B160" i="17"/>
  <c r="R149" i="23"/>
  <c r="S149" i="23" s="1"/>
  <c r="H148" i="21" l="1"/>
  <c r="H159" i="17" s="1"/>
  <c r="J150" i="23"/>
  <c r="I159" i="17"/>
  <c r="C150" i="21"/>
  <c r="Q150" i="21" s="1"/>
  <c r="R150" i="21" s="1"/>
  <c r="B151" i="21"/>
  <c r="K149" i="21"/>
  <c r="I149" i="21" s="1"/>
  <c r="B152" i="23"/>
  <c r="C151" i="23"/>
  <c r="L151" i="23" s="1"/>
  <c r="I151" i="23" s="1"/>
  <c r="R150" i="23"/>
  <c r="S150" i="23" s="1"/>
  <c r="B161" i="17"/>
  <c r="H149" i="21" l="1"/>
  <c r="H160" i="17" s="1"/>
  <c r="J151" i="23"/>
  <c r="C151" i="21"/>
  <c r="Q151" i="21" s="1"/>
  <c r="R151" i="21" s="1"/>
  <c r="B152" i="21"/>
  <c r="K150" i="21"/>
  <c r="I150" i="21" s="1"/>
  <c r="I160" i="17"/>
  <c r="R151" i="23"/>
  <c r="S151" i="23" s="1"/>
  <c r="B162" i="17"/>
  <c r="B153" i="23"/>
  <c r="C152" i="23"/>
  <c r="L152" i="23" s="1"/>
  <c r="I152" i="23" s="1"/>
  <c r="H150" i="21" l="1"/>
  <c r="H161" i="17" s="1"/>
  <c r="J152" i="23"/>
  <c r="I161" i="17"/>
  <c r="B153" i="21"/>
  <c r="C152" i="21"/>
  <c r="Q152" i="21" s="1"/>
  <c r="R152" i="21" s="1"/>
  <c r="K151" i="21"/>
  <c r="I151" i="21" s="1"/>
  <c r="R152" i="23"/>
  <c r="S152" i="23" s="1"/>
  <c r="B163" i="17"/>
  <c r="B154" i="23"/>
  <c r="C153" i="23"/>
  <c r="L153" i="23" s="1"/>
  <c r="I153" i="23" s="1"/>
  <c r="H151" i="21" l="1"/>
  <c r="H162" i="17" s="1"/>
  <c r="I162" i="17"/>
  <c r="J153" i="23"/>
  <c r="C153" i="21"/>
  <c r="Q153" i="21" s="1"/>
  <c r="R153" i="21" s="1"/>
  <c r="B154" i="21"/>
  <c r="K152" i="21"/>
  <c r="I152" i="21" s="1"/>
  <c r="B164" i="17"/>
  <c r="R153" i="23"/>
  <c r="S153" i="23" s="1"/>
  <c r="C154" i="23"/>
  <c r="L154" i="23" s="1"/>
  <c r="I154" i="23" s="1"/>
  <c r="B155" i="23"/>
  <c r="H152" i="21" l="1"/>
  <c r="H163" i="17" s="1"/>
  <c r="J154" i="23"/>
  <c r="I163" i="17"/>
  <c r="B155" i="21"/>
  <c r="C154" i="21"/>
  <c r="Q154" i="21" s="1"/>
  <c r="R154" i="21" s="1"/>
  <c r="K153" i="21"/>
  <c r="I153" i="21" s="1"/>
  <c r="B156" i="23"/>
  <c r="C155" i="23"/>
  <c r="L155" i="23" s="1"/>
  <c r="I155" i="23" s="1"/>
  <c r="R154" i="23"/>
  <c r="S154" i="23" s="1"/>
  <c r="B165" i="17"/>
  <c r="H153" i="21" l="1"/>
  <c r="H164" i="17" s="1"/>
  <c r="I164" i="17"/>
  <c r="J155" i="23"/>
  <c r="B156" i="21"/>
  <c r="C155" i="21"/>
  <c r="Q155" i="21" s="1"/>
  <c r="R155" i="21" s="1"/>
  <c r="K154" i="21"/>
  <c r="I154" i="21" s="1"/>
  <c r="R155" i="23"/>
  <c r="S155" i="23" s="1"/>
  <c r="B166" i="17"/>
  <c r="B157" i="23"/>
  <c r="C156" i="23"/>
  <c r="L156" i="23" s="1"/>
  <c r="I156" i="23" s="1"/>
  <c r="H154" i="21" l="1"/>
  <c r="H165" i="17" s="1"/>
  <c r="I165" i="17"/>
  <c r="J156" i="23"/>
  <c r="C156" i="21"/>
  <c r="Q156" i="21" s="1"/>
  <c r="R156" i="21" s="1"/>
  <c r="B157" i="21"/>
  <c r="K155" i="21"/>
  <c r="I155" i="21" s="1"/>
  <c r="B158" i="23"/>
  <c r="C157" i="23"/>
  <c r="L157" i="23" s="1"/>
  <c r="I157" i="23" s="1"/>
  <c r="R156" i="23"/>
  <c r="S156" i="23" s="1"/>
  <c r="B167" i="17"/>
  <c r="H155" i="21" l="1"/>
  <c r="H166" i="17" s="1"/>
  <c r="I166" i="17"/>
  <c r="J157" i="23"/>
  <c r="B158" i="21"/>
  <c r="C157" i="21"/>
  <c r="Q157" i="21" s="1"/>
  <c r="R157" i="21" s="1"/>
  <c r="K156" i="21"/>
  <c r="I156" i="21" s="1"/>
  <c r="R157" i="23"/>
  <c r="S157" i="23" s="1"/>
  <c r="B168" i="17"/>
  <c r="C158" i="23"/>
  <c r="L158" i="23" s="1"/>
  <c r="I158" i="23" s="1"/>
  <c r="B159" i="23"/>
  <c r="H156" i="21" l="1"/>
  <c r="H167" i="17" s="1"/>
  <c r="J158" i="23"/>
  <c r="I167" i="17"/>
  <c r="C158" i="21"/>
  <c r="Q158" i="21" s="1"/>
  <c r="R158" i="21" s="1"/>
  <c r="B159" i="21"/>
  <c r="K157" i="21"/>
  <c r="I157" i="21" s="1"/>
  <c r="B160" i="23"/>
  <c r="C159" i="23"/>
  <c r="L159" i="23" s="1"/>
  <c r="I159" i="23" s="1"/>
  <c r="R158" i="23"/>
  <c r="S158" i="23" s="1"/>
  <c r="B169" i="17"/>
  <c r="H157" i="21" l="1"/>
  <c r="H168" i="17" s="1"/>
  <c r="J159" i="23"/>
  <c r="C159" i="21"/>
  <c r="Q159" i="21" s="1"/>
  <c r="R159" i="21" s="1"/>
  <c r="B160" i="21"/>
  <c r="K158" i="21"/>
  <c r="I158" i="21" s="1"/>
  <c r="I168" i="17"/>
  <c r="R159" i="23"/>
  <c r="S159" i="23" s="1"/>
  <c r="B170" i="17"/>
  <c r="C160" i="23"/>
  <c r="L160" i="23" s="1"/>
  <c r="I160" i="23" s="1"/>
  <c r="B161" i="23"/>
  <c r="H158" i="21" l="1"/>
  <c r="H169" i="17" s="1"/>
  <c r="J160" i="23"/>
  <c r="I169" i="17"/>
  <c r="C160" i="21"/>
  <c r="Q160" i="21" s="1"/>
  <c r="R160" i="21" s="1"/>
  <c r="B161" i="21"/>
  <c r="K159" i="21"/>
  <c r="I159" i="21" s="1"/>
  <c r="C161" i="23"/>
  <c r="L161" i="23" s="1"/>
  <c r="I161" i="23" s="1"/>
  <c r="B162" i="23"/>
  <c r="R160" i="23"/>
  <c r="S160" i="23" s="1"/>
  <c r="B171" i="17"/>
  <c r="H159" i="21" l="1"/>
  <c r="H170" i="17" s="1"/>
  <c r="I170" i="17"/>
  <c r="J161" i="23"/>
  <c r="B162" i="21"/>
  <c r="C161" i="21"/>
  <c r="Q161" i="21" s="1"/>
  <c r="R161" i="21" s="1"/>
  <c r="K160" i="21"/>
  <c r="I160" i="21" s="1"/>
  <c r="B163" i="23"/>
  <c r="C162" i="23"/>
  <c r="L162" i="23" s="1"/>
  <c r="I162" i="23" s="1"/>
  <c r="R161" i="23"/>
  <c r="S161" i="23" s="1"/>
  <c r="B172" i="17"/>
  <c r="H160" i="21" l="1"/>
  <c r="H171" i="17" s="1"/>
  <c r="I171" i="17"/>
  <c r="J162" i="23"/>
  <c r="B163" i="21"/>
  <c r="C162" i="21"/>
  <c r="Q162" i="21" s="1"/>
  <c r="R162" i="21" s="1"/>
  <c r="K161" i="21"/>
  <c r="I161" i="21" s="1"/>
  <c r="R162" i="23"/>
  <c r="S162" i="23" s="1"/>
  <c r="B173" i="17"/>
  <c r="C163" i="23"/>
  <c r="L163" i="23" s="1"/>
  <c r="I163" i="23" s="1"/>
  <c r="B164" i="23"/>
  <c r="H161" i="21" l="1"/>
  <c r="H172" i="17" s="1"/>
  <c r="I172" i="17"/>
  <c r="J163" i="23"/>
  <c r="B164" i="21"/>
  <c r="C163" i="21"/>
  <c r="Q163" i="21" s="1"/>
  <c r="R163" i="21" s="1"/>
  <c r="K162" i="21"/>
  <c r="I162" i="21" s="1"/>
  <c r="C164" i="23"/>
  <c r="L164" i="23" s="1"/>
  <c r="I164" i="23" s="1"/>
  <c r="B165" i="23"/>
  <c r="R163" i="23"/>
  <c r="S163" i="23" s="1"/>
  <c r="B174" i="17"/>
  <c r="H162" i="21" l="1"/>
  <c r="H173" i="17" s="1"/>
  <c r="J164" i="23"/>
  <c r="I173" i="17"/>
  <c r="C164" i="21"/>
  <c r="Q164" i="21" s="1"/>
  <c r="R164" i="21" s="1"/>
  <c r="B165" i="21"/>
  <c r="K163" i="21"/>
  <c r="I163" i="21" s="1"/>
  <c r="C165" i="23"/>
  <c r="L165" i="23" s="1"/>
  <c r="I165" i="23" s="1"/>
  <c r="B166" i="23"/>
  <c r="R164" i="23"/>
  <c r="S164" i="23" s="1"/>
  <c r="B175" i="17"/>
  <c r="H163" i="21" l="1"/>
  <c r="H174" i="17" s="1"/>
  <c r="I174" i="17"/>
  <c r="J165" i="23"/>
  <c r="B166" i="21"/>
  <c r="C165" i="21"/>
  <c r="Q165" i="21" s="1"/>
  <c r="R165" i="21" s="1"/>
  <c r="K164" i="21"/>
  <c r="I164" i="21" s="1"/>
  <c r="C166" i="23"/>
  <c r="L166" i="23" s="1"/>
  <c r="I166" i="23" s="1"/>
  <c r="B167" i="23"/>
  <c r="B176" i="17"/>
  <c r="R165" i="23"/>
  <c r="S165" i="23" s="1"/>
  <c r="H164" i="21" l="1"/>
  <c r="H175" i="17" s="1"/>
  <c r="J166" i="23"/>
  <c r="I175" i="17"/>
  <c r="B167" i="21"/>
  <c r="C166" i="21"/>
  <c r="Q166" i="21" s="1"/>
  <c r="R166" i="21" s="1"/>
  <c r="K165" i="21"/>
  <c r="I165" i="21" s="1"/>
  <c r="C167" i="23"/>
  <c r="L167" i="23" s="1"/>
  <c r="I167" i="23" s="1"/>
  <c r="B168" i="23"/>
  <c r="R166" i="23"/>
  <c r="S166" i="23" s="1"/>
  <c r="B177" i="17"/>
  <c r="H165" i="21" l="1"/>
  <c r="H176" i="17" s="1"/>
  <c r="I176" i="17"/>
  <c r="J167" i="23"/>
  <c r="B168" i="21"/>
  <c r="C167" i="21"/>
  <c r="Q167" i="21" s="1"/>
  <c r="R167" i="21" s="1"/>
  <c r="K166" i="21"/>
  <c r="I166" i="21" s="1"/>
  <c r="B169" i="23"/>
  <c r="C168" i="23"/>
  <c r="L168" i="23" s="1"/>
  <c r="I168" i="23" s="1"/>
  <c r="R167" i="23"/>
  <c r="S167" i="23" s="1"/>
  <c r="B178" i="17"/>
  <c r="H166" i="21" l="1"/>
  <c r="H177" i="17" s="1"/>
  <c r="J168" i="23"/>
  <c r="I177" i="17"/>
  <c r="B169" i="21"/>
  <c r="C168" i="21"/>
  <c r="Q168" i="21" s="1"/>
  <c r="R168" i="21" s="1"/>
  <c r="K167" i="21"/>
  <c r="I167" i="21" s="1"/>
  <c r="R168" i="23"/>
  <c r="S168" i="23" s="1"/>
  <c r="B179" i="17"/>
  <c r="C169" i="23"/>
  <c r="L169" i="23" s="1"/>
  <c r="I169" i="23" s="1"/>
  <c r="B170" i="23"/>
  <c r="H167" i="21" l="1"/>
  <c r="H178" i="17" s="1"/>
  <c r="I178" i="17"/>
  <c r="J169" i="23"/>
  <c r="B170" i="21"/>
  <c r="C169" i="21"/>
  <c r="Q169" i="21" s="1"/>
  <c r="R169" i="21" s="1"/>
  <c r="K168" i="21"/>
  <c r="I168" i="21" s="1"/>
  <c r="B171" i="23"/>
  <c r="C170" i="23"/>
  <c r="L170" i="23" s="1"/>
  <c r="I170" i="23" s="1"/>
  <c r="R169" i="23"/>
  <c r="S169" i="23" s="1"/>
  <c r="B180" i="17"/>
  <c r="H168" i="21" l="1"/>
  <c r="H179" i="17" s="1"/>
  <c r="I179" i="17"/>
  <c r="J170" i="23"/>
  <c r="B171" i="21"/>
  <c r="C170" i="21"/>
  <c r="Q170" i="21" s="1"/>
  <c r="R170" i="21" s="1"/>
  <c r="K169" i="21"/>
  <c r="I169" i="21" s="1"/>
  <c r="R170" i="23"/>
  <c r="S170" i="23" s="1"/>
  <c r="B181" i="17"/>
  <c r="B172" i="23"/>
  <c r="C171" i="23"/>
  <c r="L171" i="23" s="1"/>
  <c r="I171" i="23" s="1"/>
  <c r="H169" i="21" l="1"/>
  <c r="H180" i="17" s="1"/>
  <c r="I180" i="17"/>
  <c r="J171" i="23"/>
  <c r="B172" i="21"/>
  <c r="C171" i="21"/>
  <c r="Q171" i="21" s="1"/>
  <c r="R171" i="21" s="1"/>
  <c r="K170" i="21"/>
  <c r="I170" i="21" s="1"/>
  <c r="B173" i="23"/>
  <c r="C172" i="23"/>
  <c r="L172" i="23" s="1"/>
  <c r="I172" i="23" s="1"/>
  <c r="R171" i="23"/>
  <c r="S171" i="23" s="1"/>
  <c r="B182" i="17"/>
  <c r="H170" i="21" l="1"/>
  <c r="H181" i="17" s="1"/>
  <c r="I181" i="17"/>
  <c r="J172" i="23"/>
  <c r="B173" i="21"/>
  <c r="C172" i="21"/>
  <c r="Q172" i="21" s="1"/>
  <c r="R172" i="21" s="1"/>
  <c r="K171" i="21"/>
  <c r="I171" i="21" s="1"/>
  <c r="R172" i="23"/>
  <c r="S172" i="23" s="1"/>
  <c r="B183" i="17"/>
  <c r="B174" i="23"/>
  <c r="C173" i="23"/>
  <c r="L173" i="23" s="1"/>
  <c r="I173" i="23" s="1"/>
  <c r="H171" i="21" l="1"/>
  <c r="H182" i="17" s="1"/>
  <c r="I182" i="17"/>
  <c r="J173" i="23"/>
  <c r="B174" i="21"/>
  <c r="C173" i="21"/>
  <c r="Q173" i="21" s="1"/>
  <c r="R173" i="21" s="1"/>
  <c r="K172" i="21"/>
  <c r="I172" i="21" s="1"/>
  <c r="R173" i="23"/>
  <c r="S173" i="23" s="1"/>
  <c r="B184" i="17"/>
  <c r="B175" i="23"/>
  <c r="C174" i="23"/>
  <c r="L174" i="23" s="1"/>
  <c r="I174" i="23" s="1"/>
  <c r="H172" i="21" l="1"/>
  <c r="H183" i="17" s="1"/>
  <c r="I183" i="17"/>
  <c r="J174" i="23"/>
  <c r="B175" i="21"/>
  <c r="C174" i="21"/>
  <c r="Q174" i="21" s="1"/>
  <c r="R174" i="21" s="1"/>
  <c r="K173" i="21"/>
  <c r="I173" i="21" s="1"/>
  <c r="R174" i="23"/>
  <c r="S174" i="23" s="1"/>
  <c r="B185" i="17"/>
  <c r="C175" i="23"/>
  <c r="L175" i="23" s="1"/>
  <c r="I175" i="23" s="1"/>
  <c r="B176" i="23"/>
  <c r="H173" i="21" l="1"/>
  <c r="H184" i="17" s="1"/>
  <c r="I184" i="17"/>
  <c r="J175" i="23"/>
  <c r="B176" i="21"/>
  <c r="C175" i="21"/>
  <c r="Q175" i="21" s="1"/>
  <c r="R175" i="21" s="1"/>
  <c r="K174" i="21"/>
  <c r="I174" i="21" s="1"/>
  <c r="B177" i="23"/>
  <c r="C176" i="23"/>
  <c r="L176" i="23" s="1"/>
  <c r="I176" i="23" s="1"/>
  <c r="B186" i="17"/>
  <c r="R175" i="23"/>
  <c r="S175" i="23" s="1"/>
  <c r="H174" i="21" l="1"/>
  <c r="H185" i="17" s="1"/>
  <c r="I185" i="17"/>
  <c r="J176" i="23"/>
  <c r="B177" i="21"/>
  <c r="C176" i="21"/>
  <c r="Q176" i="21" s="1"/>
  <c r="R176" i="21" s="1"/>
  <c r="K175" i="21"/>
  <c r="I175" i="21" s="1"/>
  <c r="R176" i="23"/>
  <c r="S176" i="23" s="1"/>
  <c r="B187" i="17"/>
  <c r="B178" i="23"/>
  <c r="C177" i="23"/>
  <c r="L177" i="23" s="1"/>
  <c r="I177" i="23" s="1"/>
  <c r="H175" i="21" l="1"/>
  <c r="H186" i="17" s="1"/>
  <c r="I186" i="17"/>
  <c r="J177" i="23"/>
  <c r="B178" i="21"/>
  <c r="C177" i="21"/>
  <c r="Q177" i="21" s="1"/>
  <c r="R177" i="21" s="1"/>
  <c r="K176" i="21"/>
  <c r="I176" i="21" s="1"/>
  <c r="C178" i="23"/>
  <c r="L178" i="23" s="1"/>
  <c r="I178" i="23" s="1"/>
  <c r="B179" i="23"/>
  <c r="R177" i="23"/>
  <c r="S177" i="23" s="1"/>
  <c r="B188" i="17"/>
  <c r="H176" i="21" l="1"/>
  <c r="H187" i="17" s="1"/>
  <c r="J178" i="23"/>
  <c r="I187" i="17"/>
  <c r="C178" i="21"/>
  <c r="Q178" i="21" s="1"/>
  <c r="R178" i="21" s="1"/>
  <c r="B179" i="21"/>
  <c r="K177" i="21"/>
  <c r="I177" i="21" s="1"/>
  <c r="B180" i="23"/>
  <c r="C179" i="23"/>
  <c r="L179" i="23" s="1"/>
  <c r="I179" i="23" s="1"/>
  <c r="R178" i="23"/>
  <c r="S178" i="23" s="1"/>
  <c r="B189" i="17"/>
  <c r="H177" i="21" l="1"/>
  <c r="H188" i="17" s="1"/>
  <c r="I188" i="17"/>
  <c r="J179" i="23"/>
  <c r="B180" i="21"/>
  <c r="C179" i="21"/>
  <c r="Q179" i="21" s="1"/>
  <c r="R179" i="21" s="1"/>
  <c r="K178" i="21"/>
  <c r="I178" i="21" s="1"/>
  <c r="R179" i="23"/>
  <c r="S179" i="23" s="1"/>
  <c r="B190" i="17"/>
  <c r="B181" i="23"/>
  <c r="C180" i="23"/>
  <c r="L180" i="23" s="1"/>
  <c r="I180" i="23" s="1"/>
  <c r="H178" i="21" l="1"/>
  <c r="H189" i="17" s="1"/>
  <c r="J180" i="23"/>
  <c r="B181" i="21"/>
  <c r="C180" i="21"/>
  <c r="Q180" i="21" s="1"/>
  <c r="R180" i="21" s="1"/>
  <c r="I189" i="17"/>
  <c r="K179" i="21"/>
  <c r="I179" i="21" s="1"/>
  <c r="C181" i="23"/>
  <c r="L181" i="23" s="1"/>
  <c r="I181" i="23" s="1"/>
  <c r="B182" i="23"/>
  <c r="R180" i="23"/>
  <c r="S180" i="23" s="1"/>
  <c r="B191" i="17"/>
  <c r="H179" i="21" l="1"/>
  <c r="H190" i="17" s="1"/>
  <c r="J181" i="23"/>
  <c r="B182" i="21"/>
  <c r="C181" i="21"/>
  <c r="Q181" i="21" s="1"/>
  <c r="R181" i="21" s="1"/>
  <c r="I190" i="17"/>
  <c r="K180" i="21"/>
  <c r="I180" i="21" s="1"/>
  <c r="B183" i="23"/>
  <c r="C182" i="23"/>
  <c r="L182" i="23" s="1"/>
  <c r="I182" i="23" s="1"/>
  <c r="R181" i="23"/>
  <c r="S181" i="23" s="1"/>
  <c r="B192" i="17"/>
  <c r="H180" i="21" l="1"/>
  <c r="H191" i="17" s="1"/>
  <c r="I191" i="17"/>
  <c r="J182" i="23"/>
  <c r="B183" i="21"/>
  <c r="C182" i="21"/>
  <c r="Q182" i="21" s="1"/>
  <c r="R182" i="21" s="1"/>
  <c r="K181" i="21"/>
  <c r="I181" i="21" s="1"/>
  <c r="R182" i="23"/>
  <c r="S182" i="23" s="1"/>
  <c r="B193" i="17"/>
  <c r="C183" i="23"/>
  <c r="L183" i="23" s="1"/>
  <c r="I183" i="23" s="1"/>
  <c r="B184" i="23"/>
  <c r="H181" i="21" l="1"/>
  <c r="H192" i="17" s="1"/>
  <c r="J183" i="23"/>
  <c r="I192" i="17"/>
  <c r="B184" i="21"/>
  <c r="C183" i="21"/>
  <c r="Q183" i="21" s="1"/>
  <c r="R183" i="21" s="1"/>
  <c r="K182" i="21"/>
  <c r="I182" i="21" s="1"/>
  <c r="C184" i="23"/>
  <c r="L184" i="23" s="1"/>
  <c r="I184" i="23" s="1"/>
  <c r="B185" i="23"/>
  <c r="B194" i="17"/>
  <c r="R183" i="23"/>
  <c r="S183" i="23" s="1"/>
  <c r="H182" i="21" l="1"/>
  <c r="H193" i="17" s="1"/>
  <c r="I193" i="17"/>
  <c r="J184" i="23"/>
  <c r="C184" i="21"/>
  <c r="Q184" i="21" s="1"/>
  <c r="R184" i="21" s="1"/>
  <c r="B185" i="21"/>
  <c r="K183" i="21"/>
  <c r="I183" i="21" s="1"/>
  <c r="B186" i="23"/>
  <c r="C185" i="23"/>
  <c r="L185" i="23" s="1"/>
  <c r="I185" i="23" s="1"/>
  <c r="R184" i="23"/>
  <c r="S184" i="23" s="1"/>
  <c r="B195" i="17"/>
  <c r="H183" i="21" l="1"/>
  <c r="H194" i="17" s="1"/>
  <c r="J185" i="23"/>
  <c r="K184" i="21"/>
  <c r="I184" i="21" s="1"/>
  <c r="I194" i="17"/>
  <c r="B186" i="21"/>
  <c r="C185" i="21"/>
  <c r="Q185" i="21" s="1"/>
  <c r="R185" i="21" s="1"/>
  <c r="R185" i="23"/>
  <c r="S185" i="23" s="1"/>
  <c r="B196" i="17"/>
  <c r="C186" i="23"/>
  <c r="L186" i="23" s="1"/>
  <c r="I186" i="23" s="1"/>
  <c r="B187" i="23"/>
  <c r="H184" i="21" l="1"/>
  <c r="H195" i="17" s="1"/>
  <c r="I195" i="17"/>
  <c r="J186" i="23"/>
  <c r="K185" i="21"/>
  <c r="I185" i="21" s="1"/>
  <c r="B187" i="21"/>
  <c r="C186" i="21"/>
  <c r="Q186" i="21" s="1"/>
  <c r="R186" i="21" s="1"/>
  <c r="B188" i="23"/>
  <c r="C187" i="23"/>
  <c r="L187" i="23" s="1"/>
  <c r="I187" i="23" s="1"/>
  <c r="R186" i="23"/>
  <c r="S186" i="23" s="1"/>
  <c r="B197" i="17"/>
  <c r="H185" i="21" l="1"/>
  <c r="H196" i="17" s="1"/>
  <c r="I196" i="17"/>
  <c r="J187" i="23"/>
  <c r="B188" i="21"/>
  <c r="C187" i="21"/>
  <c r="Q187" i="21" s="1"/>
  <c r="R187" i="21" s="1"/>
  <c r="K186" i="21"/>
  <c r="I186" i="21" s="1"/>
  <c r="R187" i="23"/>
  <c r="S187" i="23" s="1"/>
  <c r="B198" i="17"/>
  <c r="B189" i="23"/>
  <c r="C188" i="23"/>
  <c r="L188" i="23" s="1"/>
  <c r="I188" i="23" s="1"/>
  <c r="H186" i="21" l="1"/>
  <c r="H197" i="17" s="1"/>
  <c r="I197" i="17"/>
  <c r="J188" i="23"/>
  <c r="B189" i="21"/>
  <c r="C188" i="21"/>
  <c r="Q188" i="21" s="1"/>
  <c r="R188" i="21" s="1"/>
  <c r="K187" i="21"/>
  <c r="I187" i="21" s="1"/>
  <c r="R188" i="23"/>
  <c r="S188" i="23" s="1"/>
  <c r="B199" i="17"/>
  <c r="B190" i="23"/>
  <c r="C189" i="23"/>
  <c r="L189" i="23" s="1"/>
  <c r="I189" i="23" s="1"/>
  <c r="H187" i="21" l="1"/>
  <c r="H198" i="17" s="1"/>
  <c r="I198" i="17"/>
  <c r="J189" i="23"/>
  <c r="B190" i="21"/>
  <c r="C189" i="21"/>
  <c r="Q189" i="21" s="1"/>
  <c r="R189" i="21" s="1"/>
  <c r="K188" i="21"/>
  <c r="I188" i="21" s="1"/>
  <c r="B191" i="23"/>
  <c r="C190" i="23"/>
  <c r="L190" i="23" s="1"/>
  <c r="I190" i="23" s="1"/>
  <c r="R189" i="23"/>
  <c r="S189" i="23" s="1"/>
  <c r="B200" i="17"/>
  <c r="H188" i="21" l="1"/>
  <c r="H199" i="17" s="1"/>
  <c r="J190" i="23"/>
  <c r="I199" i="17"/>
  <c r="B191" i="21"/>
  <c r="C190" i="21"/>
  <c r="Q190" i="21" s="1"/>
  <c r="R190" i="21" s="1"/>
  <c r="K189" i="21"/>
  <c r="I189" i="21" s="1"/>
  <c r="R190" i="23"/>
  <c r="S190" i="23" s="1"/>
  <c r="B201" i="17"/>
  <c r="C191" i="23"/>
  <c r="L191" i="23" s="1"/>
  <c r="I191" i="23" s="1"/>
  <c r="B192" i="23"/>
  <c r="H189" i="21" l="1"/>
  <c r="H200" i="17" s="1"/>
  <c r="J191" i="23"/>
  <c r="K190" i="21"/>
  <c r="I190" i="21" s="1"/>
  <c r="I200" i="17"/>
  <c r="C191" i="21"/>
  <c r="Q191" i="21" s="1"/>
  <c r="R191" i="21" s="1"/>
  <c r="B192" i="21"/>
  <c r="B202" i="17"/>
  <c r="R191" i="23"/>
  <c r="S191" i="23" s="1"/>
  <c r="C192" i="23"/>
  <c r="L192" i="23" s="1"/>
  <c r="I192" i="23" s="1"/>
  <c r="B193" i="23"/>
  <c r="H190" i="21" l="1"/>
  <c r="H201" i="17" s="1"/>
  <c r="J192" i="23"/>
  <c r="I201" i="17"/>
  <c r="K191" i="21"/>
  <c r="I191" i="21" s="1"/>
  <c r="B193" i="21"/>
  <c r="C192" i="21"/>
  <c r="Q192" i="21" s="1"/>
  <c r="R192" i="21" s="1"/>
  <c r="C193" i="23"/>
  <c r="L193" i="23" s="1"/>
  <c r="I193" i="23" s="1"/>
  <c r="B194" i="23"/>
  <c r="B203" i="17"/>
  <c r="R192" i="23"/>
  <c r="S192" i="23" s="1"/>
  <c r="H191" i="21" l="1"/>
  <c r="H202" i="17" s="1"/>
  <c r="I202" i="17"/>
  <c r="J193" i="23"/>
  <c r="B194" i="21"/>
  <c r="C193" i="21"/>
  <c r="Q193" i="21" s="1"/>
  <c r="R193" i="21" s="1"/>
  <c r="K192" i="21"/>
  <c r="I192" i="21" s="1"/>
  <c r="B195" i="23"/>
  <c r="C194" i="23"/>
  <c r="L194" i="23" s="1"/>
  <c r="I194" i="23" s="1"/>
  <c r="R193" i="23"/>
  <c r="S193" i="23" s="1"/>
  <c r="B204" i="17"/>
  <c r="H192" i="21" l="1"/>
  <c r="H203" i="17" s="1"/>
  <c r="J194" i="23"/>
  <c r="I203" i="17"/>
  <c r="C194" i="21"/>
  <c r="Q194" i="21" s="1"/>
  <c r="R194" i="21" s="1"/>
  <c r="B195" i="21"/>
  <c r="K193" i="21"/>
  <c r="I193" i="21" s="1"/>
  <c r="R194" i="23"/>
  <c r="S194" i="23" s="1"/>
  <c r="B205" i="17"/>
  <c r="B196" i="23"/>
  <c r="C195" i="23"/>
  <c r="L195" i="23" s="1"/>
  <c r="I195" i="23" s="1"/>
  <c r="H193" i="21" l="1"/>
  <c r="H204" i="17" s="1"/>
  <c r="I204" i="17"/>
  <c r="J195" i="23"/>
  <c r="B196" i="21"/>
  <c r="C195" i="21"/>
  <c r="Q195" i="21" s="1"/>
  <c r="R195" i="21" s="1"/>
  <c r="K194" i="21"/>
  <c r="I194" i="21" s="1"/>
  <c r="R195" i="23"/>
  <c r="S195" i="23" s="1"/>
  <c r="B206" i="17"/>
  <c r="C196" i="23"/>
  <c r="L196" i="23" s="1"/>
  <c r="I196" i="23" s="1"/>
  <c r="B197" i="23"/>
  <c r="H194" i="21" l="1"/>
  <c r="H205" i="17" s="1"/>
  <c r="J196" i="23"/>
  <c r="I205" i="17"/>
  <c r="B197" i="21"/>
  <c r="C196" i="21"/>
  <c r="Q196" i="21" s="1"/>
  <c r="R196" i="21" s="1"/>
  <c r="K195" i="21"/>
  <c r="I195" i="21" s="1"/>
  <c r="B198" i="23"/>
  <c r="C197" i="23"/>
  <c r="L197" i="23" s="1"/>
  <c r="I197" i="23" s="1"/>
  <c r="R196" i="23"/>
  <c r="S196" i="23" s="1"/>
  <c r="B207" i="17"/>
  <c r="H195" i="21" l="1"/>
  <c r="H206" i="17" s="1"/>
  <c r="I206" i="17"/>
  <c r="J197" i="23"/>
  <c r="B198" i="21"/>
  <c r="C197" i="21"/>
  <c r="Q197" i="21" s="1"/>
  <c r="R197" i="21" s="1"/>
  <c r="K196" i="21"/>
  <c r="I196" i="21" s="1"/>
  <c r="R197" i="23"/>
  <c r="S197" i="23" s="1"/>
  <c r="B208" i="17"/>
  <c r="C198" i="23"/>
  <c r="L198" i="23" s="1"/>
  <c r="I198" i="23" s="1"/>
  <c r="B199" i="23"/>
  <c r="H196" i="21" l="1"/>
  <c r="H207" i="17" s="1"/>
  <c r="J198" i="23"/>
  <c r="B199" i="21"/>
  <c r="C198" i="21"/>
  <c r="Q198" i="21" s="1"/>
  <c r="R198" i="21" s="1"/>
  <c r="K197" i="21"/>
  <c r="I197" i="21" s="1"/>
  <c r="I207" i="17"/>
  <c r="R198" i="23"/>
  <c r="S198" i="23" s="1"/>
  <c r="B209" i="17"/>
  <c r="C199" i="23"/>
  <c r="L199" i="23" s="1"/>
  <c r="I199" i="23" s="1"/>
  <c r="B200" i="23"/>
  <c r="H197" i="21" l="1"/>
  <c r="H208" i="17" s="1"/>
  <c r="J199" i="23"/>
  <c r="I208" i="17"/>
  <c r="B200" i="21"/>
  <c r="C199" i="21"/>
  <c r="Q199" i="21" s="1"/>
  <c r="R199" i="21" s="1"/>
  <c r="K198" i="21"/>
  <c r="I198" i="21" s="1"/>
  <c r="R199" i="23"/>
  <c r="S199" i="23" s="1"/>
  <c r="B210" i="17"/>
  <c r="B201" i="23"/>
  <c r="C200" i="23"/>
  <c r="L200" i="23" s="1"/>
  <c r="I200" i="23" s="1"/>
  <c r="H198" i="21" l="1"/>
  <c r="H209" i="17" s="1"/>
  <c r="J200" i="23"/>
  <c r="B201" i="21"/>
  <c r="C200" i="21"/>
  <c r="Q200" i="21" s="1"/>
  <c r="R200" i="21" s="1"/>
  <c r="K199" i="21"/>
  <c r="I199" i="21" s="1"/>
  <c r="I209" i="17"/>
  <c r="R200" i="23"/>
  <c r="S200" i="23" s="1"/>
  <c r="B211" i="17"/>
  <c r="B202" i="23"/>
  <c r="C201" i="23"/>
  <c r="L201" i="23" s="1"/>
  <c r="I201" i="23" s="1"/>
  <c r="H199" i="21" l="1"/>
  <c r="H210" i="17" s="1"/>
  <c r="I210" i="17"/>
  <c r="J201" i="23"/>
  <c r="C201" i="21"/>
  <c r="Q201" i="21" s="1"/>
  <c r="R201" i="21" s="1"/>
  <c r="B202" i="21"/>
  <c r="K200" i="21"/>
  <c r="I200" i="21" s="1"/>
  <c r="R201" i="23"/>
  <c r="S201" i="23" s="1"/>
  <c r="B212" i="17"/>
  <c r="B203" i="23"/>
  <c r="C202" i="23"/>
  <c r="L202" i="23" s="1"/>
  <c r="I202" i="23" s="1"/>
  <c r="H200" i="21" l="1"/>
  <c r="H211" i="17" s="1"/>
  <c r="J202" i="23"/>
  <c r="K201" i="21"/>
  <c r="I201" i="21" s="1"/>
  <c r="B203" i="21"/>
  <c r="C202" i="21"/>
  <c r="Q202" i="21" s="1"/>
  <c r="R202" i="21" s="1"/>
  <c r="I211" i="17"/>
  <c r="B213" i="17"/>
  <c r="R202" i="23"/>
  <c r="S202" i="23" s="1"/>
  <c r="B204" i="23"/>
  <c r="C203" i="23"/>
  <c r="L203" i="23" s="1"/>
  <c r="I203" i="23" s="1"/>
  <c r="H201" i="21" l="1"/>
  <c r="H212" i="17" s="1"/>
  <c r="J203" i="23"/>
  <c r="B204" i="21"/>
  <c r="C203" i="21"/>
  <c r="Q203" i="21" s="1"/>
  <c r="R203" i="21" s="1"/>
  <c r="K202" i="21"/>
  <c r="I202" i="21" s="1"/>
  <c r="I212" i="17"/>
  <c r="B205" i="23"/>
  <c r="C204" i="23"/>
  <c r="L204" i="23" s="1"/>
  <c r="I204" i="23" s="1"/>
  <c r="R203" i="23"/>
  <c r="S203" i="23" s="1"/>
  <c r="B214" i="17"/>
  <c r="H202" i="21" l="1"/>
  <c r="H213" i="17" s="1"/>
  <c r="I213" i="17"/>
  <c r="J204" i="23"/>
  <c r="B205" i="21"/>
  <c r="C204" i="21"/>
  <c r="Q204" i="21" s="1"/>
  <c r="R204" i="21" s="1"/>
  <c r="K203" i="21"/>
  <c r="I203" i="21" s="1"/>
  <c r="R204" i="23"/>
  <c r="S204" i="23" s="1"/>
  <c r="B215" i="17"/>
  <c r="C205" i="23"/>
  <c r="L205" i="23" s="1"/>
  <c r="I205" i="23" s="1"/>
  <c r="B206" i="23"/>
  <c r="H203" i="21" l="1"/>
  <c r="H214" i="17" s="1"/>
  <c r="J205" i="23"/>
  <c r="B206" i="21"/>
  <c r="C205" i="21"/>
  <c r="Q205" i="21" s="1"/>
  <c r="R205" i="21" s="1"/>
  <c r="K204" i="21"/>
  <c r="I204" i="21" s="1"/>
  <c r="I214" i="17"/>
  <c r="C206" i="23"/>
  <c r="L206" i="23" s="1"/>
  <c r="I206" i="23" s="1"/>
  <c r="B207" i="23"/>
  <c r="R205" i="23"/>
  <c r="S205" i="23" s="1"/>
  <c r="B216" i="17"/>
  <c r="H204" i="21" l="1"/>
  <c r="H215" i="17" s="1"/>
  <c r="J206" i="23"/>
  <c r="C206" i="21"/>
  <c r="Q206" i="21" s="1"/>
  <c r="R206" i="21" s="1"/>
  <c r="B207" i="21"/>
  <c r="K205" i="21"/>
  <c r="I205" i="21" s="1"/>
  <c r="I215" i="17"/>
  <c r="B208" i="23"/>
  <c r="C207" i="23"/>
  <c r="L207" i="23" s="1"/>
  <c r="I207" i="23" s="1"/>
  <c r="B217" i="17"/>
  <c r="R206" i="23"/>
  <c r="S206" i="23" s="1"/>
  <c r="H205" i="21" l="1"/>
  <c r="H216" i="17" s="1"/>
  <c r="I216" i="17"/>
  <c r="J207" i="23"/>
  <c r="B208" i="21"/>
  <c r="C207" i="21"/>
  <c r="Q207" i="21" s="1"/>
  <c r="R207" i="21" s="1"/>
  <c r="K206" i="21"/>
  <c r="I206" i="21" s="1"/>
  <c r="R207" i="23"/>
  <c r="S207" i="23" s="1"/>
  <c r="B218" i="17"/>
  <c r="C208" i="23"/>
  <c r="L208" i="23" s="1"/>
  <c r="I208" i="23" s="1"/>
  <c r="B209" i="23"/>
  <c r="H206" i="21" l="1"/>
  <c r="H217" i="17" s="1"/>
  <c r="J208" i="23"/>
  <c r="C208" i="21"/>
  <c r="Q208" i="21" s="1"/>
  <c r="R208" i="21" s="1"/>
  <c r="B209" i="21"/>
  <c r="K207" i="21"/>
  <c r="I207" i="21" s="1"/>
  <c r="I217" i="17"/>
  <c r="R208" i="23"/>
  <c r="S208" i="23" s="1"/>
  <c r="B219" i="17"/>
  <c r="B210" i="23"/>
  <c r="C209" i="23"/>
  <c r="L209" i="23" s="1"/>
  <c r="I209" i="23" s="1"/>
  <c r="H207" i="21" l="1"/>
  <c r="H218" i="17" s="1"/>
  <c r="J209" i="23"/>
  <c r="I218" i="17"/>
  <c r="B210" i="21"/>
  <c r="C209" i="21"/>
  <c r="Q209" i="21" s="1"/>
  <c r="R209" i="21" s="1"/>
  <c r="K208" i="21"/>
  <c r="I208" i="21" s="1"/>
  <c r="B211" i="23"/>
  <c r="C210" i="23"/>
  <c r="L210" i="23" s="1"/>
  <c r="I210" i="23" s="1"/>
  <c r="R209" i="23"/>
  <c r="S209" i="23" s="1"/>
  <c r="B220" i="17"/>
  <c r="H208" i="21" l="1"/>
  <c r="H219" i="17" s="1"/>
  <c r="J210" i="23"/>
  <c r="B211" i="21"/>
  <c r="C210" i="21"/>
  <c r="Q210" i="21" s="1"/>
  <c r="R210" i="21" s="1"/>
  <c r="K209" i="21"/>
  <c r="I209" i="21" s="1"/>
  <c r="I219" i="17"/>
  <c r="R210" i="23"/>
  <c r="S210" i="23" s="1"/>
  <c r="B221" i="17"/>
  <c r="C211" i="23"/>
  <c r="L211" i="23" s="1"/>
  <c r="I211" i="23" s="1"/>
  <c r="B212" i="23"/>
  <c r="H209" i="21" l="1"/>
  <c r="H220" i="17" s="1"/>
  <c r="J211" i="23"/>
  <c r="I220" i="17"/>
  <c r="C211" i="21"/>
  <c r="Q211" i="21" s="1"/>
  <c r="R211" i="21" s="1"/>
  <c r="B212" i="21"/>
  <c r="K210" i="21"/>
  <c r="I210" i="21" s="1"/>
  <c r="R211" i="23"/>
  <c r="S211" i="23" s="1"/>
  <c r="B222" i="17"/>
  <c r="C212" i="23"/>
  <c r="L212" i="23" s="1"/>
  <c r="I212" i="23" s="1"/>
  <c r="B213" i="23"/>
  <c r="H210" i="21" l="1"/>
  <c r="H221" i="17" s="1"/>
  <c r="J212" i="23"/>
  <c r="C212" i="21"/>
  <c r="Q212" i="21" s="1"/>
  <c r="R212" i="21" s="1"/>
  <c r="B213" i="21"/>
  <c r="K211" i="21"/>
  <c r="I211" i="21" s="1"/>
  <c r="I221" i="17"/>
  <c r="B214" i="23"/>
  <c r="C213" i="23"/>
  <c r="L213" i="23" s="1"/>
  <c r="I213" i="23" s="1"/>
  <c r="R212" i="23"/>
  <c r="S212" i="23" s="1"/>
  <c r="B223" i="17"/>
  <c r="H211" i="21" l="1"/>
  <c r="H222" i="17" s="1"/>
  <c r="J213" i="23"/>
  <c r="I222" i="17"/>
  <c r="B214" i="21"/>
  <c r="C213" i="21"/>
  <c r="Q213" i="21" s="1"/>
  <c r="R213" i="21" s="1"/>
  <c r="K212" i="21"/>
  <c r="I212" i="21" s="1"/>
  <c r="R213" i="23"/>
  <c r="S213" i="23" s="1"/>
  <c r="B224" i="17"/>
  <c r="C214" i="23"/>
  <c r="L214" i="23" s="1"/>
  <c r="I214" i="23" s="1"/>
  <c r="B215" i="23"/>
  <c r="H212" i="21" l="1"/>
  <c r="H223" i="17" s="1"/>
  <c r="J214" i="23"/>
  <c r="B215" i="21"/>
  <c r="C214" i="21"/>
  <c r="Q214" i="21" s="1"/>
  <c r="R214" i="21" s="1"/>
  <c r="K213" i="21"/>
  <c r="I213" i="21" s="1"/>
  <c r="I223" i="17"/>
  <c r="C215" i="23"/>
  <c r="L215" i="23" s="1"/>
  <c r="I215" i="23" s="1"/>
  <c r="B216" i="23"/>
  <c r="R214" i="23"/>
  <c r="S214" i="23" s="1"/>
  <c r="B225" i="17"/>
  <c r="H213" i="21" l="1"/>
  <c r="H224" i="17" s="1"/>
  <c r="J215" i="23"/>
  <c r="I224" i="17"/>
  <c r="B216" i="21"/>
  <c r="C215" i="21"/>
  <c r="Q215" i="21" s="1"/>
  <c r="R215" i="21" s="1"/>
  <c r="K214" i="21"/>
  <c r="I214" i="21" s="1"/>
  <c r="C216" i="23"/>
  <c r="L216" i="23" s="1"/>
  <c r="I216" i="23" s="1"/>
  <c r="B217" i="23"/>
  <c r="R215" i="23"/>
  <c r="S215" i="23" s="1"/>
  <c r="B226" i="17"/>
  <c r="H214" i="21" l="1"/>
  <c r="H225" i="17" s="1"/>
  <c r="J216" i="23"/>
  <c r="B217" i="21"/>
  <c r="C216" i="21"/>
  <c r="Q216" i="21" s="1"/>
  <c r="R216" i="21" s="1"/>
  <c r="K215" i="21"/>
  <c r="I215" i="21" s="1"/>
  <c r="I225" i="17"/>
  <c r="C217" i="23"/>
  <c r="L217" i="23" s="1"/>
  <c r="I217" i="23" s="1"/>
  <c r="B218" i="23"/>
  <c r="R216" i="23"/>
  <c r="S216" i="23" s="1"/>
  <c r="B227" i="17"/>
  <c r="H215" i="21" l="1"/>
  <c r="H226" i="17" s="1"/>
  <c r="J217" i="23"/>
  <c r="I226" i="17"/>
  <c r="B218" i="21"/>
  <c r="C217" i="21"/>
  <c r="Q217" i="21" s="1"/>
  <c r="R217" i="21" s="1"/>
  <c r="K216" i="21"/>
  <c r="I216" i="21" s="1"/>
  <c r="B219" i="23"/>
  <c r="C218" i="23"/>
  <c r="L218" i="23" s="1"/>
  <c r="I218" i="23" s="1"/>
  <c r="R217" i="23"/>
  <c r="S217" i="23" s="1"/>
  <c r="B228" i="17"/>
  <c r="H216" i="21" l="1"/>
  <c r="H227" i="17" s="1"/>
  <c r="I227" i="17"/>
  <c r="J218" i="23"/>
  <c r="B219" i="21"/>
  <c r="C218" i="21"/>
  <c r="Q218" i="21" s="1"/>
  <c r="R218" i="21" s="1"/>
  <c r="K217" i="21"/>
  <c r="I217" i="21" s="1"/>
  <c r="R218" i="23"/>
  <c r="S218" i="23" s="1"/>
  <c r="B229" i="17"/>
  <c r="B220" i="23"/>
  <c r="C219" i="23"/>
  <c r="L219" i="23" s="1"/>
  <c r="I219" i="23" s="1"/>
  <c r="H217" i="21" l="1"/>
  <c r="H228" i="17" s="1"/>
  <c r="J219" i="23"/>
  <c r="I228" i="17"/>
  <c r="B220" i="21"/>
  <c r="C219" i="21"/>
  <c r="Q219" i="21" s="1"/>
  <c r="R219" i="21" s="1"/>
  <c r="K218" i="21"/>
  <c r="I218" i="21" s="1"/>
  <c r="R219" i="23"/>
  <c r="S219" i="23" s="1"/>
  <c r="B230" i="17"/>
  <c r="B221" i="23"/>
  <c r="C220" i="23"/>
  <c r="L220" i="23" s="1"/>
  <c r="I220" i="23" s="1"/>
  <c r="H218" i="21" l="1"/>
  <c r="H229" i="17" s="1"/>
  <c r="J220" i="23"/>
  <c r="C220" i="21"/>
  <c r="Q220" i="21" s="1"/>
  <c r="R220" i="21" s="1"/>
  <c r="B221" i="21"/>
  <c r="K219" i="21"/>
  <c r="I219" i="21" s="1"/>
  <c r="I229" i="17"/>
  <c r="R220" i="23"/>
  <c r="S220" i="23" s="1"/>
  <c r="B231" i="17"/>
  <c r="C221" i="23"/>
  <c r="L221" i="23" s="1"/>
  <c r="I221" i="23" s="1"/>
  <c r="B222" i="23"/>
  <c r="H219" i="21" l="1"/>
  <c r="H230" i="17" s="1"/>
  <c r="I230" i="17"/>
  <c r="J221" i="23"/>
  <c r="B222" i="21"/>
  <c r="C221" i="21"/>
  <c r="Q221" i="21" s="1"/>
  <c r="R221" i="21" s="1"/>
  <c r="K220" i="21"/>
  <c r="I220" i="21" s="1"/>
  <c r="R221" i="23"/>
  <c r="S221" i="23" s="1"/>
  <c r="B232" i="17"/>
  <c r="C222" i="23"/>
  <c r="L222" i="23" s="1"/>
  <c r="I222" i="23" s="1"/>
  <c r="B223" i="23"/>
  <c r="H220" i="21" l="1"/>
  <c r="H231" i="17" s="1"/>
  <c r="J222" i="23"/>
  <c r="B223" i="21"/>
  <c r="C222" i="21"/>
  <c r="Q222" i="21" s="1"/>
  <c r="R222" i="21" s="1"/>
  <c r="K221" i="21"/>
  <c r="I221" i="21" s="1"/>
  <c r="I231" i="17"/>
  <c r="B224" i="23"/>
  <c r="C223" i="23"/>
  <c r="L223" i="23" s="1"/>
  <c r="I223" i="23" s="1"/>
  <c r="R222" i="23"/>
  <c r="S222" i="23" s="1"/>
  <c r="B233" i="17"/>
  <c r="H221" i="21" l="1"/>
  <c r="H232" i="17" s="1"/>
  <c r="I232" i="17"/>
  <c r="J223" i="23"/>
  <c r="B224" i="21"/>
  <c r="C223" i="21"/>
  <c r="Q223" i="21" s="1"/>
  <c r="R223" i="21" s="1"/>
  <c r="K222" i="21"/>
  <c r="I222" i="21" s="1"/>
  <c r="R223" i="23"/>
  <c r="S223" i="23" s="1"/>
  <c r="B234" i="17"/>
  <c r="B225" i="23"/>
  <c r="C224" i="23"/>
  <c r="L224" i="23" s="1"/>
  <c r="I224" i="23" s="1"/>
  <c r="H222" i="21" l="1"/>
  <c r="H233" i="17" s="1"/>
  <c r="J224" i="23"/>
  <c r="K223" i="21"/>
  <c r="I223" i="21" s="1"/>
  <c r="B225" i="21"/>
  <c r="C224" i="21"/>
  <c r="Q224" i="21" s="1"/>
  <c r="R224" i="21" s="1"/>
  <c r="I233" i="17"/>
  <c r="R224" i="23"/>
  <c r="S224" i="23" s="1"/>
  <c r="B235" i="17"/>
  <c r="B226" i="23"/>
  <c r="C225" i="23"/>
  <c r="L225" i="23" s="1"/>
  <c r="I225" i="23" s="1"/>
  <c r="H223" i="21" l="1"/>
  <c r="H234" i="17" s="1"/>
  <c r="J225" i="23"/>
  <c r="B226" i="21"/>
  <c r="C225" i="21"/>
  <c r="Q225" i="21" s="1"/>
  <c r="R225" i="21" s="1"/>
  <c r="K224" i="21"/>
  <c r="I224" i="21" s="1"/>
  <c r="I234" i="17"/>
  <c r="R225" i="23"/>
  <c r="S225" i="23" s="1"/>
  <c r="B236" i="17"/>
  <c r="B227" i="23"/>
  <c r="C226" i="23"/>
  <c r="L226" i="23" s="1"/>
  <c r="I226" i="23" s="1"/>
  <c r="H224" i="21" l="1"/>
  <c r="H235" i="17" s="1"/>
  <c r="J226" i="23"/>
  <c r="I235" i="17"/>
  <c r="B227" i="21"/>
  <c r="C226" i="21"/>
  <c r="Q226" i="21" s="1"/>
  <c r="R226" i="21" s="1"/>
  <c r="K225" i="21"/>
  <c r="I225" i="21" s="1"/>
  <c r="R226" i="23"/>
  <c r="S226" i="23" s="1"/>
  <c r="B237" i="17"/>
  <c r="C227" i="23"/>
  <c r="L227" i="23" s="1"/>
  <c r="I227" i="23" s="1"/>
  <c r="B228" i="23"/>
  <c r="H225" i="21" l="1"/>
  <c r="H236" i="17" s="1"/>
  <c r="J227" i="23"/>
  <c r="B228" i="21"/>
  <c r="C227" i="21"/>
  <c r="Q227" i="21" s="1"/>
  <c r="R227" i="21" s="1"/>
  <c r="K226" i="21"/>
  <c r="I226" i="21" s="1"/>
  <c r="I236" i="17"/>
  <c r="C228" i="23"/>
  <c r="L228" i="23" s="1"/>
  <c r="I228" i="23" s="1"/>
  <c r="B229" i="23"/>
  <c r="R227" i="23"/>
  <c r="S227" i="23" s="1"/>
  <c r="B238" i="17"/>
  <c r="H226" i="21" l="1"/>
  <c r="H237" i="17" s="1"/>
  <c r="I237" i="17"/>
  <c r="J228" i="23"/>
  <c r="B229" i="21"/>
  <c r="C228" i="21"/>
  <c r="Q228" i="21" s="1"/>
  <c r="R228" i="21" s="1"/>
  <c r="K227" i="21"/>
  <c r="I227" i="21" s="1"/>
  <c r="C229" i="23"/>
  <c r="L229" i="23" s="1"/>
  <c r="I229" i="23" s="1"/>
  <c r="B230" i="23"/>
  <c r="R228" i="23"/>
  <c r="S228" i="23" s="1"/>
  <c r="B239" i="17"/>
  <c r="H227" i="21" l="1"/>
  <c r="H238" i="17" s="1"/>
  <c r="J229" i="23"/>
  <c r="B230" i="21"/>
  <c r="C229" i="21"/>
  <c r="Q229" i="21" s="1"/>
  <c r="R229" i="21" s="1"/>
  <c r="K228" i="21"/>
  <c r="I228" i="21" s="1"/>
  <c r="I238" i="17"/>
  <c r="C230" i="23"/>
  <c r="L230" i="23" s="1"/>
  <c r="I230" i="23" s="1"/>
  <c r="B231" i="23"/>
  <c r="R229" i="23"/>
  <c r="S229" i="23" s="1"/>
  <c r="B240" i="17"/>
  <c r="H228" i="21" l="1"/>
  <c r="H239" i="17" s="1"/>
  <c r="I239" i="17"/>
  <c r="J230" i="23"/>
  <c r="B231" i="21"/>
  <c r="C230" i="21"/>
  <c r="Q230" i="21" s="1"/>
  <c r="R230" i="21" s="1"/>
  <c r="K229" i="21"/>
  <c r="I229" i="21" s="1"/>
  <c r="R230" i="23"/>
  <c r="S230" i="23" s="1"/>
  <c r="B241" i="17"/>
  <c r="C231" i="23"/>
  <c r="L231" i="23" s="1"/>
  <c r="I231" i="23" s="1"/>
  <c r="B232" i="23"/>
  <c r="H229" i="21" l="1"/>
  <c r="H240" i="17" s="1"/>
  <c r="J231" i="23"/>
  <c r="B232" i="21"/>
  <c r="C231" i="21"/>
  <c r="Q231" i="21" s="1"/>
  <c r="R231" i="21" s="1"/>
  <c r="K230" i="21"/>
  <c r="I230" i="21" s="1"/>
  <c r="I240" i="17"/>
  <c r="R231" i="23"/>
  <c r="S231" i="23" s="1"/>
  <c r="B242" i="17"/>
  <c r="C232" i="23"/>
  <c r="L232" i="23" s="1"/>
  <c r="I232" i="23" s="1"/>
  <c r="B233" i="23"/>
  <c r="H230" i="21" l="1"/>
  <c r="H241" i="17" s="1"/>
  <c r="I241" i="17"/>
  <c r="J232" i="23"/>
  <c r="B233" i="21"/>
  <c r="C232" i="21"/>
  <c r="Q232" i="21" s="1"/>
  <c r="R232" i="21" s="1"/>
  <c r="K231" i="21"/>
  <c r="I231" i="21" s="1"/>
  <c r="R232" i="23"/>
  <c r="S232" i="23" s="1"/>
  <c r="B243" i="17"/>
  <c r="B234" i="23"/>
  <c r="C233" i="23"/>
  <c r="L233" i="23" s="1"/>
  <c r="I233" i="23" s="1"/>
  <c r="H231" i="21" l="1"/>
  <c r="H242" i="17" s="1"/>
  <c r="J233" i="23"/>
  <c r="B234" i="21"/>
  <c r="C233" i="21"/>
  <c r="Q233" i="21" s="1"/>
  <c r="R233" i="21" s="1"/>
  <c r="K232" i="21"/>
  <c r="I232" i="21" s="1"/>
  <c r="I242" i="17"/>
  <c r="R233" i="23"/>
  <c r="S233" i="23" s="1"/>
  <c r="B244" i="17"/>
  <c r="C234" i="23"/>
  <c r="L234" i="23" s="1"/>
  <c r="I234" i="23" s="1"/>
  <c r="B235" i="23"/>
  <c r="H232" i="21" l="1"/>
  <c r="H243" i="17" s="1"/>
  <c r="J234" i="23"/>
  <c r="I243" i="17"/>
  <c r="C234" i="21"/>
  <c r="Q234" i="21" s="1"/>
  <c r="R234" i="21" s="1"/>
  <c r="B235" i="21"/>
  <c r="K233" i="21"/>
  <c r="I233" i="21" s="1"/>
  <c r="B236" i="23"/>
  <c r="C235" i="23"/>
  <c r="L235" i="23" s="1"/>
  <c r="I235" i="23" s="1"/>
  <c r="R234" i="23"/>
  <c r="S234" i="23" s="1"/>
  <c r="B245" i="17"/>
  <c r="H233" i="21" l="1"/>
  <c r="H244" i="17" s="1"/>
  <c r="I244" i="17"/>
  <c r="J235" i="23"/>
  <c r="B236" i="21"/>
  <c r="C235" i="21"/>
  <c r="Q235" i="21" s="1"/>
  <c r="R235" i="21" s="1"/>
  <c r="K234" i="21"/>
  <c r="I234" i="21" s="1"/>
  <c r="R235" i="23"/>
  <c r="S235" i="23" s="1"/>
  <c r="B246" i="17"/>
  <c r="B237" i="23"/>
  <c r="C236" i="23"/>
  <c r="L236" i="23" s="1"/>
  <c r="I236" i="23" s="1"/>
  <c r="H234" i="21" l="1"/>
  <c r="H245" i="17" s="1"/>
  <c r="J236" i="23"/>
  <c r="I245" i="17"/>
  <c r="B237" i="21"/>
  <c r="C236" i="21"/>
  <c r="Q236" i="21" s="1"/>
  <c r="R236" i="21" s="1"/>
  <c r="K235" i="21"/>
  <c r="I235" i="21" s="1"/>
  <c r="R236" i="23"/>
  <c r="S236" i="23" s="1"/>
  <c r="B247" i="17"/>
  <c r="B238" i="23"/>
  <c r="C237" i="23"/>
  <c r="L237" i="23" s="1"/>
  <c r="I237" i="23" s="1"/>
  <c r="H235" i="21" l="1"/>
  <c r="H246" i="17" s="1"/>
  <c r="I246" i="17"/>
  <c r="J237" i="23"/>
  <c r="B238" i="21"/>
  <c r="C237" i="21"/>
  <c r="Q237" i="21" s="1"/>
  <c r="R237" i="21" s="1"/>
  <c r="K236" i="21"/>
  <c r="I236" i="21" s="1"/>
  <c r="R237" i="23"/>
  <c r="S237" i="23" s="1"/>
  <c r="B248" i="17"/>
  <c r="B239" i="23"/>
  <c r="C238" i="23"/>
  <c r="L238" i="23" s="1"/>
  <c r="I238" i="23" s="1"/>
  <c r="H236" i="21" l="1"/>
  <c r="H247" i="17" s="1"/>
  <c r="J238" i="23"/>
  <c r="I247" i="17"/>
  <c r="B239" i="21"/>
  <c r="C238" i="21"/>
  <c r="Q238" i="21" s="1"/>
  <c r="R238" i="21" s="1"/>
  <c r="K237" i="21"/>
  <c r="I237" i="21" s="1"/>
  <c r="R238" i="23"/>
  <c r="S238" i="23" s="1"/>
  <c r="B249" i="17"/>
  <c r="C239" i="23"/>
  <c r="L239" i="23" s="1"/>
  <c r="I239" i="23" s="1"/>
  <c r="B240" i="23"/>
  <c r="H237" i="21" l="1"/>
  <c r="H248" i="17" s="1"/>
  <c r="I248" i="17"/>
  <c r="J239" i="23"/>
  <c r="B240" i="21"/>
  <c r="C239" i="21"/>
  <c r="Q239" i="21" s="1"/>
  <c r="R239" i="21" s="1"/>
  <c r="K238" i="21"/>
  <c r="I238" i="21" s="1"/>
  <c r="B250" i="17"/>
  <c r="R239" i="23"/>
  <c r="S239" i="23" s="1"/>
  <c r="C240" i="23"/>
  <c r="L240" i="23" s="1"/>
  <c r="I240" i="23" s="1"/>
  <c r="B241" i="23"/>
  <c r="H238" i="21" l="1"/>
  <c r="H249" i="17" s="1"/>
  <c r="I249" i="17"/>
  <c r="J240" i="23"/>
  <c r="B241" i="21"/>
  <c r="C240" i="21"/>
  <c r="Q240" i="21" s="1"/>
  <c r="R240" i="21" s="1"/>
  <c r="K239" i="21"/>
  <c r="I239" i="21" s="1"/>
  <c r="B242" i="23"/>
  <c r="C241" i="23"/>
  <c r="L241" i="23" s="1"/>
  <c r="I241" i="23" s="1"/>
  <c r="R240" i="23"/>
  <c r="S240" i="23" s="1"/>
  <c r="B251" i="17"/>
  <c r="H239" i="21" l="1"/>
  <c r="H250" i="17" s="1"/>
  <c r="I250" i="17"/>
  <c r="J241" i="23"/>
  <c r="B242" i="21"/>
  <c r="C241" i="21"/>
  <c r="Q241" i="21" s="1"/>
  <c r="R241" i="21" s="1"/>
  <c r="K240" i="21"/>
  <c r="I240" i="21" s="1"/>
  <c r="R241" i="23"/>
  <c r="S241" i="23" s="1"/>
  <c r="B252" i="17"/>
  <c r="B243" i="23"/>
  <c r="C242" i="23"/>
  <c r="L242" i="23" s="1"/>
  <c r="I242" i="23" s="1"/>
  <c r="H240" i="21" l="1"/>
  <c r="H251" i="17" s="1"/>
  <c r="I251" i="17"/>
  <c r="J242" i="23"/>
  <c r="C242" i="21"/>
  <c r="Q242" i="21" s="1"/>
  <c r="R242" i="21" s="1"/>
  <c r="B243" i="21"/>
  <c r="K241" i="21"/>
  <c r="I241" i="21" s="1"/>
  <c r="C243" i="23"/>
  <c r="L243" i="23" s="1"/>
  <c r="I243" i="23" s="1"/>
  <c r="B244" i="23"/>
  <c r="R242" i="23"/>
  <c r="S242" i="23" s="1"/>
  <c r="B253" i="17"/>
  <c r="H241" i="21" l="1"/>
  <c r="H252" i="17" s="1"/>
  <c r="I252" i="17"/>
  <c r="J243" i="23"/>
  <c r="C243" i="21"/>
  <c r="Q243" i="21" s="1"/>
  <c r="R243" i="21" s="1"/>
  <c r="B244" i="21"/>
  <c r="K242" i="21"/>
  <c r="I242" i="21" s="1"/>
  <c r="C244" i="23"/>
  <c r="L244" i="23" s="1"/>
  <c r="I244" i="23" s="1"/>
  <c r="B245" i="23"/>
  <c r="B254" i="17"/>
  <c r="R243" i="23"/>
  <c r="S243" i="23" s="1"/>
  <c r="H242" i="21" l="1"/>
  <c r="H253" i="17" s="1"/>
  <c r="I253" i="17"/>
  <c r="J244" i="23"/>
  <c r="C244" i="21"/>
  <c r="Q244" i="21" s="1"/>
  <c r="R244" i="21" s="1"/>
  <c r="B245" i="21"/>
  <c r="K243" i="21"/>
  <c r="I243" i="21" s="1"/>
  <c r="B246" i="23"/>
  <c r="C245" i="23"/>
  <c r="L245" i="23" s="1"/>
  <c r="I245" i="23" s="1"/>
  <c r="B255" i="17"/>
  <c r="R244" i="23"/>
  <c r="S244" i="23" s="1"/>
  <c r="H243" i="21" l="1"/>
  <c r="H254" i="17" s="1"/>
  <c r="I254" i="17"/>
  <c r="J245" i="23"/>
  <c r="B246" i="21"/>
  <c r="C245" i="21"/>
  <c r="Q245" i="21" s="1"/>
  <c r="R245" i="21" s="1"/>
  <c r="K244" i="21"/>
  <c r="I244" i="21" s="1"/>
  <c r="R245" i="23"/>
  <c r="S245" i="23" s="1"/>
  <c r="B256" i="17"/>
  <c r="C246" i="23"/>
  <c r="L246" i="23" s="1"/>
  <c r="I246" i="23" s="1"/>
  <c r="B247" i="23"/>
  <c r="H244" i="21" l="1"/>
  <c r="H255" i="17" s="1"/>
  <c r="I255" i="17"/>
  <c r="J246" i="23"/>
  <c r="C246" i="21"/>
  <c r="Q246" i="21" s="1"/>
  <c r="R246" i="21" s="1"/>
  <c r="B247" i="21"/>
  <c r="K245" i="21"/>
  <c r="I245" i="21" s="1"/>
  <c r="R246" i="23"/>
  <c r="S246" i="23" s="1"/>
  <c r="B257" i="17"/>
  <c r="C247" i="23"/>
  <c r="L247" i="23" s="1"/>
  <c r="I247" i="23" s="1"/>
  <c r="B248" i="23"/>
  <c r="H245" i="21" l="1"/>
  <c r="H256" i="17" s="1"/>
  <c r="I256" i="17"/>
  <c r="J247" i="23"/>
  <c r="B248" i="21"/>
  <c r="C247" i="21"/>
  <c r="Q247" i="21" s="1"/>
  <c r="R247" i="21" s="1"/>
  <c r="K246" i="21"/>
  <c r="I246" i="21" s="1"/>
  <c r="R247" i="23"/>
  <c r="S247" i="23" s="1"/>
  <c r="B258" i="17"/>
  <c r="C248" i="23"/>
  <c r="L248" i="23" s="1"/>
  <c r="I248" i="23" s="1"/>
  <c r="B249" i="23"/>
  <c r="H246" i="21" l="1"/>
  <c r="H257" i="17" s="1"/>
  <c r="J248" i="23"/>
  <c r="I257" i="17"/>
  <c r="B249" i="21"/>
  <c r="C248" i="21"/>
  <c r="Q248" i="21" s="1"/>
  <c r="R248" i="21" s="1"/>
  <c r="K247" i="21"/>
  <c r="I247" i="21" s="1"/>
  <c r="B250" i="23"/>
  <c r="C249" i="23"/>
  <c r="L249" i="23" s="1"/>
  <c r="I249" i="23" s="1"/>
  <c r="R248" i="23"/>
  <c r="S248" i="23" s="1"/>
  <c r="B259" i="17"/>
  <c r="H247" i="21" l="1"/>
  <c r="H258" i="17" s="1"/>
  <c r="I258" i="17"/>
  <c r="J249" i="23"/>
  <c r="B250" i="21"/>
  <c r="C249" i="21"/>
  <c r="Q249" i="21" s="1"/>
  <c r="R249" i="21" s="1"/>
  <c r="K248" i="21"/>
  <c r="I248" i="21" s="1"/>
  <c r="B260" i="17"/>
  <c r="R249" i="23"/>
  <c r="S249" i="23" s="1"/>
  <c r="C250" i="23"/>
  <c r="L250" i="23" s="1"/>
  <c r="I250" i="23" s="1"/>
  <c r="B251" i="23"/>
  <c r="H248" i="21" l="1"/>
  <c r="H259" i="17" s="1"/>
  <c r="J250" i="23"/>
  <c r="I259" i="17"/>
  <c r="B251" i="21"/>
  <c r="C250" i="21"/>
  <c r="Q250" i="21" s="1"/>
  <c r="R250" i="21" s="1"/>
  <c r="K249" i="21"/>
  <c r="I249" i="21" s="1"/>
  <c r="B252" i="23"/>
  <c r="C251" i="23"/>
  <c r="L251" i="23" s="1"/>
  <c r="I251" i="23" s="1"/>
  <c r="R250" i="23"/>
  <c r="S250" i="23" s="1"/>
  <c r="B261" i="17"/>
  <c r="H249" i="21" l="1"/>
  <c r="H260" i="17" s="1"/>
  <c r="I260" i="17"/>
  <c r="J251" i="23"/>
  <c r="B252" i="21"/>
  <c r="C251" i="21"/>
  <c r="Q251" i="21" s="1"/>
  <c r="R251" i="21" s="1"/>
  <c r="K250" i="21"/>
  <c r="I250" i="21" s="1"/>
  <c r="R251" i="23"/>
  <c r="S251" i="23" s="1"/>
  <c r="B262" i="17"/>
  <c r="B253" i="23"/>
  <c r="C252" i="23"/>
  <c r="L252" i="23" s="1"/>
  <c r="I252" i="23" s="1"/>
  <c r="H250" i="21" l="1"/>
  <c r="H261" i="17" s="1"/>
  <c r="I261" i="17"/>
  <c r="J252" i="23"/>
  <c r="B253" i="21"/>
  <c r="C252" i="21"/>
  <c r="Q252" i="21" s="1"/>
  <c r="R252" i="21" s="1"/>
  <c r="K251" i="21"/>
  <c r="I251" i="21" s="1"/>
  <c r="R252" i="23"/>
  <c r="S252" i="23" s="1"/>
  <c r="B263" i="17"/>
  <c r="B254" i="23"/>
  <c r="C253" i="23"/>
  <c r="L253" i="23" s="1"/>
  <c r="I253" i="23" s="1"/>
  <c r="H251" i="21" l="1"/>
  <c r="H262" i="17" s="1"/>
  <c r="I262" i="17"/>
  <c r="J253" i="23"/>
  <c r="B254" i="21"/>
  <c r="C253" i="21"/>
  <c r="Q253" i="21" s="1"/>
  <c r="R253" i="21" s="1"/>
  <c r="K252" i="21"/>
  <c r="I252" i="21" s="1"/>
  <c r="C254" i="23"/>
  <c r="L254" i="23" s="1"/>
  <c r="I254" i="23" s="1"/>
  <c r="B255" i="23"/>
  <c r="R253" i="23"/>
  <c r="S253" i="23" s="1"/>
  <c r="B264" i="17"/>
  <c r="H252" i="21" l="1"/>
  <c r="H263" i="17" s="1"/>
  <c r="I263" i="17"/>
  <c r="J254" i="23"/>
  <c r="B255" i="21"/>
  <c r="C254" i="21"/>
  <c r="Q254" i="21" s="1"/>
  <c r="R254" i="21" s="1"/>
  <c r="K253" i="21"/>
  <c r="I253" i="21" s="1"/>
  <c r="B256" i="23"/>
  <c r="C255" i="23"/>
  <c r="L255" i="23" s="1"/>
  <c r="I255" i="23" s="1"/>
  <c r="R254" i="23"/>
  <c r="S254" i="23" s="1"/>
  <c r="B265" i="17"/>
  <c r="H253" i="21" l="1"/>
  <c r="H264" i="17" s="1"/>
  <c r="I264" i="17"/>
  <c r="J255" i="23"/>
  <c r="C255" i="21"/>
  <c r="Q255" i="21" s="1"/>
  <c r="R255" i="21" s="1"/>
  <c r="B256" i="21"/>
  <c r="K254" i="21"/>
  <c r="I254" i="21" s="1"/>
  <c r="R255" i="23"/>
  <c r="S255" i="23" s="1"/>
  <c r="B266" i="17"/>
  <c r="C256" i="23"/>
  <c r="L256" i="23" s="1"/>
  <c r="I256" i="23" s="1"/>
  <c r="B257" i="23"/>
  <c r="H254" i="21" l="1"/>
  <c r="H265" i="17" s="1"/>
  <c r="I265" i="17"/>
  <c r="J256" i="23"/>
  <c r="B257" i="21"/>
  <c r="C256" i="21"/>
  <c r="Q256" i="21" s="1"/>
  <c r="R256" i="21" s="1"/>
  <c r="K255" i="21"/>
  <c r="I255" i="21" s="1"/>
  <c r="R256" i="23"/>
  <c r="S256" i="23" s="1"/>
  <c r="B267" i="17"/>
  <c r="B258" i="23"/>
  <c r="C257" i="23"/>
  <c r="L257" i="23" s="1"/>
  <c r="I257" i="23" s="1"/>
  <c r="H255" i="21" l="1"/>
  <c r="H266" i="17" s="1"/>
  <c r="I266" i="17"/>
  <c r="J257" i="23"/>
  <c r="B258" i="21"/>
  <c r="C257" i="21"/>
  <c r="Q257" i="21" s="1"/>
  <c r="R257" i="21" s="1"/>
  <c r="K256" i="21"/>
  <c r="I256" i="21" s="1"/>
  <c r="R257" i="23"/>
  <c r="S257" i="23" s="1"/>
  <c r="B268" i="17"/>
  <c r="C258" i="23"/>
  <c r="L258" i="23" s="1"/>
  <c r="I258" i="23" s="1"/>
  <c r="B259" i="23"/>
  <c r="H256" i="21" l="1"/>
  <c r="H267" i="17" s="1"/>
  <c r="I267" i="17"/>
  <c r="J258" i="23"/>
  <c r="B259" i="21"/>
  <c r="C258" i="21"/>
  <c r="Q258" i="21" s="1"/>
  <c r="R258" i="21" s="1"/>
  <c r="K257" i="21"/>
  <c r="I257" i="21" s="1"/>
  <c r="B260" i="23"/>
  <c r="C259" i="23"/>
  <c r="L259" i="23" s="1"/>
  <c r="I259" i="23" s="1"/>
  <c r="R258" i="23"/>
  <c r="S258" i="23" s="1"/>
  <c r="B269" i="17"/>
  <c r="H257" i="21" l="1"/>
  <c r="H268" i="17" s="1"/>
  <c r="I268" i="17"/>
  <c r="J259" i="23"/>
  <c r="B260" i="21"/>
  <c r="C259" i="21"/>
  <c r="Q259" i="21" s="1"/>
  <c r="R259" i="21" s="1"/>
  <c r="K258" i="21"/>
  <c r="I258" i="21" s="1"/>
  <c r="R259" i="23"/>
  <c r="S259" i="23" s="1"/>
  <c r="B270" i="17"/>
  <c r="C260" i="23"/>
  <c r="L260" i="23" s="1"/>
  <c r="I260" i="23" s="1"/>
  <c r="B261" i="23"/>
  <c r="H258" i="21" l="1"/>
  <c r="H269" i="17" s="1"/>
  <c r="J260" i="23"/>
  <c r="I269" i="17"/>
  <c r="B261" i="21"/>
  <c r="C260" i="21"/>
  <c r="Q260" i="21" s="1"/>
  <c r="R260" i="21" s="1"/>
  <c r="K259" i="21"/>
  <c r="I259" i="21" s="1"/>
  <c r="R260" i="23"/>
  <c r="S260" i="23" s="1"/>
  <c r="B271" i="17"/>
  <c r="B262" i="23"/>
  <c r="C261" i="23"/>
  <c r="L261" i="23" s="1"/>
  <c r="I261" i="23" s="1"/>
  <c r="H259" i="21" l="1"/>
  <c r="H270" i="17" s="1"/>
  <c r="I270" i="17"/>
  <c r="J261" i="23"/>
  <c r="B262" i="21"/>
  <c r="C261" i="21"/>
  <c r="Q261" i="21" s="1"/>
  <c r="R261" i="21" s="1"/>
  <c r="K260" i="21"/>
  <c r="I260" i="21" s="1"/>
  <c r="R261" i="23"/>
  <c r="S261" i="23" s="1"/>
  <c r="B272" i="17"/>
  <c r="C262" i="23"/>
  <c r="L262" i="23" s="1"/>
  <c r="I262" i="23" s="1"/>
  <c r="B263" i="23"/>
  <c r="H260" i="21" l="1"/>
  <c r="H271" i="17" s="1"/>
  <c r="J262" i="23"/>
  <c r="I271" i="17"/>
  <c r="C262" i="21"/>
  <c r="Q262" i="21" s="1"/>
  <c r="R262" i="21" s="1"/>
  <c r="B263" i="21"/>
  <c r="K261" i="21"/>
  <c r="I261" i="21" s="1"/>
  <c r="R262" i="23"/>
  <c r="S262" i="23" s="1"/>
  <c r="B273" i="17"/>
  <c r="C263" i="23"/>
  <c r="L263" i="23" s="1"/>
  <c r="I263" i="23" s="1"/>
  <c r="B264" i="23"/>
  <c r="H261" i="21" l="1"/>
  <c r="H272" i="17" s="1"/>
  <c r="I272" i="17"/>
  <c r="J263" i="23"/>
  <c r="K262" i="21"/>
  <c r="I262" i="21" s="1"/>
  <c r="C263" i="21"/>
  <c r="Q263" i="21" s="1"/>
  <c r="R263" i="21" s="1"/>
  <c r="B264" i="21"/>
  <c r="R263" i="23"/>
  <c r="S263" i="23" s="1"/>
  <c r="B274" i="17"/>
  <c r="C264" i="23"/>
  <c r="L264" i="23" s="1"/>
  <c r="I264" i="23" s="1"/>
  <c r="B265" i="23"/>
  <c r="H262" i="21" l="1"/>
  <c r="H273" i="17" s="1"/>
  <c r="I273" i="17"/>
  <c r="J264" i="23"/>
  <c r="B265" i="21"/>
  <c r="C264" i="21"/>
  <c r="Q264" i="21" s="1"/>
  <c r="R264" i="21" s="1"/>
  <c r="K263" i="21"/>
  <c r="I263" i="21" s="1"/>
  <c r="C265" i="23"/>
  <c r="L265" i="23" s="1"/>
  <c r="I265" i="23" s="1"/>
  <c r="B266" i="23"/>
  <c r="R264" i="23"/>
  <c r="S264" i="23" s="1"/>
  <c r="B275" i="17"/>
  <c r="H263" i="21" l="1"/>
  <c r="H274" i="17" s="1"/>
  <c r="J265" i="23"/>
  <c r="I274" i="17"/>
  <c r="B266" i="21"/>
  <c r="C265" i="21"/>
  <c r="Q265" i="21" s="1"/>
  <c r="R265" i="21" s="1"/>
  <c r="K264" i="21"/>
  <c r="I264" i="21" s="1"/>
  <c r="C266" i="23"/>
  <c r="L266" i="23" s="1"/>
  <c r="I266" i="23" s="1"/>
  <c r="B267" i="23"/>
  <c r="R265" i="23"/>
  <c r="S265" i="23" s="1"/>
  <c r="B276" i="17"/>
  <c r="H264" i="21" l="1"/>
  <c r="H275" i="17" s="1"/>
  <c r="J266" i="23"/>
  <c r="B267" i="21"/>
  <c r="C266" i="21"/>
  <c r="Q266" i="21" s="1"/>
  <c r="R266" i="21" s="1"/>
  <c r="K265" i="21"/>
  <c r="I265" i="21" s="1"/>
  <c r="I275" i="17"/>
  <c r="B268" i="23"/>
  <c r="C267" i="23"/>
  <c r="L267" i="23" s="1"/>
  <c r="I267" i="23" s="1"/>
  <c r="R266" i="23"/>
  <c r="S266" i="23" s="1"/>
  <c r="B277" i="17"/>
  <c r="H265" i="21" l="1"/>
  <c r="H276" i="17" s="1"/>
  <c r="J267" i="23"/>
  <c r="I276" i="17"/>
  <c r="B268" i="21"/>
  <c r="C267" i="21"/>
  <c r="Q267" i="21" s="1"/>
  <c r="R267" i="21" s="1"/>
  <c r="K266" i="21"/>
  <c r="I266" i="21" s="1"/>
  <c r="R267" i="23"/>
  <c r="S267" i="23" s="1"/>
  <c r="B278" i="17"/>
  <c r="C268" i="23"/>
  <c r="L268" i="23" s="1"/>
  <c r="I268" i="23" s="1"/>
  <c r="B269" i="23"/>
  <c r="H266" i="21" l="1"/>
  <c r="H277" i="17" s="1"/>
  <c r="J268" i="23"/>
  <c r="B269" i="21"/>
  <c r="C268" i="21"/>
  <c r="Q268" i="21" s="1"/>
  <c r="R268" i="21" s="1"/>
  <c r="K267" i="21"/>
  <c r="I267" i="21" s="1"/>
  <c r="I277" i="17"/>
  <c r="B270" i="23"/>
  <c r="C269" i="23"/>
  <c r="L269" i="23" s="1"/>
  <c r="I269" i="23" s="1"/>
  <c r="R268" i="23"/>
  <c r="S268" i="23" s="1"/>
  <c r="B279" i="17"/>
  <c r="H267" i="21" l="1"/>
  <c r="H278" i="17" s="1"/>
  <c r="J269" i="23"/>
  <c r="I278" i="17"/>
  <c r="B270" i="21"/>
  <c r="C269" i="21"/>
  <c r="Q269" i="21" s="1"/>
  <c r="R269" i="21" s="1"/>
  <c r="K268" i="21"/>
  <c r="I268" i="21" s="1"/>
  <c r="B280" i="17"/>
  <c r="R269" i="23"/>
  <c r="S269" i="23" s="1"/>
  <c r="C270" i="23"/>
  <c r="L270" i="23" s="1"/>
  <c r="I270" i="23" s="1"/>
  <c r="B271" i="23"/>
  <c r="H268" i="21" l="1"/>
  <c r="H279" i="17" s="1"/>
  <c r="J270" i="23"/>
  <c r="K269" i="21"/>
  <c r="I269" i="21" s="1"/>
  <c r="I279" i="17"/>
  <c r="C270" i="21"/>
  <c r="Q270" i="21" s="1"/>
  <c r="R270" i="21" s="1"/>
  <c r="B271" i="21"/>
  <c r="R270" i="23"/>
  <c r="S270" i="23" s="1"/>
  <c r="B281" i="17"/>
  <c r="B272" i="23"/>
  <c r="C271" i="23"/>
  <c r="L271" i="23" s="1"/>
  <c r="I271" i="23" s="1"/>
  <c r="H269" i="21" l="1"/>
  <c r="H280" i="17" s="1"/>
  <c r="I280" i="17"/>
  <c r="J271" i="23"/>
  <c r="B272" i="21"/>
  <c r="C271" i="21"/>
  <c r="Q271" i="21" s="1"/>
  <c r="R271" i="21" s="1"/>
  <c r="K270" i="21"/>
  <c r="I270" i="21" s="1"/>
  <c r="R271" i="23"/>
  <c r="S271" i="23" s="1"/>
  <c r="B282" i="17"/>
  <c r="C272" i="23"/>
  <c r="L272" i="23" s="1"/>
  <c r="I272" i="23" s="1"/>
  <c r="B273" i="23"/>
  <c r="H270" i="21" l="1"/>
  <c r="H281" i="17" s="1"/>
  <c r="J272" i="23"/>
  <c r="I281" i="17"/>
  <c r="C272" i="21"/>
  <c r="Q272" i="21" s="1"/>
  <c r="R272" i="21" s="1"/>
  <c r="B273" i="21"/>
  <c r="K271" i="21"/>
  <c r="I271" i="21" s="1"/>
  <c r="R272" i="23"/>
  <c r="S272" i="23" s="1"/>
  <c r="B283" i="17"/>
  <c r="B274" i="23"/>
  <c r="C273" i="23"/>
  <c r="L273" i="23" s="1"/>
  <c r="I273" i="23" s="1"/>
  <c r="H271" i="21" l="1"/>
  <c r="H282" i="17" s="1"/>
  <c r="I282" i="17"/>
  <c r="J273" i="23"/>
  <c r="B274" i="21"/>
  <c r="C273" i="21"/>
  <c r="Q273" i="21" s="1"/>
  <c r="R273" i="21" s="1"/>
  <c r="K272" i="21"/>
  <c r="I272" i="21" s="1"/>
  <c r="R273" i="23"/>
  <c r="S273" i="23" s="1"/>
  <c r="B284" i="17"/>
  <c r="B275" i="23"/>
  <c r="C274" i="23"/>
  <c r="L274" i="23" s="1"/>
  <c r="I274" i="23" s="1"/>
  <c r="H272" i="21" l="1"/>
  <c r="H283" i="17" s="1"/>
  <c r="I283" i="17"/>
  <c r="J274" i="23"/>
  <c r="B275" i="21"/>
  <c r="C274" i="21"/>
  <c r="Q274" i="21" s="1"/>
  <c r="R274" i="21" s="1"/>
  <c r="K273" i="21"/>
  <c r="I273" i="21" s="1"/>
  <c r="R274" i="23"/>
  <c r="S274" i="23" s="1"/>
  <c r="B285" i="17"/>
  <c r="C275" i="23"/>
  <c r="L275" i="23" s="1"/>
  <c r="I275" i="23" s="1"/>
  <c r="B276" i="23"/>
  <c r="H273" i="21" l="1"/>
  <c r="H284" i="17" s="1"/>
  <c r="I284" i="17"/>
  <c r="J275" i="23"/>
  <c r="B276" i="21"/>
  <c r="C275" i="21"/>
  <c r="Q275" i="21" s="1"/>
  <c r="R275" i="21" s="1"/>
  <c r="K274" i="21"/>
  <c r="I274" i="21" s="1"/>
  <c r="R275" i="23"/>
  <c r="S275" i="23" s="1"/>
  <c r="B286" i="17"/>
  <c r="B277" i="23"/>
  <c r="C276" i="23"/>
  <c r="L276" i="23" s="1"/>
  <c r="I276" i="23" s="1"/>
  <c r="H274" i="21" l="1"/>
  <c r="H285" i="17" s="1"/>
  <c r="I285" i="17"/>
  <c r="J276" i="23"/>
  <c r="B277" i="21"/>
  <c r="C276" i="21"/>
  <c r="Q276" i="21" s="1"/>
  <c r="R276" i="21" s="1"/>
  <c r="K275" i="21"/>
  <c r="I275" i="21" s="1"/>
  <c r="R276" i="23"/>
  <c r="S276" i="23" s="1"/>
  <c r="B287" i="17"/>
  <c r="B278" i="23"/>
  <c r="C277" i="23"/>
  <c r="L277" i="23" s="1"/>
  <c r="I277" i="23" s="1"/>
  <c r="H275" i="21" l="1"/>
  <c r="H286" i="17" s="1"/>
  <c r="I286" i="17"/>
  <c r="J277" i="23"/>
  <c r="B278" i="21"/>
  <c r="C277" i="21"/>
  <c r="Q277" i="21" s="1"/>
  <c r="R277" i="21" s="1"/>
  <c r="K276" i="21"/>
  <c r="I276" i="21" s="1"/>
  <c r="R277" i="23"/>
  <c r="S277" i="23" s="1"/>
  <c r="B288" i="17"/>
  <c r="B279" i="23"/>
  <c r="C278" i="23"/>
  <c r="L278" i="23" s="1"/>
  <c r="I278" i="23" s="1"/>
  <c r="H276" i="21" l="1"/>
  <c r="H287" i="17" s="1"/>
  <c r="J278" i="23"/>
  <c r="B279" i="21"/>
  <c r="C278" i="21"/>
  <c r="Q278" i="21" s="1"/>
  <c r="R278" i="21" s="1"/>
  <c r="I287" i="17"/>
  <c r="K277" i="21"/>
  <c r="I277" i="21" s="1"/>
  <c r="R278" i="23"/>
  <c r="S278" i="23" s="1"/>
  <c r="B289" i="17"/>
  <c r="C279" i="23"/>
  <c r="L279" i="23" s="1"/>
  <c r="I279" i="23" s="1"/>
  <c r="B280" i="23"/>
  <c r="H277" i="21" l="1"/>
  <c r="H288" i="17" s="1"/>
  <c r="J279" i="23"/>
  <c r="B280" i="21"/>
  <c r="C279" i="21"/>
  <c r="Q279" i="21" s="1"/>
  <c r="R279" i="21" s="1"/>
  <c r="K278" i="21"/>
  <c r="I278" i="21" s="1"/>
  <c r="I288" i="17"/>
  <c r="R279" i="23"/>
  <c r="S279" i="23" s="1"/>
  <c r="B290" i="17"/>
  <c r="C280" i="23"/>
  <c r="L280" i="23" s="1"/>
  <c r="I280" i="23" s="1"/>
  <c r="B281" i="23"/>
  <c r="H278" i="21" l="1"/>
  <c r="H289" i="17" s="1"/>
  <c r="I289" i="17"/>
  <c r="J280" i="23"/>
  <c r="C280" i="21"/>
  <c r="Q280" i="21" s="1"/>
  <c r="R280" i="21" s="1"/>
  <c r="B281" i="21"/>
  <c r="K279" i="21"/>
  <c r="I279" i="21" s="1"/>
  <c r="C281" i="23"/>
  <c r="L281" i="23" s="1"/>
  <c r="I281" i="23" s="1"/>
  <c r="B282" i="23"/>
  <c r="R280" i="23"/>
  <c r="S280" i="23" s="1"/>
  <c r="B291" i="17"/>
  <c r="H279" i="21" l="1"/>
  <c r="I290" i="17"/>
  <c r="J281" i="23"/>
  <c r="B282" i="21"/>
  <c r="C281" i="21"/>
  <c r="Q281" i="21" s="1"/>
  <c r="R281" i="21" s="1"/>
  <c r="K280" i="21"/>
  <c r="I280" i="21" s="1"/>
  <c r="H290" i="17"/>
  <c r="B283" i="23"/>
  <c r="C282" i="23"/>
  <c r="L282" i="23" s="1"/>
  <c r="I282" i="23" s="1"/>
  <c r="R281" i="23"/>
  <c r="S281" i="23" s="1"/>
  <c r="B292" i="17"/>
  <c r="H280" i="21" l="1"/>
  <c r="H291" i="17" s="1"/>
  <c r="J282" i="23"/>
  <c r="I291" i="17"/>
  <c r="B283" i="21"/>
  <c r="C282" i="21"/>
  <c r="Q282" i="21" s="1"/>
  <c r="R282" i="21" s="1"/>
  <c r="K281" i="21"/>
  <c r="I281" i="21" s="1"/>
  <c r="R282" i="23"/>
  <c r="S282" i="23" s="1"/>
  <c r="B293" i="17"/>
  <c r="B284" i="23"/>
  <c r="C283" i="23"/>
  <c r="L283" i="23" s="1"/>
  <c r="I283" i="23" s="1"/>
  <c r="H281" i="21" l="1"/>
  <c r="H292" i="17" s="1"/>
  <c r="I292" i="17"/>
  <c r="J283" i="23"/>
  <c r="B284" i="21"/>
  <c r="C283" i="21"/>
  <c r="Q283" i="21" s="1"/>
  <c r="R283" i="21" s="1"/>
  <c r="K282" i="21"/>
  <c r="I282" i="21" s="1"/>
  <c r="B294" i="17"/>
  <c r="R283" i="23"/>
  <c r="S283" i="23" s="1"/>
  <c r="B285" i="23"/>
  <c r="C284" i="23"/>
  <c r="L284" i="23" s="1"/>
  <c r="I284" i="23" s="1"/>
  <c r="H282" i="21" l="1"/>
  <c r="H293" i="17" s="1"/>
  <c r="J284" i="23"/>
  <c r="I293" i="17"/>
  <c r="B285" i="21"/>
  <c r="C284" i="21"/>
  <c r="Q284" i="21" s="1"/>
  <c r="R284" i="21" s="1"/>
  <c r="K283" i="21"/>
  <c r="I283" i="21" s="1"/>
  <c r="R284" i="23"/>
  <c r="S284" i="23" s="1"/>
  <c r="B295" i="17"/>
  <c r="B286" i="23"/>
  <c r="C285" i="23"/>
  <c r="L285" i="23" s="1"/>
  <c r="I285" i="23" s="1"/>
  <c r="H283" i="21" l="1"/>
  <c r="H294" i="17" s="1"/>
  <c r="I294" i="17"/>
  <c r="J285" i="23"/>
  <c r="B286" i="21"/>
  <c r="C285" i="21"/>
  <c r="Q285" i="21" s="1"/>
  <c r="R285" i="21" s="1"/>
  <c r="K284" i="21"/>
  <c r="I284" i="21" s="1"/>
  <c r="R285" i="23"/>
  <c r="S285" i="23" s="1"/>
  <c r="B296" i="17"/>
  <c r="B287" i="23"/>
  <c r="C286" i="23"/>
  <c r="L286" i="23" s="1"/>
  <c r="I286" i="23" s="1"/>
  <c r="H284" i="21" l="1"/>
  <c r="H295" i="17" s="1"/>
  <c r="J286" i="23"/>
  <c r="I295" i="17"/>
  <c r="B287" i="21"/>
  <c r="C286" i="21"/>
  <c r="Q286" i="21" s="1"/>
  <c r="R286" i="21" s="1"/>
  <c r="K285" i="21"/>
  <c r="I285" i="21" s="1"/>
  <c r="B297" i="17"/>
  <c r="R286" i="23"/>
  <c r="S286" i="23" s="1"/>
  <c r="C287" i="23"/>
  <c r="L287" i="23" s="1"/>
  <c r="I287" i="23" s="1"/>
  <c r="B288" i="23"/>
  <c r="H285" i="21" l="1"/>
  <c r="I296" i="17"/>
  <c r="J287" i="23"/>
  <c r="B288" i="21"/>
  <c r="C287" i="21"/>
  <c r="Q287" i="21" s="1"/>
  <c r="R287" i="21" s="1"/>
  <c r="K286" i="21"/>
  <c r="I286" i="21" s="1"/>
  <c r="H296" i="17"/>
  <c r="B289" i="23"/>
  <c r="C288" i="23"/>
  <c r="L288" i="23" s="1"/>
  <c r="I288" i="23" s="1"/>
  <c r="B298" i="17"/>
  <c r="R287" i="23"/>
  <c r="S287" i="23" s="1"/>
  <c r="H286" i="21" l="1"/>
  <c r="H297" i="17" s="1"/>
  <c r="J288" i="23"/>
  <c r="I297" i="17"/>
  <c r="C288" i="21"/>
  <c r="Q288" i="21" s="1"/>
  <c r="R288" i="21" s="1"/>
  <c r="B289" i="21"/>
  <c r="K287" i="21"/>
  <c r="I287" i="21" s="1"/>
  <c r="R288" i="23"/>
  <c r="S288" i="23" s="1"/>
  <c r="B299" i="17"/>
  <c r="B290" i="23"/>
  <c r="C289" i="23"/>
  <c r="L289" i="23" s="1"/>
  <c r="I289" i="23" s="1"/>
  <c r="H287" i="21" l="1"/>
  <c r="H298" i="17" s="1"/>
  <c r="I298" i="17"/>
  <c r="J289" i="23"/>
  <c r="B290" i="21"/>
  <c r="C289" i="21"/>
  <c r="Q289" i="21" s="1"/>
  <c r="R289" i="21" s="1"/>
  <c r="K288" i="21"/>
  <c r="I288" i="21" s="1"/>
  <c r="B291" i="23"/>
  <c r="C290" i="23"/>
  <c r="L290" i="23" s="1"/>
  <c r="I290" i="23" s="1"/>
  <c r="R289" i="23"/>
  <c r="S289" i="23" s="1"/>
  <c r="B300" i="17"/>
  <c r="H288" i="21" l="1"/>
  <c r="H299" i="17" s="1"/>
  <c r="I299" i="17"/>
  <c r="J290" i="23"/>
  <c r="B291" i="21"/>
  <c r="C290" i="21"/>
  <c r="Q290" i="21" s="1"/>
  <c r="R290" i="21" s="1"/>
  <c r="K289" i="21"/>
  <c r="I289" i="21" s="1"/>
  <c r="R290" i="23"/>
  <c r="S290" i="23" s="1"/>
  <c r="B301" i="17"/>
  <c r="B292" i="23"/>
  <c r="C291" i="23"/>
  <c r="L291" i="23" s="1"/>
  <c r="I291" i="23" s="1"/>
  <c r="H289" i="21" l="1"/>
  <c r="H300" i="17" s="1"/>
  <c r="I300" i="17"/>
  <c r="J291" i="23"/>
  <c r="B292" i="21"/>
  <c r="C291" i="21"/>
  <c r="Q291" i="21" s="1"/>
  <c r="R291" i="21" s="1"/>
  <c r="K290" i="21"/>
  <c r="I290" i="21" s="1"/>
  <c r="R291" i="23"/>
  <c r="S291" i="23" s="1"/>
  <c r="B302" i="17"/>
  <c r="B293" i="23"/>
  <c r="C292" i="23"/>
  <c r="L292" i="23" s="1"/>
  <c r="I292" i="23" s="1"/>
  <c r="H290" i="21" l="1"/>
  <c r="H301" i="17" s="1"/>
  <c r="J292" i="23"/>
  <c r="I301" i="17"/>
  <c r="B293" i="21"/>
  <c r="C292" i="21"/>
  <c r="Q292" i="21" s="1"/>
  <c r="R292" i="21" s="1"/>
  <c r="K291" i="21"/>
  <c r="I291" i="21" s="1"/>
  <c r="B294" i="23"/>
  <c r="C293" i="23"/>
  <c r="L293" i="23" s="1"/>
  <c r="I293" i="23" s="1"/>
  <c r="R292" i="23"/>
  <c r="S292" i="23" s="1"/>
  <c r="B303" i="17"/>
  <c r="H291" i="21" l="1"/>
  <c r="H302" i="17" s="1"/>
  <c r="J293" i="23"/>
  <c r="B294" i="21"/>
  <c r="C293" i="21"/>
  <c r="Q293" i="21" s="1"/>
  <c r="R293" i="21" s="1"/>
  <c r="K292" i="21"/>
  <c r="I292" i="21" s="1"/>
  <c r="I302" i="17"/>
  <c r="B304" i="17"/>
  <c r="R293" i="23"/>
  <c r="S293" i="23" s="1"/>
  <c r="C294" i="23"/>
  <c r="L294" i="23" s="1"/>
  <c r="I294" i="23" s="1"/>
  <c r="B295" i="23"/>
  <c r="H292" i="21" l="1"/>
  <c r="H303" i="17" s="1"/>
  <c r="I303" i="17"/>
  <c r="J294" i="23"/>
  <c r="B295" i="21"/>
  <c r="C294" i="21"/>
  <c r="Q294" i="21" s="1"/>
  <c r="R294" i="21" s="1"/>
  <c r="K293" i="21"/>
  <c r="I293" i="21" s="1"/>
  <c r="R294" i="23"/>
  <c r="S294" i="23" s="1"/>
  <c r="B305" i="17"/>
  <c r="C295" i="23"/>
  <c r="L295" i="23" s="1"/>
  <c r="I295" i="23" s="1"/>
  <c r="B296" i="23"/>
  <c r="H293" i="21" l="1"/>
  <c r="H304" i="17" s="1"/>
  <c r="I304" i="17"/>
  <c r="J295" i="23"/>
  <c r="B296" i="21"/>
  <c r="C295" i="21"/>
  <c r="Q295" i="21" s="1"/>
  <c r="R295" i="21" s="1"/>
  <c r="K294" i="21"/>
  <c r="I294" i="21" s="1"/>
  <c r="C296" i="23"/>
  <c r="L296" i="23" s="1"/>
  <c r="I296" i="23" s="1"/>
  <c r="B297" i="23"/>
  <c r="R295" i="23"/>
  <c r="S295" i="23" s="1"/>
  <c r="B306" i="17"/>
  <c r="H294" i="21" l="1"/>
  <c r="H305" i="17" s="1"/>
  <c r="I305" i="17"/>
  <c r="J296" i="23"/>
  <c r="B297" i="21"/>
  <c r="C296" i="21"/>
  <c r="Q296" i="21" s="1"/>
  <c r="R296" i="21" s="1"/>
  <c r="K295" i="21"/>
  <c r="I295" i="21" s="1"/>
  <c r="R296" i="23"/>
  <c r="S296" i="23" s="1"/>
  <c r="B307" i="17"/>
  <c r="C297" i="23"/>
  <c r="L297" i="23" s="1"/>
  <c r="I297" i="23" s="1"/>
  <c r="B298" i="23"/>
  <c r="H295" i="21" l="1"/>
  <c r="H306" i="17" s="1"/>
  <c r="I306" i="17"/>
  <c r="J297" i="23"/>
  <c r="K296" i="21"/>
  <c r="I296" i="21" s="1"/>
  <c r="B298" i="21"/>
  <c r="C297" i="21"/>
  <c r="Q297" i="21" s="1"/>
  <c r="R297" i="21" s="1"/>
  <c r="C298" i="23"/>
  <c r="L298" i="23" s="1"/>
  <c r="I298" i="23" s="1"/>
  <c r="B299" i="23"/>
  <c r="B308" i="17"/>
  <c r="R297" i="23"/>
  <c r="S297" i="23" s="1"/>
  <c r="H296" i="21" l="1"/>
  <c r="H307" i="17" s="1"/>
  <c r="I307" i="17"/>
  <c r="J298" i="23"/>
  <c r="C298" i="21"/>
  <c r="Q298" i="21" s="1"/>
  <c r="R298" i="21" s="1"/>
  <c r="B299" i="21"/>
  <c r="K297" i="21"/>
  <c r="I297" i="21" s="1"/>
  <c r="C299" i="23"/>
  <c r="L299" i="23" s="1"/>
  <c r="I299" i="23" s="1"/>
  <c r="B300" i="23"/>
  <c r="R298" i="23"/>
  <c r="S298" i="23" s="1"/>
  <c r="B309" i="17"/>
  <c r="H297" i="21" l="1"/>
  <c r="H308" i="17" s="1"/>
  <c r="J299" i="23"/>
  <c r="I308" i="17"/>
  <c r="B300" i="21"/>
  <c r="C299" i="21"/>
  <c r="Q299" i="21" s="1"/>
  <c r="R299" i="21" s="1"/>
  <c r="K298" i="21"/>
  <c r="I298" i="21" s="1"/>
  <c r="B301" i="23"/>
  <c r="C300" i="23"/>
  <c r="L300" i="23" s="1"/>
  <c r="I300" i="23" s="1"/>
  <c r="R299" i="23"/>
  <c r="S299" i="23" s="1"/>
  <c r="B310" i="17"/>
  <c r="H298" i="21" l="1"/>
  <c r="H309" i="17" s="1"/>
  <c r="I309" i="17"/>
  <c r="J300" i="23"/>
  <c r="B301" i="21"/>
  <c r="C300" i="21"/>
  <c r="Q300" i="21" s="1"/>
  <c r="R300" i="21" s="1"/>
  <c r="K299" i="21"/>
  <c r="I299" i="21" s="1"/>
  <c r="R300" i="23"/>
  <c r="S300" i="23" s="1"/>
  <c r="B311" i="17"/>
  <c r="B302" i="23"/>
  <c r="C301" i="23"/>
  <c r="L301" i="23" s="1"/>
  <c r="I301" i="23" s="1"/>
  <c r="H299" i="21" l="1"/>
  <c r="H310" i="17" s="1"/>
  <c r="I310" i="17"/>
  <c r="J301" i="23"/>
  <c r="C301" i="21"/>
  <c r="Q301" i="21" s="1"/>
  <c r="R301" i="21" s="1"/>
  <c r="B302" i="21"/>
  <c r="K300" i="21"/>
  <c r="I300" i="21" s="1"/>
  <c r="B303" i="23"/>
  <c r="C302" i="23"/>
  <c r="L302" i="23" s="1"/>
  <c r="I302" i="23" s="1"/>
  <c r="R301" i="23"/>
  <c r="S301" i="23" s="1"/>
  <c r="B312" i="17"/>
  <c r="H300" i="21" l="1"/>
  <c r="H311" i="17" s="1"/>
  <c r="I311" i="17"/>
  <c r="J302" i="23"/>
  <c r="B303" i="21"/>
  <c r="C302" i="21"/>
  <c r="Q302" i="21" s="1"/>
  <c r="R302" i="21" s="1"/>
  <c r="K301" i="21"/>
  <c r="I301" i="21" s="1"/>
  <c r="B304" i="23"/>
  <c r="C303" i="23"/>
  <c r="L303" i="23" s="1"/>
  <c r="I303" i="23" s="1"/>
  <c r="R302" i="23"/>
  <c r="S302" i="23" s="1"/>
  <c r="B313" i="17"/>
  <c r="H301" i="21" l="1"/>
  <c r="H312" i="17" s="1"/>
  <c r="I312" i="17"/>
  <c r="J303" i="23"/>
  <c r="B304" i="21"/>
  <c r="C303" i="21"/>
  <c r="Q303" i="21" s="1"/>
  <c r="R303" i="21" s="1"/>
  <c r="K302" i="21"/>
  <c r="I302" i="21" s="1"/>
  <c r="R303" i="23"/>
  <c r="S303" i="23" s="1"/>
  <c r="B314" i="17"/>
  <c r="C304" i="23"/>
  <c r="L304" i="23" s="1"/>
  <c r="I304" i="23" s="1"/>
  <c r="B305" i="23"/>
  <c r="H302" i="21" l="1"/>
  <c r="H313" i="17" s="1"/>
  <c r="J304" i="23"/>
  <c r="K303" i="21"/>
  <c r="I303" i="21" s="1"/>
  <c r="B305" i="21"/>
  <c r="C304" i="21"/>
  <c r="Q304" i="21" s="1"/>
  <c r="R304" i="21" s="1"/>
  <c r="I313" i="17"/>
  <c r="C305" i="23"/>
  <c r="L305" i="23" s="1"/>
  <c r="I305" i="23" s="1"/>
  <c r="B306" i="23"/>
  <c r="R304" i="23"/>
  <c r="S304" i="23" s="1"/>
  <c r="B315" i="17"/>
  <c r="H303" i="21" l="1"/>
  <c r="H314" i="17" s="1"/>
  <c r="I314" i="17"/>
  <c r="J305" i="23"/>
  <c r="B306" i="21"/>
  <c r="C305" i="21"/>
  <c r="Q305" i="21" s="1"/>
  <c r="R305" i="21" s="1"/>
  <c r="K304" i="21"/>
  <c r="I304" i="21" s="1"/>
  <c r="R305" i="23"/>
  <c r="S305" i="23" s="1"/>
  <c r="B316" i="17"/>
  <c r="B307" i="23"/>
  <c r="C306" i="23"/>
  <c r="L306" i="23" s="1"/>
  <c r="I306" i="23" s="1"/>
  <c r="H304" i="21" l="1"/>
  <c r="H315" i="17" s="1"/>
  <c r="I315" i="17"/>
  <c r="J306" i="23"/>
  <c r="B307" i="21"/>
  <c r="C306" i="21"/>
  <c r="Q306" i="21" s="1"/>
  <c r="R306" i="21" s="1"/>
  <c r="K305" i="21"/>
  <c r="I305" i="21" s="1"/>
  <c r="C307" i="23"/>
  <c r="L307" i="23" s="1"/>
  <c r="I307" i="23" s="1"/>
  <c r="B308" i="23"/>
  <c r="R306" i="23"/>
  <c r="S306" i="23" s="1"/>
  <c r="B317" i="17"/>
  <c r="H305" i="21" l="1"/>
  <c r="H316" i="17" s="1"/>
  <c r="J307" i="23"/>
  <c r="C307" i="21"/>
  <c r="Q307" i="21" s="1"/>
  <c r="R307" i="21" s="1"/>
  <c r="B308" i="21"/>
  <c r="K306" i="21"/>
  <c r="I306" i="21" s="1"/>
  <c r="I316" i="17"/>
  <c r="B309" i="23"/>
  <c r="C308" i="23"/>
  <c r="L308" i="23" s="1"/>
  <c r="I308" i="23" s="1"/>
  <c r="R307" i="23"/>
  <c r="S307" i="23" s="1"/>
  <c r="B318" i="17"/>
  <c r="H306" i="21" l="1"/>
  <c r="H317" i="17" s="1"/>
  <c r="I317" i="17"/>
  <c r="J308" i="23"/>
  <c r="B309" i="21"/>
  <c r="C308" i="21"/>
  <c r="Q308" i="21" s="1"/>
  <c r="R308" i="21" s="1"/>
  <c r="K307" i="21"/>
  <c r="I307" i="21" s="1"/>
  <c r="R308" i="23"/>
  <c r="S308" i="23" s="1"/>
  <c r="B319" i="17"/>
  <c r="B310" i="23"/>
  <c r="C309" i="23"/>
  <c r="L309" i="23" s="1"/>
  <c r="I309" i="23" s="1"/>
  <c r="H307" i="21" l="1"/>
  <c r="H318" i="17" s="1"/>
  <c r="I318" i="17"/>
  <c r="J309" i="23"/>
  <c r="C309" i="21"/>
  <c r="Q309" i="21" s="1"/>
  <c r="R309" i="21" s="1"/>
  <c r="B310" i="21"/>
  <c r="K308" i="21"/>
  <c r="I308" i="21" s="1"/>
  <c r="B320" i="17"/>
  <c r="R309" i="23"/>
  <c r="S309" i="23" s="1"/>
  <c r="C310" i="23"/>
  <c r="L310" i="23" s="1"/>
  <c r="I310" i="23" s="1"/>
  <c r="B311" i="23"/>
  <c r="H308" i="21" l="1"/>
  <c r="H319" i="17" s="1"/>
  <c r="J310" i="23"/>
  <c r="C310" i="21"/>
  <c r="Q310" i="21" s="1"/>
  <c r="R310" i="21" s="1"/>
  <c r="B311" i="21"/>
  <c r="K309" i="21"/>
  <c r="I309" i="21" s="1"/>
  <c r="I319" i="17"/>
  <c r="B312" i="23"/>
  <c r="C311" i="23"/>
  <c r="L311" i="23" s="1"/>
  <c r="I311" i="23" s="1"/>
  <c r="R310" i="23"/>
  <c r="S310" i="23" s="1"/>
  <c r="B321" i="17"/>
  <c r="H309" i="21" l="1"/>
  <c r="H320" i="17" s="1"/>
  <c r="J311" i="23"/>
  <c r="I320" i="17"/>
  <c r="B312" i="21"/>
  <c r="C311" i="21"/>
  <c r="Q311" i="21" s="1"/>
  <c r="R311" i="21" s="1"/>
  <c r="K310" i="21"/>
  <c r="I310" i="21" s="1"/>
  <c r="R311" i="23"/>
  <c r="S311" i="23" s="1"/>
  <c r="B322" i="17"/>
  <c r="B313" i="23"/>
  <c r="C312" i="23"/>
  <c r="L312" i="23" s="1"/>
  <c r="I312" i="23" s="1"/>
  <c r="H310" i="21" l="1"/>
  <c r="H321" i="17" s="1"/>
  <c r="I321" i="17"/>
  <c r="J312" i="23"/>
  <c r="B313" i="21"/>
  <c r="C312" i="21"/>
  <c r="Q312" i="21" s="1"/>
  <c r="R312" i="21" s="1"/>
  <c r="K311" i="21"/>
  <c r="I311" i="21" s="1"/>
  <c r="B314" i="23"/>
  <c r="C313" i="23"/>
  <c r="L313" i="23" s="1"/>
  <c r="I313" i="23" s="1"/>
  <c r="R312" i="23"/>
  <c r="S312" i="23" s="1"/>
  <c r="B323" i="17"/>
  <c r="H311" i="21" l="1"/>
  <c r="H322" i="17" s="1"/>
  <c r="I322" i="17"/>
  <c r="J313" i="23"/>
  <c r="B314" i="21"/>
  <c r="C313" i="21"/>
  <c r="Q313" i="21" s="1"/>
  <c r="R313" i="21" s="1"/>
  <c r="K312" i="21"/>
  <c r="I312" i="21" s="1"/>
  <c r="C314" i="23"/>
  <c r="L314" i="23" s="1"/>
  <c r="I314" i="23" s="1"/>
  <c r="B315" i="23"/>
  <c r="R313" i="23"/>
  <c r="S313" i="23" s="1"/>
  <c r="B324" i="17"/>
  <c r="H312" i="21" l="1"/>
  <c r="H323" i="17" s="1"/>
  <c r="J314" i="23"/>
  <c r="K313" i="21"/>
  <c r="I313" i="21" s="1"/>
  <c r="B315" i="21"/>
  <c r="C314" i="21"/>
  <c r="Q314" i="21" s="1"/>
  <c r="R314" i="21" s="1"/>
  <c r="I323" i="17"/>
  <c r="C315" i="23"/>
  <c r="L315" i="23" s="1"/>
  <c r="I315" i="23" s="1"/>
  <c r="B316" i="23"/>
  <c r="R314" i="23"/>
  <c r="S314" i="23" s="1"/>
  <c r="B325" i="17"/>
  <c r="H313" i="21" l="1"/>
  <c r="H324" i="17" s="1"/>
  <c r="J315" i="23"/>
  <c r="I324" i="17"/>
  <c r="C315" i="21"/>
  <c r="Q315" i="21" s="1"/>
  <c r="R315" i="21" s="1"/>
  <c r="B316" i="21"/>
  <c r="K314" i="21"/>
  <c r="I314" i="21" s="1"/>
  <c r="C316" i="23"/>
  <c r="L316" i="23" s="1"/>
  <c r="I316" i="23" s="1"/>
  <c r="B317" i="23"/>
  <c r="B326" i="17"/>
  <c r="R315" i="23"/>
  <c r="S315" i="23" s="1"/>
  <c r="H314" i="21" l="1"/>
  <c r="H325" i="17" s="1"/>
  <c r="J316" i="23"/>
  <c r="I325" i="17"/>
  <c r="B317" i="21"/>
  <c r="C316" i="21"/>
  <c r="Q316" i="21" s="1"/>
  <c r="R316" i="21" s="1"/>
  <c r="K315" i="21"/>
  <c r="I315" i="21" s="1"/>
  <c r="B318" i="23"/>
  <c r="C317" i="23"/>
  <c r="L317" i="23" s="1"/>
  <c r="I317" i="23" s="1"/>
  <c r="R316" i="23"/>
  <c r="S316" i="23" s="1"/>
  <c r="B327" i="17"/>
  <c r="H315" i="21" l="1"/>
  <c r="H326" i="17" s="1"/>
  <c r="J317" i="23"/>
  <c r="B318" i="21"/>
  <c r="C317" i="21"/>
  <c r="Q317" i="21" s="1"/>
  <c r="R317" i="21" s="1"/>
  <c r="K316" i="21"/>
  <c r="I316" i="21" s="1"/>
  <c r="I326" i="17"/>
  <c r="R317" i="23"/>
  <c r="S317" i="23" s="1"/>
  <c r="B328" i="17"/>
  <c r="B319" i="23"/>
  <c r="C318" i="23"/>
  <c r="L318" i="23" s="1"/>
  <c r="I318" i="23" s="1"/>
  <c r="H316" i="21" l="1"/>
  <c r="H327" i="17" s="1"/>
  <c r="I327" i="17"/>
  <c r="J318" i="23"/>
  <c r="B319" i="21"/>
  <c r="C318" i="21"/>
  <c r="Q318" i="21" s="1"/>
  <c r="R318" i="21" s="1"/>
  <c r="K317" i="21"/>
  <c r="I317" i="21" s="1"/>
  <c r="B320" i="23"/>
  <c r="C319" i="23"/>
  <c r="L319" i="23" s="1"/>
  <c r="I319" i="23" s="1"/>
  <c r="R318" i="23"/>
  <c r="S318" i="23" s="1"/>
  <c r="B329" i="17"/>
  <c r="H317" i="21" l="1"/>
  <c r="H328" i="17" s="1"/>
  <c r="I328" i="17"/>
  <c r="J319" i="23"/>
  <c r="K318" i="21"/>
  <c r="I318" i="21" s="1"/>
  <c r="B320" i="21"/>
  <c r="C319" i="21"/>
  <c r="Q319" i="21" s="1"/>
  <c r="R319" i="21" s="1"/>
  <c r="R319" i="23"/>
  <c r="S319" i="23" s="1"/>
  <c r="B330" i="17"/>
  <c r="B321" i="23"/>
  <c r="C320" i="23"/>
  <c r="L320" i="23" s="1"/>
  <c r="I320" i="23" s="1"/>
  <c r="H318" i="21" l="1"/>
  <c r="H329" i="17" s="1"/>
  <c r="I329" i="17"/>
  <c r="J320" i="23"/>
  <c r="B321" i="21"/>
  <c r="C320" i="21"/>
  <c r="Q320" i="21" s="1"/>
  <c r="R320" i="21" s="1"/>
  <c r="K319" i="21"/>
  <c r="I319" i="21" s="1"/>
  <c r="B322" i="23"/>
  <c r="C321" i="23"/>
  <c r="L321" i="23" s="1"/>
  <c r="I321" i="23" s="1"/>
  <c r="R320" i="23"/>
  <c r="S320" i="23" s="1"/>
  <c r="B331" i="17"/>
  <c r="H319" i="21" l="1"/>
  <c r="H330" i="17" s="1"/>
  <c r="I330" i="17"/>
  <c r="J321" i="23"/>
  <c r="B322" i="21"/>
  <c r="C321" i="21"/>
  <c r="Q321" i="21" s="1"/>
  <c r="R321" i="21" s="1"/>
  <c r="K320" i="21"/>
  <c r="I320" i="21" s="1"/>
  <c r="R321" i="23"/>
  <c r="S321" i="23" s="1"/>
  <c r="B332" i="17"/>
  <c r="C322" i="23"/>
  <c r="L322" i="23" s="1"/>
  <c r="I322" i="23" s="1"/>
  <c r="B323" i="23"/>
  <c r="H320" i="21" l="1"/>
  <c r="H331" i="17" s="1"/>
  <c r="J322" i="23"/>
  <c r="B323" i="21"/>
  <c r="C322" i="21"/>
  <c r="Q322" i="21" s="1"/>
  <c r="R322" i="21" s="1"/>
  <c r="K321" i="21"/>
  <c r="I321" i="21" s="1"/>
  <c r="I331" i="17"/>
  <c r="R322" i="23"/>
  <c r="S322" i="23" s="1"/>
  <c r="B333" i="17"/>
  <c r="C323" i="23"/>
  <c r="L323" i="23" s="1"/>
  <c r="I323" i="23" s="1"/>
  <c r="B324" i="23"/>
  <c r="H321" i="21" l="1"/>
  <c r="H332" i="17" s="1"/>
  <c r="J323" i="23"/>
  <c r="I332" i="17"/>
  <c r="B324" i="21"/>
  <c r="C323" i="21"/>
  <c r="Q323" i="21" s="1"/>
  <c r="R323" i="21" s="1"/>
  <c r="K322" i="21"/>
  <c r="I322" i="21" s="1"/>
  <c r="C324" i="23"/>
  <c r="L324" i="23" s="1"/>
  <c r="I324" i="23" s="1"/>
  <c r="B325" i="23"/>
  <c r="B334" i="17"/>
  <c r="R323" i="23"/>
  <c r="S323" i="23" s="1"/>
  <c r="H322" i="21" l="1"/>
  <c r="H333" i="17" s="1"/>
  <c r="J324" i="23"/>
  <c r="B325" i="21"/>
  <c r="C324" i="21"/>
  <c r="Q324" i="21" s="1"/>
  <c r="R324" i="21" s="1"/>
  <c r="K323" i="21"/>
  <c r="I323" i="21" s="1"/>
  <c r="I333" i="17"/>
  <c r="C325" i="23"/>
  <c r="L325" i="23" s="1"/>
  <c r="I325" i="23" s="1"/>
  <c r="B326" i="23"/>
  <c r="R324" i="23"/>
  <c r="S324" i="23" s="1"/>
  <c r="B335" i="17"/>
  <c r="H323" i="21" l="1"/>
  <c r="H334" i="17" s="1"/>
  <c r="I334" i="17"/>
  <c r="J325" i="23"/>
  <c r="B326" i="21"/>
  <c r="C325" i="21"/>
  <c r="Q325" i="21" s="1"/>
  <c r="R325" i="21" s="1"/>
  <c r="K324" i="21"/>
  <c r="I324" i="21" s="1"/>
  <c r="C326" i="23"/>
  <c r="L326" i="23" s="1"/>
  <c r="I326" i="23" s="1"/>
  <c r="B327" i="23"/>
  <c r="R325" i="23"/>
  <c r="S325" i="23" s="1"/>
  <c r="B336" i="17"/>
  <c r="H324" i="21" l="1"/>
  <c r="H335" i="17" s="1"/>
  <c r="J326" i="23"/>
  <c r="B327" i="21"/>
  <c r="C326" i="21"/>
  <c r="Q326" i="21" s="1"/>
  <c r="R326" i="21" s="1"/>
  <c r="K325" i="21"/>
  <c r="I325" i="21" s="1"/>
  <c r="I335" i="17"/>
  <c r="R326" i="23"/>
  <c r="S326" i="23" s="1"/>
  <c r="B337" i="17"/>
  <c r="B328" i="23"/>
  <c r="C327" i="23"/>
  <c r="L327" i="23" s="1"/>
  <c r="I327" i="23" s="1"/>
  <c r="H325" i="21" l="1"/>
  <c r="H336" i="17" s="1"/>
  <c r="I336" i="17"/>
  <c r="J327" i="23"/>
  <c r="B328" i="21"/>
  <c r="C327" i="21"/>
  <c r="Q327" i="21" s="1"/>
  <c r="R327" i="21" s="1"/>
  <c r="K326" i="21"/>
  <c r="I326" i="21" s="1"/>
  <c r="R327" i="23"/>
  <c r="S327" i="23" s="1"/>
  <c r="B338" i="17"/>
  <c r="B329" i="23"/>
  <c r="C328" i="23"/>
  <c r="L328" i="23" s="1"/>
  <c r="I328" i="23" s="1"/>
  <c r="H326" i="21" l="1"/>
  <c r="H337" i="17" s="1"/>
  <c r="J328" i="23"/>
  <c r="B329" i="21"/>
  <c r="C328" i="21"/>
  <c r="Q328" i="21" s="1"/>
  <c r="R328" i="21" s="1"/>
  <c r="K327" i="21"/>
  <c r="I327" i="21" s="1"/>
  <c r="I337" i="17"/>
  <c r="R328" i="23"/>
  <c r="S328" i="23" s="1"/>
  <c r="B339" i="17"/>
  <c r="C329" i="23"/>
  <c r="L329" i="23" s="1"/>
  <c r="I329" i="23" s="1"/>
  <c r="B330" i="23"/>
  <c r="H327" i="21" l="1"/>
  <c r="H338" i="17" s="1"/>
  <c r="J329" i="23"/>
  <c r="I338" i="17"/>
  <c r="B330" i="21"/>
  <c r="C329" i="21"/>
  <c r="Q329" i="21" s="1"/>
  <c r="R329" i="21" s="1"/>
  <c r="K328" i="21"/>
  <c r="I328" i="21" s="1"/>
  <c r="B340" i="17"/>
  <c r="R329" i="23"/>
  <c r="S329" i="23" s="1"/>
  <c r="C330" i="23"/>
  <c r="L330" i="23" s="1"/>
  <c r="I330" i="23" s="1"/>
  <c r="B331" i="23"/>
  <c r="H328" i="21" l="1"/>
  <c r="H339" i="17" s="1"/>
  <c r="J330" i="23"/>
  <c r="B331" i="21"/>
  <c r="C330" i="21"/>
  <c r="Q330" i="21" s="1"/>
  <c r="R330" i="21" s="1"/>
  <c r="K329" i="21"/>
  <c r="I329" i="21" s="1"/>
  <c r="I339" i="17"/>
  <c r="B332" i="23"/>
  <c r="C331" i="23"/>
  <c r="L331" i="23" s="1"/>
  <c r="I331" i="23" s="1"/>
  <c r="R330" i="23"/>
  <c r="S330" i="23" s="1"/>
  <c r="B341" i="17"/>
  <c r="H329" i="21" l="1"/>
  <c r="H340" i="17" s="1"/>
  <c r="I340" i="17"/>
  <c r="J331" i="23"/>
  <c r="B332" i="21"/>
  <c r="C331" i="21"/>
  <c r="Q331" i="21" s="1"/>
  <c r="R331" i="21" s="1"/>
  <c r="K330" i="21"/>
  <c r="I330" i="21" s="1"/>
  <c r="R331" i="23"/>
  <c r="S331" i="23" s="1"/>
  <c r="B342" i="17"/>
  <c r="B333" i="23"/>
  <c r="C332" i="23"/>
  <c r="L332" i="23" s="1"/>
  <c r="I332" i="23" s="1"/>
  <c r="H330" i="21" l="1"/>
  <c r="H341" i="17" s="1"/>
  <c r="I341" i="17"/>
  <c r="J332" i="23"/>
  <c r="B333" i="21"/>
  <c r="C332" i="21"/>
  <c r="Q332" i="21" s="1"/>
  <c r="R332" i="21" s="1"/>
  <c r="K331" i="21"/>
  <c r="I331" i="21" s="1"/>
  <c r="B334" i="23"/>
  <c r="C333" i="23"/>
  <c r="L333" i="23" s="1"/>
  <c r="I333" i="23" s="1"/>
  <c r="R332" i="23"/>
  <c r="S332" i="23" s="1"/>
  <c r="B343" i="17"/>
  <c r="H331" i="21" l="1"/>
  <c r="H342" i="17" s="1"/>
  <c r="I342" i="17"/>
  <c r="J333" i="23"/>
  <c r="B334" i="21"/>
  <c r="C333" i="21"/>
  <c r="Q333" i="21" s="1"/>
  <c r="R333" i="21" s="1"/>
  <c r="K332" i="21"/>
  <c r="I332" i="21" s="1"/>
  <c r="B344" i="17"/>
  <c r="R333" i="23"/>
  <c r="S333" i="23" s="1"/>
  <c r="C334" i="23"/>
  <c r="L334" i="23" s="1"/>
  <c r="I334" i="23" s="1"/>
  <c r="B335" i="23"/>
  <c r="H332" i="21" l="1"/>
  <c r="H343" i="17" s="1"/>
  <c r="I343" i="17"/>
  <c r="J334" i="23"/>
  <c r="C334" i="21"/>
  <c r="Q334" i="21" s="1"/>
  <c r="R334" i="21" s="1"/>
  <c r="B335" i="21"/>
  <c r="K333" i="21"/>
  <c r="I333" i="21" s="1"/>
  <c r="B336" i="23"/>
  <c r="C335" i="23"/>
  <c r="L335" i="23" s="1"/>
  <c r="I335" i="23" s="1"/>
  <c r="B345" i="17"/>
  <c r="R334" i="23"/>
  <c r="S334" i="23" s="1"/>
  <c r="H333" i="21" l="1"/>
  <c r="H344" i="17" s="1"/>
  <c r="J335" i="23"/>
  <c r="I344" i="17"/>
  <c r="B336" i="21"/>
  <c r="C335" i="21"/>
  <c r="Q335" i="21" s="1"/>
  <c r="R335" i="21" s="1"/>
  <c r="K334" i="21"/>
  <c r="I334" i="21" s="1"/>
  <c r="R335" i="23"/>
  <c r="S335" i="23" s="1"/>
  <c r="B346" i="17"/>
  <c r="B337" i="23"/>
  <c r="C336" i="23"/>
  <c r="L336" i="23" s="1"/>
  <c r="I336" i="23" s="1"/>
  <c r="H334" i="21" l="1"/>
  <c r="H345" i="17" s="1"/>
  <c r="J336" i="23"/>
  <c r="B337" i="21"/>
  <c r="C336" i="21"/>
  <c r="Q336" i="21" s="1"/>
  <c r="R336" i="21" s="1"/>
  <c r="K335" i="21"/>
  <c r="I335" i="21" s="1"/>
  <c r="I345" i="17"/>
  <c r="B347" i="17"/>
  <c r="R336" i="23"/>
  <c r="S336" i="23" s="1"/>
  <c r="C337" i="23"/>
  <c r="L337" i="23" s="1"/>
  <c r="I337" i="23" s="1"/>
  <c r="B338" i="23"/>
  <c r="H335" i="21" l="1"/>
  <c r="H346" i="17" s="1"/>
  <c r="J337" i="23"/>
  <c r="I346" i="17"/>
  <c r="B338" i="21"/>
  <c r="C337" i="21"/>
  <c r="Q337" i="21" s="1"/>
  <c r="R337" i="21" s="1"/>
  <c r="K336" i="21"/>
  <c r="I336" i="21" s="1"/>
  <c r="C338" i="23"/>
  <c r="L338" i="23" s="1"/>
  <c r="I338" i="23" s="1"/>
  <c r="B339" i="23"/>
  <c r="R337" i="23"/>
  <c r="S337" i="23" s="1"/>
  <c r="B348" i="17"/>
  <c r="H336" i="21" l="1"/>
  <c r="H347" i="17" s="1"/>
  <c r="J338" i="23"/>
  <c r="C338" i="21"/>
  <c r="Q338" i="21" s="1"/>
  <c r="R338" i="21" s="1"/>
  <c r="B339" i="21"/>
  <c r="K337" i="21"/>
  <c r="I337" i="21" s="1"/>
  <c r="I347" i="17"/>
  <c r="B340" i="23"/>
  <c r="C339" i="23"/>
  <c r="L339" i="23" s="1"/>
  <c r="I339" i="23" s="1"/>
  <c r="R338" i="23"/>
  <c r="S338" i="23" s="1"/>
  <c r="B349" i="17"/>
  <c r="H337" i="21" l="1"/>
  <c r="H348" i="17" s="1"/>
  <c r="J339" i="23"/>
  <c r="I348" i="17"/>
  <c r="B340" i="21"/>
  <c r="C339" i="21"/>
  <c r="Q339" i="21" s="1"/>
  <c r="R339" i="21" s="1"/>
  <c r="K338" i="21"/>
  <c r="I338" i="21" s="1"/>
  <c r="R339" i="23"/>
  <c r="S339" i="23" s="1"/>
  <c r="B350" i="17"/>
  <c r="B341" i="23"/>
  <c r="C340" i="23"/>
  <c r="L340" i="23" s="1"/>
  <c r="I340" i="23" s="1"/>
  <c r="H338" i="21" l="1"/>
  <c r="H349" i="17" s="1"/>
  <c r="I349" i="17"/>
  <c r="J340" i="23"/>
  <c r="C340" i="21"/>
  <c r="Q340" i="21" s="1"/>
  <c r="R340" i="21" s="1"/>
  <c r="B341" i="21"/>
  <c r="K339" i="21"/>
  <c r="I339" i="21" s="1"/>
  <c r="R340" i="23"/>
  <c r="S340" i="23" s="1"/>
  <c r="B351" i="17"/>
  <c r="B342" i="23"/>
  <c r="C341" i="23"/>
  <c r="L341" i="23" s="1"/>
  <c r="I341" i="23" s="1"/>
  <c r="H339" i="21" l="1"/>
  <c r="H350" i="17" s="1"/>
  <c r="J341" i="23"/>
  <c r="I350" i="17"/>
  <c r="B342" i="21"/>
  <c r="C341" i="21"/>
  <c r="Q341" i="21" s="1"/>
  <c r="R341" i="21" s="1"/>
  <c r="K340" i="21"/>
  <c r="I340" i="21" s="1"/>
  <c r="R341" i="23"/>
  <c r="S341" i="23" s="1"/>
  <c r="B352" i="17"/>
  <c r="B343" i="23"/>
  <c r="C342" i="23"/>
  <c r="L342" i="23" s="1"/>
  <c r="I342" i="23" s="1"/>
  <c r="H340" i="21" l="1"/>
  <c r="H351" i="17" s="1"/>
  <c r="I351" i="17"/>
  <c r="J342" i="23"/>
  <c r="K341" i="21"/>
  <c r="I341" i="21" s="1"/>
  <c r="B343" i="21"/>
  <c r="C342" i="21"/>
  <c r="Q342" i="21" s="1"/>
  <c r="R342" i="21" s="1"/>
  <c r="B353" i="17"/>
  <c r="R342" i="23"/>
  <c r="S342" i="23" s="1"/>
  <c r="B344" i="23"/>
  <c r="C343" i="23"/>
  <c r="L343" i="23" s="1"/>
  <c r="I343" i="23" s="1"/>
  <c r="H341" i="21" l="1"/>
  <c r="H352" i="17" s="1"/>
  <c r="I352" i="17"/>
  <c r="J343" i="23"/>
  <c r="B344" i="21"/>
  <c r="C343" i="21"/>
  <c r="Q343" i="21" s="1"/>
  <c r="R343" i="21" s="1"/>
  <c r="K342" i="21"/>
  <c r="I342" i="21" s="1"/>
  <c r="R343" i="23"/>
  <c r="S343" i="23" s="1"/>
  <c r="B354" i="17"/>
  <c r="C344" i="23"/>
  <c r="L344" i="23" s="1"/>
  <c r="I344" i="23" s="1"/>
  <c r="B345" i="23"/>
  <c r="E17" i="23"/>
  <c r="H342" i="21" l="1"/>
  <c r="H353" i="17" s="1"/>
  <c r="I353" i="17"/>
  <c r="J344" i="23"/>
  <c r="E17" i="21"/>
  <c r="B345" i="21"/>
  <c r="C344" i="21"/>
  <c r="Q344" i="21" s="1"/>
  <c r="R344" i="21" s="1"/>
  <c r="K343" i="21"/>
  <c r="I343" i="21" s="1"/>
  <c r="B346" i="23"/>
  <c r="C345" i="23"/>
  <c r="L345" i="23" s="1"/>
  <c r="I345" i="23" s="1"/>
  <c r="R344" i="23"/>
  <c r="S344" i="23" s="1"/>
  <c r="B355" i="17"/>
  <c r="H343" i="21" l="1"/>
  <c r="H354" i="17" s="1"/>
  <c r="I354" i="17"/>
  <c r="J345" i="23"/>
  <c r="B346" i="21"/>
  <c r="C345" i="21"/>
  <c r="Q345" i="21" s="1"/>
  <c r="R345" i="21" s="1"/>
  <c r="K344" i="21"/>
  <c r="I344" i="21" s="1"/>
  <c r="B356" i="17"/>
  <c r="R345" i="23"/>
  <c r="S345" i="23" s="1"/>
  <c r="C346" i="23"/>
  <c r="L346" i="23" s="1"/>
  <c r="I346" i="23" s="1"/>
  <c r="B347" i="23"/>
  <c r="H344" i="21" l="1"/>
  <c r="H355" i="17" s="1"/>
  <c r="J346" i="23"/>
  <c r="I355" i="17"/>
  <c r="B347" i="21"/>
  <c r="C346" i="21"/>
  <c r="Q346" i="21" s="1"/>
  <c r="R346" i="21" s="1"/>
  <c r="K345" i="21"/>
  <c r="I345" i="21" s="1"/>
  <c r="B348" i="23"/>
  <c r="C347" i="23"/>
  <c r="L347" i="23" s="1"/>
  <c r="I347" i="23" s="1"/>
  <c r="R346" i="23"/>
  <c r="S346" i="23" s="1"/>
  <c r="B357" i="17"/>
  <c r="H345" i="21" l="1"/>
  <c r="H356" i="17" s="1"/>
  <c r="I356" i="17"/>
  <c r="J347" i="23"/>
  <c r="B348" i="21"/>
  <c r="C347" i="21"/>
  <c r="Q347" i="21" s="1"/>
  <c r="R347" i="21" s="1"/>
  <c r="K346" i="21"/>
  <c r="I346" i="21" s="1"/>
  <c r="R347" i="23"/>
  <c r="S347" i="23" s="1"/>
  <c r="B358" i="17"/>
  <c r="C348" i="23"/>
  <c r="L348" i="23" s="1"/>
  <c r="I348" i="23" s="1"/>
  <c r="B349" i="23"/>
  <c r="H346" i="21" l="1"/>
  <c r="H357" i="17" s="1"/>
  <c r="J348" i="23"/>
  <c r="I357" i="17"/>
  <c r="B349" i="21"/>
  <c r="C348" i="21"/>
  <c r="Q348" i="21" s="1"/>
  <c r="R348" i="21" s="1"/>
  <c r="K347" i="21"/>
  <c r="I347" i="21" s="1"/>
  <c r="B350" i="23"/>
  <c r="C349" i="23"/>
  <c r="L349" i="23" s="1"/>
  <c r="I349" i="23" s="1"/>
  <c r="R348" i="23"/>
  <c r="S348" i="23" s="1"/>
  <c r="B359" i="17"/>
  <c r="H347" i="21" l="1"/>
  <c r="H358" i="17" s="1"/>
  <c r="J349" i="23"/>
  <c r="B350" i="21"/>
  <c r="C349" i="21"/>
  <c r="Q349" i="21" s="1"/>
  <c r="R349" i="21" s="1"/>
  <c r="K348" i="21"/>
  <c r="I348" i="21" s="1"/>
  <c r="I358" i="17"/>
  <c r="R349" i="23"/>
  <c r="S349" i="23" s="1"/>
  <c r="B360" i="17"/>
  <c r="B351" i="23"/>
  <c r="C350" i="23"/>
  <c r="L350" i="23" s="1"/>
  <c r="I350" i="23" s="1"/>
  <c r="H348" i="21" l="1"/>
  <c r="H359" i="17" s="1"/>
  <c r="J350" i="23"/>
  <c r="I359" i="17"/>
  <c r="C350" i="21"/>
  <c r="Q350" i="21" s="1"/>
  <c r="R350" i="21" s="1"/>
  <c r="B351" i="21"/>
  <c r="K349" i="21"/>
  <c r="I349" i="21" s="1"/>
  <c r="R350" i="23"/>
  <c r="S350" i="23" s="1"/>
  <c r="B361" i="17"/>
  <c r="B352" i="23"/>
  <c r="C351" i="23"/>
  <c r="L351" i="23" s="1"/>
  <c r="I351" i="23" s="1"/>
  <c r="H349" i="21" l="1"/>
  <c r="H360" i="17" s="1"/>
  <c r="J351" i="23"/>
  <c r="C351" i="21"/>
  <c r="Q351" i="21" s="1"/>
  <c r="R351" i="21" s="1"/>
  <c r="B352" i="21"/>
  <c r="K350" i="21"/>
  <c r="I350" i="21" s="1"/>
  <c r="I360" i="17"/>
  <c r="R351" i="23"/>
  <c r="S351" i="23" s="1"/>
  <c r="B362" i="17"/>
  <c r="C352" i="23"/>
  <c r="L352" i="23" s="1"/>
  <c r="I352" i="23" s="1"/>
  <c r="B353" i="23"/>
  <c r="H350" i="21" l="1"/>
  <c r="H361" i="17" s="1"/>
  <c r="J352" i="23"/>
  <c r="I361" i="17"/>
  <c r="C352" i="21"/>
  <c r="Q352" i="21" s="1"/>
  <c r="R352" i="21" s="1"/>
  <c r="B353" i="21"/>
  <c r="K351" i="21"/>
  <c r="I351" i="21" s="1"/>
  <c r="B354" i="23"/>
  <c r="C353" i="23"/>
  <c r="L353" i="23" s="1"/>
  <c r="I353" i="23" s="1"/>
  <c r="R352" i="23"/>
  <c r="S352" i="23" s="1"/>
  <c r="B363" i="17"/>
  <c r="H351" i="21" l="1"/>
  <c r="H362" i="17" s="1"/>
  <c r="I362" i="17"/>
  <c r="J353" i="23"/>
  <c r="C353" i="21"/>
  <c r="Q353" i="21" s="1"/>
  <c r="R353" i="21" s="1"/>
  <c r="B354" i="21"/>
  <c r="K352" i="21"/>
  <c r="I352" i="21" s="1"/>
  <c r="R353" i="23"/>
  <c r="S353" i="23" s="1"/>
  <c r="B364" i="17"/>
  <c r="B355" i="23"/>
  <c r="C354" i="23"/>
  <c r="H352" i="21" l="1"/>
  <c r="H363" i="17" s="1"/>
  <c r="I363" i="17"/>
  <c r="C354" i="21"/>
  <c r="Q354" i="21" s="1"/>
  <c r="R354" i="21" s="1"/>
  <c r="B355" i="21"/>
  <c r="K353" i="21"/>
  <c r="I353" i="21" s="1"/>
  <c r="L354" i="23"/>
  <c r="J354" i="23" s="1"/>
  <c r="R354" i="23"/>
  <c r="S354" i="23" s="1"/>
  <c r="B365" i="17"/>
  <c r="B356" i="23"/>
  <c r="C355" i="23"/>
  <c r="L355" i="23" s="1"/>
  <c r="I355" i="23" s="1"/>
  <c r="H353" i="21" l="1"/>
  <c r="H364" i="17" s="1"/>
  <c r="J355" i="23"/>
  <c r="I354" i="23"/>
  <c r="K354" i="21"/>
  <c r="I354" i="21" s="1"/>
  <c r="I364" i="17"/>
  <c r="C355" i="21"/>
  <c r="Q355" i="21" s="1"/>
  <c r="R355" i="21" s="1"/>
  <c r="B356" i="21"/>
  <c r="R355" i="23"/>
  <c r="S355" i="23" s="1"/>
  <c r="B366" i="17"/>
  <c r="B357" i="23"/>
  <c r="C356" i="23"/>
  <c r="L356" i="23" s="1"/>
  <c r="I356" i="23" s="1"/>
  <c r="H354" i="21" l="1"/>
  <c r="H365" i="17" s="1"/>
  <c r="I365" i="17"/>
  <c r="J356" i="23"/>
  <c r="C356" i="21"/>
  <c r="Q356" i="21" s="1"/>
  <c r="R356" i="21" s="1"/>
  <c r="B357" i="21"/>
  <c r="K355" i="21"/>
  <c r="I355" i="21" s="1"/>
  <c r="R356" i="23"/>
  <c r="S356" i="23" s="1"/>
  <c r="B367" i="17"/>
  <c r="B358" i="23"/>
  <c r="C357" i="23"/>
  <c r="L357" i="23" s="1"/>
  <c r="I357" i="23" s="1"/>
  <c r="H355" i="21" l="1"/>
  <c r="H366" i="17" s="1"/>
  <c r="J357" i="23"/>
  <c r="I366" i="17"/>
  <c r="C357" i="21"/>
  <c r="Q357" i="21" s="1"/>
  <c r="R357" i="21" s="1"/>
  <c r="B358" i="21"/>
  <c r="K356" i="21"/>
  <c r="I356" i="21" s="1"/>
  <c r="B368" i="17"/>
  <c r="R357" i="23"/>
  <c r="S357" i="23" s="1"/>
  <c r="B359" i="23"/>
  <c r="C358" i="23"/>
  <c r="L358" i="23" s="1"/>
  <c r="I358" i="23" s="1"/>
  <c r="H356" i="21" l="1"/>
  <c r="H367" i="17" s="1"/>
  <c r="J358" i="23"/>
  <c r="B359" i="21"/>
  <c r="C358" i="21"/>
  <c r="Q358" i="21" s="1"/>
  <c r="R358" i="21" s="1"/>
  <c r="K357" i="21"/>
  <c r="I357" i="21" s="1"/>
  <c r="I367" i="17"/>
  <c r="R358" i="23"/>
  <c r="S358" i="23" s="1"/>
  <c r="B369" i="17"/>
  <c r="B360" i="23"/>
  <c r="C359" i="23"/>
  <c r="L359" i="23" s="1"/>
  <c r="I359" i="23" s="1"/>
  <c r="H357" i="21" l="1"/>
  <c r="H368" i="17" s="1"/>
  <c r="J359" i="23"/>
  <c r="I368" i="17"/>
  <c r="C359" i="21"/>
  <c r="Q359" i="21" s="1"/>
  <c r="R359" i="21" s="1"/>
  <c r="B360" i="21"/>
  <c r="K358" i="21"/>
  <c r="I358" i="21" s="1"/>
  <c r="R359" i="23"/>
  <c r="S359" i="23" s="1"/>
  <c r="B370" i="17"/>
  <c r="B361" i="23"/>
  <c r="C360" i="23"/>
  <c r="L360" i="23" s="1"/>
  <c r="I360" i="23" s="1"/>
  <c r="H358" i="21" l="1"/>
  <c r="H369" i="17" s="1"/>
  <c r="J360" i="23"/>
  <c r="C360" i="21"/>
  <c r="Q360" i="21" s="1"/>
  <c r="R360" i="21" s="1"/>
  <c r="B361" i="21"/>
  <c r="K359" i="21"/>
  <c r="I359" i="21" s="1"/>
  <c r="I369" i="17"/>
  <c r="R360" i="23"/>
  <c r="S360" i="23" s="1"/>
  <c r="B371" i="17"/>
  <c r="B362" i="23"/>
  <c r="C361" i="23"/>
  <c r="L361" i="23" s="1"/>
  <c r="I361" i="23" s="1"/>
  <c r="H359" i="21" l="1"/>
  <c r="H370" i="17" s="1"/>
  <c r="I370" i="17"/>
  <c r="J361" i="23"/>
  <c r="B362" i="21"/>
  <c r="C361" i="21"/>
  <c r="Q361" i="21" s="1"/>
  <c r="R361" i="21" s="1"/>
  <c r="K360" i="21"/>
  <c r="I360" i="21" s="1"/>
  <c r="R361" i="23"/>
  <c r="S361" i="23" s="1"/>
  <c r="B372" i="17"/>
  <c r="B363" i="23"/>
  <c r="C362" i="23"/>
  <c r="L362" i="23" s="1"/>
  <c r="I362" i="23" s="1"/>
  <c r="H360" i="21" l="1"/>
  <c r="H371" i="17" s="1"/>
  <c r="I371" i="17"/>
  <c r="J362" i="23"/>
  <c r="B363" i="21"/>
  <c r="C362" i="21"/>
  <c r="Q362" i="21" s="1"/>
  <c r="R362" i="21" s="1"/>
  <c r="K361" i="21"/>
  <c r="I361" i="21" s="1"/>
  <c r="B373" i="17"/>
  <c r="R362" i="23"/>
  <c r="S362" i="23" s="1"/>
  <c r="B364" i="23"/>
  <c r="C363" i="23"/>
  <c r="L363" i="23" s="1"/>
  <c r="I363" i="23" s="1"/>
  <c r="H361" i="21" l="1"/>
  <c r="H372" i="17" s="1"/>
  <c r="J363" i="23"/>
  <c r="I372" i="17"/>
  <c r="B364" i="21"/>
  <c r="C363" i="21"/>
  <c r="Q363" i="21" s="1"/>
  <c r="R363" i="21" s="1"/>
  <c r="K362" i="21"/>
  <c r="I362" i="21" s="1"/>
  <c r="R363" i="23"/>
  <c r="S363" i="23" s="1"/>
  <c r="B374" i="17"/>
  <c r="C364" i="23"/>
  <c r="L364" i="23" s="1"/>
  <c r="I364" i="23" s="1"/>
  <c r="B365" i="23"/>
  <c r="H362" i="21" l="1"/>
  <c r="H373" i="17" s="1"/>
  <c r="J364" i="23"/>
  <c r="C364" i="21"/>
  <c r="Q364" i="21" s="1"/>
  <c r="R364" i="21" s="1"/>
  <c r="B365" i="21"/>
  <c r="K363" i="21"/>
  <c r="I363" i="21" s="1"/>
  <c r="I373" i="17"/>
  <c r="B366" i="23"/>
  <c r="C365" i="23"/>
  <c r="L365" i="23" s="1"/>
  <c r="I365" i="23" s="1"/>
  <c r="R364" i="23"/>
  <c r="S364" i="23" s="1"/>
  <c r="B375" i="17"/>
  <c r="H363" i="21" l="1"/>
  <c r="H374" i="17" s="1"/>
  <c r="J365" i="23"/>
  <c r="I374" i="17"/>
  <c r="B366" i="21"/>
  <c r="C365" i="21"/>
  <c r="Q365" i="21" s="1"/>
  <c r="R365" i="21" s="1"/>
  <c r="K364" i="21"/>
  <c r="I364" i="21" s="1"/>
  <c r="R365" i="23"/>
  <c r="S365" i="23" s="1"/>
  <c r="B376" i="17"/>
  <c r="B367" i="23"/>
  <c r="C366" i="23"/>
  <c r="L366" i="23" s="1"/>
  <c r="I366" i="23" s="1"/>
  <c r="H364" i="21" l="1"/>
  <c r="H375" i="17" s="1"/>
  <c r="J366" i="23"/>
  <c r="B367" i="21"/>
  <c r="C366" i="21"/>
  <c r="Q366" i="21" s="1"/>
  <c r="R366" i="21" s="1"/>
  <c r="K365" i="21"/>
  <c r="I365" i="21" s="1"/>
  <c r="I375" i="17"/>
  <c r="R366" i="23"/>
  <c r="S366" i="23" s="1"/>
  <c r="B377" i="17"/>
  <c r="B368" i="23"/>
  <c r="C367" i="23"/>
  <c r="L367" i="23" s="1"/>
  <c r="I367" i="23" s="1"/>
  <c r="H365" i="21" l="1"/>
  <c r="H376" i="17" s="1"/>
  <c r="I376" i="17"/>
  <c r="J367" i="23"/>
  <c r="B368" i="21"/>
  <c r="C367" i="21"/>
  <c r="Q367" i="21" s="1"/>
  <c r="R367" i="21" s="1"/>
  <c r="K366" i="21"/>
  <c r="I366" i="21" s="1"/>
  <c r="R367" i="23"/>
  <c r="S367" i="23" s="1"/>
  <c r="B378" i="17"/>
  <c r="B369" i="23"/>
  <c r="C368" i="23"/>
  <c r="L368" i="23" s="1"/>
  <c r="I368" i="23" s="1"/>
  <c r="H366" i="21" l="1"/>
  <c r="H377" i="17" s="1"/>
  <c r="J368" i="23"/>
  <c r="B369" i="21"/>
  <c r="C368" i="21"/>
  <c r="Q368" i="21" s="1"/>
  <c r="R368" i="21" s="1"/>
  <c r="K367" i="21"/>
  <c r="I367" i="21" s="1"/>
  <c r="I377" i="17"/>
  <c r="R368" i="23"/>
  <c r="S368" i="23" s="1"/>
  <c r="B379" i="17"/>
  <c r="B370" i="23"/>
  <c r="C369" i="23"/>
  <c r="L369" i="23" s="1"/>
  <c r="I369" i="23" s="1"/>
  <c r="H367" i="21" l="1"/>
  <c r="H378" i="17" s="1"/>
  <c r="J369" i="23"/>
  <c r="I378" i="17"/>
  <c r="C369" i="21"/>
  <c r="Q369" i="21" s="1"/>
  <c r="R369" i="21" s="1"/>
  <c r="B370" i="21"/>
  <c r="K368" i="21"/>
  <c r="I368" i="21" s="1"/>
  <c r="R369" i="23"/>
  <c r="S369" i="23" s="1"/>
  <c r="B380" i="17"/>
  <c r="C370" i="23"/>
  <c r="L370" i="23" s="1"/>
  <c r="I370" i="23" s="1"/>
  <c r="B371" i="23"/>
  <c r="H368" i="21" l="1"/>
  <c r="H379" i="17" s="1"/>
  <c r="J370" i="23"/>
  <c r="C370" i="21"/>
  <c r="Q370" i="21" s="1"/>
  <c r="R370" i="21" s="1"/>
  <c r="B371" i="21"/>
  <c r="K369" i="21"/>
  <c r="I369" i="21" s="1"/>
  <c r="I379" i="17"/>
  <c r="B372" i="23"/>
  <c r="C371" i="23"/>
  <c r="L371" i="23" s="1"/>
  <c r="I371" i="23" s="1"/>
  <c r="R370" i="23"/>
  <c r="S370" i="23" s="1"/>
  <c r="B381" i="17"/>
  <c r="H369" i="21" l="1"/>
  <c r="H380" i="17" s="1"/>
  <c r="J371" i="23"/>
  <c r="I380" i="17"/>
  <c r="B372" i="21"/>
  <c r="C371" i="21"/>
  <c r="Q371" i="21" s="1"/>
  <c r="R371" i="21" s="1"/>
  <c r="K370" i="21"/>
  <c r="I370" i="21" s="1"/>
  <c r="R371" i="23"/>
  <c r="S371" i="23" s="1"/>
  <c r="B382" i="17"/>
  <c r="B373" i="23"/>
  <c r="C372" i="23"/>
  <c r="L372" i="23" s="1"/>
  <c r="I372" i="23" s="1"/>
  <c r="H370" i="21" l="1"/>
  <c r="H381" i="17" s="1"/>
  <c r="I381" i="17"/>
  <c r="J372" i="23"/>
  <c r="C372" i="21"/>
  <c r="Q372" i="21" s="1"/>
  <c r="R372" i="21" s="1"/>
  <c r="B373" i="21"/>
  <c r="K371" i="21"/>
  <c r="I371" i="21" s="1"/>
  <c r="R372" i="23"/>
  <c r="S372" i="23" s="1"/>
  <c r="B383" i="17"/>
  <c r="B374" i="23"/>
  <c r="C373" i="23"/>
  <c r="L373" i="23" s="1"/>
  <c r="I373" i="23" s="1"/>
  <c r="H371" i="21" l="1"/>
  <c r="H382" i="17" s="1"/>
  <c r="J373" i="23"/>
  <c r="I382" i="17"/>
  <c r="C373" i="21"/>
  <c r="Q373" i="21" s="1"/>
  <c r="R373" i="21" s="1"/>
  <c r="B374" i="21"/>
  <c r="K372" i="21"/>
  <c r="I372" i="21" s="1"/>
  <c r="R373" i="23"/>
  <c r="S373" i="23" s="1"/>
  <c r="B384" i="17"/>
  <c r="B375" i="23"/>
  <c r="C374" i="23"/>
  <c r="L374" i="23" s="1"/>
  <c r="I374" i="23" s="1"/>
  <c r="H372" i="21" l="1"/>
  <c r="H383" i="17" s="1"/>
  <c r="J374" i="23"/>
  <c r="C374" i="21"/>
  <c r="Q374" i="21" s="1"/>
  <c r="R374" i="21" s="1"/>
  <c r="B375" i="21"/>
  <c r="K373" i="21"/>
  <c r="I373" i="21" s="1"/>
  <c r="I383" i="17"/>
  <c r="R374" i="23"/>
  <c r="S374" i="23" s="1"/>
  <c r="B385" i="17"/>
  <c r="B376" i="23"/>
  <c r="C375" i="23"/>
  <c r="L375" i="23" s="1"/>
  <c r="I375" i="23" s="1"/>
  <c r="H373" i="21" l="1"/>
  <c r="H384" i="17" s="1"/>
  <c r="J375" i="23"/>
  <c r="I384" i="17"/>
  <c r="B376" i="21"/>
  <c r="C375" i="21"/>
  <c r="Q375" i="21" s="1"/>
  <c r="R375" i="21" s="1"/>
  <c r="K374" i="21"/>
  <c r="I374" i="21" s="1"/>
  <c r="R375" i="23"/>
  <c r="S375" i="23" s="1"/>
  <c r="B386" i="17"/>
  <c r="B377" i="23"/>
  <c r="C376" i="23"/>
  <c r="L376" i="23" s="1"/>
  <c r="I376" i="23" s="1"/>
  <c r="H374" i="21" l="1"/>
  <c r="H385" i="17" s="1"/>
  <c r="J376" i="23"/>
  <c r="C376" i="21"/>
  <c r="Q376" i="21" s="1"/>
  <c r="R376" i="21" s="1"/>
  <c r="B377" i="21"/>
  <c r="K375" i="21"/>
  <c r="I375" i="21" s="1"/>
  <c r="I385" i="17"/>
  <c r="R376" i="23"/>
  <c r="S376" i="23" s="1"/>
  <c r="B387" i="17"/>
  <c r="B378" i="23"/>
  <c r="C377" i="23"/>
  <c r="L377" i="23" s="1"/>
  <c r="I377" i="23" s="1"/>
  <c r="H375" i="21" l="1"/>
  <c r="H386" i="17" s="1"/>
  <c r="J377" i="23"/>
  <c r="I386" i="17"/>
  <c r="C377" i="21"/>
  <c r="Q377" i="21" s="1"/>
  <c r="R377" i="21" s="1"/>
  <c r="B378" i="21"/>
  <c r="K376" i="21"/>
  <c r="I376" i="21" s="1"/>
  <c r="R377" i="23"/>
  <c r="S377" i="23" s="1"/>
  <c r="B388" i="17"/>
  <c r="B379" i="23"/>
  <c r="C378" i="23"/>
  <c r="L378" i="23" s="1"/>
  <c r="I378" i="23" s="1"/>
  <c r="H376" i="21" l="1"/>
  <c r="H387" i="17" s="1"/>
  <c r="I387" i="17"/>
  <c r="J378" i="23"/>
  <c r="B379" i="21"/>
  <c r="C378" i="21"/>
  <c r="Q378" i="21" s="1"/>
  <c r="R378" i="21" s="1"/>
  <c r="K377" i="21"/>
  <c r="I377" i="21" s="1"/>
  <c r="R378" i="23"/>
  <c r="S378" i="23" s="1"/>
  <c r="B389" i="17"/>
  <c r="C379" i="23"/>
  <c r="L379" i="23" s="1"/>
  <c r="I379" i="23" s="1"/>
  <c r="B380" i="23"/>
  <c r="H377" i="21" l="1"/>
  <c r="H388" i="17" s="1"/>
  <c r="J379" i="23"/>
  <c r="I388" i="17"/>
  <c r="B380" i="21"/>
  <c r="C379" i="21"/>
  <c r="Q379" i="21" s="1"/>
  <c r="R379" i="21" s="1"/>
  <c r="K378" i="21"/>
  <c r="I378" i="21" s="1"/>
  <c r="B381" i="23"/>
  <c r="C380" i="23"/>
  <c r="L380" i="23" s="1"/>
  <c r="I380" i="23" s="1"/>
  <c r="R379" i="23"/>
  <c r="S379" i="23" s="1"/>
  <c r="B390" i="17"/>
  <c r="H378" i="21" l="1"/>
  <c r="H389" i="17" s="1"/>
  <c r="I389" i="17"/>
  <c r="J380" i="23"/>
  <c r="B381" i="21"/>
  <c r="C380" i="21"/>
  <c r="Q380" i="21" s="1"/>
  <c r="R380" i="21" s="1"/>
  <c r="K379" i="21"/>
  <c r="I379" i="21" s="1"/>
  <c r="R380" i="23"/>
  <c r="S380" i="23" s="1"/>
  <c r="B391" i="17"/>
  <c r="B382" i="23"/>
  <c r="C381" i="23"/>
  <c r="L381" i="23" s="1"/>
  <c r="I381" i="23" s="1"/>
  <c r="K16" i="16"/>
  <c r="H379" i="21" l="1"/>
  <c r="H390" i="17" s="1"/>
  <c r="J381" i="23"/>
  <c r="I390" i="17"/>
  <c r="B382" i="21"/>
  <c r="C381" i="21"/>
  <c r="Q381" i="21" s="1"/>
  <c r="R381" i="21" s="1"/>
  <c r="K380" i="21"/>
  <c r="I380" i="21" s="1"/>
  <c r="C382" i="23"/>
  <c r="L382" i="23" s="1"/>
  <c r="I382" i="23" s="1"/>
  <c r="R381" i="23"/>
  <c r="S381" i="23" s="1"/>
  <c r="B392" i="17"/>
  <c r="G17" i="16"/>
  <c r="H380" i="21" l="1"/>
  <c r="H391" i="17" s="1"/>
  <c r="J382" i="23"/>
  <c r="C382" i="21"/>
  <c r="Q382" i="21" s="1"/>
  <c r="R382" i="21" s="1"/>
  <c r="K381" i="21"/>
  <c r="I381" i="21" s="1"/>
  <c r="I391" i="17"/>
  <c r="R382" i="23"/>
  <c r="S382" i="23" s="1"/>
  <c r="B393" i="17"/>
  <c r="F12" i="18" s="1"/>
  <c r="I16" i="1"/>
  <c r="DG101" i="1" s="1"/>
  <c r="M16" i="1"/>
  <c r="DH101" i="1" s="1"/>
  <c r="I17" i="1"/>
  <c r="DI101" i="1" s="1"/>
  <c r="M17" i="1"/>
  <c r="DJ101" i="1" s="1"/>
  <c r="I18" i="1"/>
  <c r="DK101" i="1" s="1"/>
  <c r="M18" i="1"/>
  <c r="DL101" i="1" s="1"/>
  <c r="I19" i="1"/>
  <c r="M19" i="1"/>
  <c r="DN101" i="1" s="1"/>
  <c r="I20" i="1"/>
  <c r="DO101" i="1" s="1"/>
  <c r="M20" i="1"/>
  <c r="DP101" i="1" s="1"/>
  <c r="I21" i="1"/>
  <c r="DQ101" i="1" s="1"/>
  <c r="M21" i="1"/>
  <c r="DR101" i="1" s="1"/>
  <c r="I22" i="1"/>
  <c r="DS101" i="1" s="1"/>
  <c r="M22" i="1"/>
  <c r="DT101" i="1" s="1"/>
  <c r="J23" i="1"/>
  <c r="DV101" i="1" s="1"/>
  <c r="K23" i="1"/>
  <c r="DU101" i="1" s="1"/>
  <c r="N23" i="1"/>
  <c r="I26" i="1"/>
  <c r="DX101" i="1" s="1"/>
  <c r="M26" i="1"/>
  <c r="DY101" i="1" s="1"/>
  <c r="I27" i="1"/>
  <c r="DZ101" i="1" s="1"/>
  <c r="EA101" i="1"/>
  <c r="EB101" i="1"/>
  <c r="EC101" i="1"/>
  <c r="I29" i="1"/>
  <c r="ED101" i="1" s="1"/>
  <c r="M29" i="1"/>
  <c r="EE101" i="1" s="1"/>
  <c r="I30" i="1"/>
  <c r="EF101" i="1" s="1"/>
  <c r="M30" i="1"/>
  <c r="EG101" i="1" s="1"/>
  <c r="EH101" i="1"/>
  <c r="M31" i="1"/>
  <c r="EI101" i="1" s="1"/>
  <c r="I32" i="1"/>
  <c r="EJ101" i="1" s="1"/>
  <c r="M32" i="1"/>
  <c r="EK101" i="1" s="1"/>
  <c r="J33" i="1"/>
  <c r="K33" i="1"/>
  <c r="EL101" i="1" s="1"/>
  <c r="L33" i="1"/>
  <c r="EN101" i="1" s="1"/>
  <c r="N33" i="1"/>
  <c r="I36" i="1"/>
  <c r="EO101" i="1" s="1"/>
  <c r="M36" i="1"/>
  <c r="EP101" i="1" s="1"/>
  <c r="I37" i="1"/>
  <c r="EQ101" i="1" s="1"/>
  <c r="M37" i="1"/>
  <c r="ER101" i="1" s="1"/>
  <c r="I38" i="1"/>
  <c r="ES101" i="1" s="1"/>
  <c r="M38" i="1"/>
  <c r="ET101" i="1" s="1"/>
  <c r="I39" i="1"/>
  <c r="EU101" i="1" s="1"/>
  <c r="M39" i="1"/>
  <c r="EV101" i="1" s="1"/>
  <c r="I40" i="1"/>
  <c r="EW101" i="1" s="1"/>
  <c r="M40" i="1"/>
  <c r="EX101" i="1" s="1"/>
  <c r="I41" i="1"/>
  <c r="EY101" i="1" s="1"/>
  <c r="M41" i="1"/>
  <c r="EZ101" i="1" s="1"/>
  <c r="I42" i="1"/>
  <c r="FA101" i="1" s="1"/>
  <c r="M42" i="1"/>
  <c r="FB101" i="1" s="1"/>
  <c r="J43" i="1"/>
  <c r="FD101" i="1" s="1"/>
  <c r="K43" i="1"/>
  <c r="FC101" i="1" s="1"/>
  <c r="L43" i="1"/>
  <c r="FE101" i="1" s="1"/>
  <c r="N43" i="1"/>
  <c r="I46" i="1"/>
  <c r="FF101" i="1" s="1"/>
  <c r="M46" i="1"/>
  <c r="FG101" i="1" s="1"/>
  <c r="I47" i="1"/>
  <c r="FH101" i="1" s="1"/>
  <c r="M47" i="1"/>
  <c r="FI101" i="1" s="1"/>
  <c r="I48" i="1"/>
  <c r="FJ101" i="1" s="1"/>
  <c r="M48" i="1"/>
  <c r="FK101" i="1" s="1"/>
  <c r="I49" i="1"/>
  <c r="FL101" i="1" s="1"/>
  <c r="M49" i="1"/>
  <c r="FM101" i="1" s="1"/>
  <c r="I50" i="1"/>
  <c r="FN101" i="1" s="1"/>
  <c r="M50" i="1"/>
  <c r="FO101" i="1" s="1"/>
  <c r="I51" i="1"/>
  <c r="FP101" i="1" s="1"/>
  <c r="M51" i="1"/>
  <c r="FQ101" i="1" s="1"/>
  <c r="I52" i="1"/>
  <c r="FR101" i="1" s="1"/>
  <c r="M52" i="1"/>
  <c r="FS101" i="1" s="1"/>
  <c r="J53" i="1"/>
  <c r="FU101" i="1" s="1"/>
  <c r="K53" i="1"/>
  <c r="FT101" i="1" s="1"/>
  <c r="L53" i="1"/>
  <c r="FV101" i="1" s="1"/>
  <c r="N53" i="1"/>
  <c r="I56" i="1"/>
  <c r="FW101" i="1" s="1"/>
  <c r="M56" i="1"/>
  <c r="FX101" i="1" s="1"/>
  <c r="I57" i="1"/>
  <c r="FY101" i="1" s="1"/>
  <c r="M57" i="1"/>
  <c r="FZ101" i="1" s="1"/>
  <c r="I58" i="1"/>
  <c r="GA101" i="1" s="1"/>
  <c r="M58" i="1"/>
  <c r="GB101" i="1" s="1"/>
  <c r="I59" i="1"/>
  <c r="GC101" i="1" s="1"/>
  <c r="M59" i="1"/>
  <c r="GD101" i="1" s="1"/>
  <c r="I60" i="1"/>
  <c r="GE101" i="1" s="1"/>
  <c r="M60" i="1"/>
  <c r="GF101" i="1" s="1"/>
  <c r="I61" i="1"/>
  <c r="GG101" i="1" s="1"/>
  <c r="M61" i="1"/>
  <c r="GH101" i="1" s="1"/>
  <c r="I62" i="1"/>
  <c r="GI101" i="1" s="1"/>
  <c r="M62" i="1"/>
  <c r="GJ101" i="1" s="1"/>
  <c r="J63" i="1"/>
  <c r="GL101" i="1" s="1"/>
  <c r="K63" i="1"/>
  <c r="GK101" i="1" s="1"/>
  <c r="L63" i="1"/>
  <c r="GM101" i="1" s="1"/>
  <c r="N63" i="1"/>
  <c r="DM101" i="1" l="1"/>
  <c r="I23" i="1"/>
  <c r="H381" i="21"/>
  <c r="H392" i="17" s="1"/>
  <c r="I392" i="17"/>
  <c r="K382" i="21"/>
  <c r="I382" i="21" s="1"/>
  <c r="EM101" i="1"/>
  <c r="J6" i="1"/>
  <c r="S20" i="1" s="1"/>
  <c r="I63" i="1"/>
  <c r="M63" i="1"/>
  <c r="M53" i="1"/>
  <c r="I53" i="1"/>
  <c r="M43" i="1"/>
  <c r="F18" i="16"/>
  <c r="E73" i="16" s="1"/>
  <c r="M33" i="1"/>
  <c r="I33" i="1"/>
  <c r="M23" i="1"/>
  <c r="I6" i="1" l="1"/>
  <c r="F19" i="16" s="1"/>
  <c r="H382" i="21"/>
  <c r="H393" i="17" s="1"/>
  <c r="I393" i="17"/>
  <c r="E52" i="16" l="1"/>
  <c r="CP101" i="1"/>
  <c r="CQ101" i="1"/>
  <c r="I49" i="18"/>
  <c r="D10" i="21" l="1"/>
  <c r="J21" i="17" s="1"/>
  <c r="I50" i="18"/>
  <c r="F22" i="1"/>
  <c r="E29" i="1" l="1"/>
  <c r="F50" i="18" l="1"/>
  <c r="C39" i="18"/>
  <c r="C37" i="18"/>
  <c r="K17" i="16" l="1"/>
  <c r="D33" i="19" l="1"/>
  <c r="D32" i="19"/>
  <c r="D31" i="19"/>
  <c r="D30" i="19"/>
  <c r="D29" i="19"/>
  <c r="D28" i="19"/>
  <c r="D27" i="19"/>
  <c r="D26" i="19"/>
  <c r="D25" i="19"/>
  <c r="D24" i="19"/>
  <c r="E23" i="19"/>
  <c r="C24" i="19" s="1"/>
  <c r="A24" i="19"/>
  <c r="A25" i="19" s="1"/>
  <c r="A26" i="19" s="1"/>
  <c r="A27" i="19" s="1"/>
  <c r="A28" i="19" s="1"/>
  <c r="A29" i="19" s="1"/>
  <c r="A30" i="19" s="1"/>
  <c r="A31" i="19" s="1"/>
  <c r="A32" i="19" s="1"/>
  <c r="A33" i="19" s="1"/>
  <c r="E9" i="19"/>
  <c r="C10" i="19" s="1"/>
  <c r="A10" i="19"/>
  <c r="A11" i="19" s="1"/>
  <c r="A12" i="19" s="1"/>
  <c r="A13" i="19" s="1"/>
  <c r="A14" i="19" s="1"/>
  <c r="A15" i="19" s="1"/>
  <c r="A16" i="19" s="1"/>
  <c r="A17" i="19" s="1"/>
  <c r="A18" i="19" s="1"/>
  <c r="A19" i="19" s="1"/>
  <c r="B19" i="19"/>
  <c r="B18" i="19"/>
  <c r="B17" i="19"/>
  <c r="B16" i="19"/>
  <c r="B15" i="19"/>
  <c r="B14" i="19"/>
  <c r="B13" i="19"/>
  <c r="B12" i="19"/>
  <c r="B11" i="19"/>
  <c r="B10" i="19"/>
  <c r="E10" i="19" l="1"/>
  <c r="E11" i="19" s="1"/>
  <c r="C12" i="19" s="1"/>
  <c r="D12" i="19" s="1"/>
  <c r="D10" i="19"/>
  <c r="B20" i="19"/>
  <c r="B24" i="19"/>
  <c r="E12" i="19" l="1"/>
  <c r="E13" i="19" s="1"/>
  <c r="C14" i="19" s="1"/>
  <c r="D14" i="19" s="1"/>
  <c r="C11" i="19"/>
  <c r="D11" i="19" s="1"/>
  <c r="C13" i="19"/>
  <c r="D13" i="19" s="1"/>
  <c r="E14" i="19"/>
  <c r="C15" i="19" s="1"/>
  <c r="D15" i="19" s="1"/>
  <c r="E24" i="19"/>
  <c r="C25" i="19"/>
  <c r="B25" i="19" s="1"/>
  <c r="E15" i="19"/>
  <c r="C23" i="18"/>
  <c r="F48" i="18" s="1"/>
  <c r="C9" i="18"/>
  <c r="F46" i="18" s="1"/>
  <c r="E25" i="19" l="1"/>
  <c r="E16" i="19"/>
  <c r="C16" i="19"/>
  <c r="D16" i="19" s="1"/>
  <c r="C25" i="18"/>
  <c r="C26" i="19" l="1"/>
  <c r="B26" i="19" s="1"/>
  <c r="E26" i="19" s="1"/>
  <c r="C27" i="19" s="1"/>
  <c r="B27" i="19" s="1"/>
  <c r="E27" i="19" s="1"/>
  <c r="C28" i="19" s="1"/>
  <c r="B28" i="19" s="1"/>
  <c r="E28" i="19" s="1"/>
  <c r="E17" i="19"/>
  <c r="C17" i="19"/>
  <c r="D17" i="19" s="1"/>
  <c r="I30" i="18"/>
  <c r="I26" i="18"/>
  <c r="F30" i="18"/>
  <c r="C29" i="19" l="1"/>
  <c r="B29" i="19" s="1"/>
  <c r="E29" i="19" s="1"/>
  <c r="C18" i="19"/>
  <c r="D18" i="19" s="1"/>
  <c r="E18" i="19"/>
  <c r="C30" i="19" l="1"/>
  <c r="B30" i="19" s="1"/>
  <c r="E30" i="19" s="1"/>
  <c r="E19" i="19"/>
  <c r="C19" i="19"/>
  <c r="D19" i="19" l="1"/>
  <c r="C20" i="19"/>
  <c r="C31" i="19"/>
  <c r="B31" i="19" s="1"/>
  <c r="E31" i="19" s="1"/>
  <c r="C32" i="19" l="1"/>
  <c r="B32" i="19" s="1"/>
  <c r="E32" i="19" s="1"/>
  <c r="J24" i="17"/>
  <c r="F42" i="18" s="1"/>
  <c r="C33" i="19" l="1"/>
  <c r="B33" i="19" s="1"/>
  <c r="C34" i="19"/>
  <c r="B7" i="16"/>
  <c r="BZ101" i="1" s="1"/>
  <c r="E33" i="19" l="1"/>
  <c r="B34" i="19"/>
  <c r="C75" i="1" l="1"/>
  <c r="C65" i="1"/>
  <c r="C55" i="1"/>
  <c r="AJ101" i="1" s="1"/>
  <c r="C63" i="1" l="1"/>
  <c r="AS101" i="1"/>
  <c r="C73" i="1"/>
  <c r="BB101" i="1"/>
  <c r="C53" i="1"/>
  <c r="C2" i="1"/>
  <c r="C37" i="1" l="1"/>
  <c r="AH101" i="1"/>
  <c r="C39" i="1"/>
  <c r="AD101" i="1" s="1"/>
  <c r="AZ101" i="1"/>
  <c r="C38" i="1"/>
  <c r="AC101" i="1" s="1"/>
  <c r="AQ101" i="1"/>
  <c r="C41" i="1" l="1"/>
  <c r="AB101" i="1"/>
  <c r="I35" i="18"/>
  <c r="I36" i="18"/>
  <c r="I34" i="18"/>
  <c r="AF101" i="1" l="1"/>
  <c r="F47" i="18"/>
  <c r="F51" i="18"/>
  <c r="F49" i="18"/>
  <c r="C19" i="16"/>
  <c r="I82" i="16"/>
  <c r="J82" i="16" s="1"/>
  <c r="K21" i="16" s="1"/>
  <c r="B54" i="16"/>
  <c r="B55" i="16" s="1"/>
  <c r="F52" i="16"/>
  <c r="G19" i="16" s="1"/>
  <c r="M50" i="16"/>
  <c r="M49" i="16"/>
  <c r="M48" i="16"/>
  <c r="M47" i="16"/>
  <c r="E44" i="16"/>
  <c r="F44" i="16" s="1"/>
  <c r="G16" i="16" s="1"/>
  <c r="M42" i="16"/>
  <c r="M41" i="16"/>
  <c r="M40" i="16"/>
  <c r="M39" i="16"/>
  <c r="M34" i="16"/>
  <c r="M33" i="16"/>
  <c r="M32" i="16"/>
  <c r="M31" i="16"/>
  <c r="C21" i="16"/>
  <c r="C20" i="16"/>
  <c r="K19" i="16"/>
  <c r="C18" i="16"/>
  <c r="K18" i="16"/>
  <c r="CY101" i="1" s="1"/>
  <c r="C17" i="16"/>
  <c r="C16" i="16"/>
  <c r="C44" i="1"/>
  <c r="E24" i="17" s="1"/>
  <c r="E10" i="17" s="1"/>
  <c r="F54" i="18" l="1"/>
  <c r="F14" i="18"/>
  <c r="F18" i="1"/>
  <c r="C45" i="1"/>
  <c r="C22" i="16"/>
  <c r="B56" i="16"/>
  <c r="B57" i="16" s="1"/>
  <c r="BS101" i="1" l="1"/>
  <c r="D13" i="23"/>
  <c r="M16" i="21"/>
  <c r="N16" i="23"/>
  <c r="D13" i="21"/>
  <c r="F19" i="1"/>
  <c r="BT101" i="1" s="1"/>
  <c r="F14" i="11" l="1"/>
  <c r="F13" i="11"/>
  <c r="F3" i="11"/>
  <c r="F4" i="11" s="1"/>
  <c r="F5" i="11" s="1"/>
  <c r="F6" i="11" s="1"/>
  <c r="F7" i="11" s="1"/>
  <c r="F8" i="11" s="1"/>
  <c r="F9" i="11" s="1"/>
  <c r="F10" i="11" s="1"/>
  <c r="F11" i="11" s="1"/>
  <c r="F12" i="11" s="1"/>
  <c r="E32" i="17" l="1"/>
  <c r="D33" i="17"/>
  <c r="E33" i="17"/>
  <c r="D32" i="17"/>
  <c r="C32" i="17" l="1"/>
  <c r="F19" i="18" l="1"/>
  <c r="C11" i="18" l="1"/>
  <c r="E36" i="1" l="1"/>
  <c r="AE101" i="1"/>
  <c r="E37" i="1"/>
  <c r="E32" i="1"/>
  <c r="E35" i="1"/>
  <c r="E31" i="1"/>
  <c r="E34" i="1"/>
  <c r="E30" i="1"/>
  <c r="F14" i="1"/>
  <c r="B15" i="16"/>
  <c r="CC101" i="1" s="1"/>
  <c r="E33" i="1"/>
  <c r="BQ101" i="1" l="1"/>
  <c r="E20" i="17"/>
  <c r="C46" i="1"/>
  <c r="C48" i="1" s="1"/>
  <c r="A77" i="16"/>
  <c r="B77" i="16" s="1"/>
  <c r="C15" i="16" s="1"/>
  <c r="F10" i="18" l="1"/>
  <c r="I29" i="18" s="1"/>
  <c r="G10" i="17"/>
  <c r="F7" i="1"/>
  <c r="F8" i="1" s="1"/>
  <c r="I7" i="1"/>
  <c r="C50" i="1"/>
  <c r="F15" i="18" l="1"/>
  <c r="I11" i="1"/>
  <c r="I8" i="1"/>
  <c r="BK101" i="1"/>
  <c r="BJ101" i="1"/>
  <c r="D9" i="21" l="1"/>
  <c r="D9" i="23"/>
  <c r="J20" i="17" l="1"/>
  <c r="C33" i="17"/>
  <c r="F16" i="18" l="1"/>
  <c r="N33" i="17"/>
  <c r="F24" i="18" l="1"/>
  <c r="F73" i="16" l="1"/>
  <c r="G18" i="16" s="1"/>
  <c r="F6" i="1" l="1"/>
  <c r="C47" i="1"/>
  <c r="D8" i="21"/>
  <c r="D8" i="23"/>
  <c r="F24" i="1" l="1"/>
  <c r="S23" i="1" s="1"/>
  <c r="J19" i="17"/>
  <c r="F18" i="18" s="1"/>
  <c r="I9" i="1"/>
  <c r="BI101" i="1"/>
  <c r="D6" i="23"/>
  <c r="X21" i="23" s="1"/>
  <c r="D6" i="21"/>
  <c r="W21" i="21" s="1"/>
  <c r="F20" i="16"/>
  <c r="T17" i="23" l="1"/>
  <c r="S17" i="21"/>
  <c r="I10" i="1"/>
  <c r="I12" i="1"/>
  <c r="E61" i="16"/>
  <c r="F61" i="16" s="1"/>
  <c r="G20" i="16" s="1"/>
  <c r="CR101" i="1"/>
  <c r="D11" i="23"/>
  <c r="O21" i="23" s="1"/>
  <c r="F21" i="23"/>
  <c r="G21" i="23"/>
  <c r="D11" i="21"/>
  <c r="N21" i="21" s="1"/>
  <c r="F21" i="21"/>
  <c r="F22" i="21" s="1"/>
  <c r="F32" i="17" l="1"/>
  <c r="J23" i="17"/>
  <c r="G22" i="23"/>
  <c r="G23" i="23" s="1"/>
  <c r="J22" i="17" l="1"/>
  <c r="M32" i="17"/>
  <c r="F33" i="17"/>
  <c r="D24" i="23"/>
  <c r="D23" i="23"/>
  <c r="E23" i="23"/>
  <c r="C10" i="17" l="1"/>
  <c r="F9" i="18"/>
  <c r="I28" i="18" s="1"/>
  <c r="Q24" i="23"/>
  <c r="T24" i="23" s="1"/>
  <c r="Q23" i="23"/>
  <c r="T23" i="23" s="1"/>
  <c r="N23" i="23"/>
  <c r="F23" i="23"/>
  <c r="X23" i="23" s="1"/>
  <c r="F21" i="18" l="1"/>
  <c r="E24" i="23"/>
  <c r="K23" i="23" l="1"/>
  <c r="N24" i="23"/>
  <c r="F24" i="23"/>
  <c r="X24" i="23" s="1"/>
  <c r="M23" i="23" l="1"/>
  <c r="O23" i="23"/>
  <c r="G24" i="23"/>
  <c r="D25" i="23" l="1"/>
  <c r="Q25" i="23" s="1"/>
  <c r="T25" i="23" s="1"/>
  <c r="H24" i="23"/>
  <c r="E25" i="23"/>
  <c r="K24" i="23" l="1"/>
  <c r="M24" i="23" s="1"/>
  <c r="N25" i="23"/>
  <c r="F25" i="23"/>
  <c r="X25" i="23" s="1"/>
  <c r="O24" i="23" l="1"/>
  <c r="G25" i="23"/>
  <c r="H25" i="23" s="1"/>
  <c r="D28" i="23" l="1"/>
  <c r="Q28" i="23" s="1"/>
  <c r="T28" i="23" s="1"/>
  <c r="D26" i="23"/>
  <c r="Q26" i="23" s="1"/>
  <c r="T26" i="23" s="1"/>
  <c r="D27" i="23"/>
  <c r="Q27" i="23" s="1"/>
  <c r="T27" i="23" s="1"/>
  <c r="E26" i="23"/>
  <c r="K25" i="23" l="1"/>
  <c r="O25" i="23" s="1"/>
  <c r="F26" i="23"/>
  <c r="X26" i="23" s="1"/>
  <c r="N26" i="23"/>
  <c r="M25" i="23" l="1"/>
  <c r="G26" i="23"/>
  <c r="H26" i="23" s="1"/>
  <c r="K26" i="23" l="1"/>
  <c r="E27" i="23"/>
  <c r="O26" i="23" l="1"/>
  <c r="M26" i="23"/>
  <c r="N27" i="23"/>
  <c r="F27" i="23"/>
  <c r="X27" i="23" s="1"/>
  <c r="G27" i="23" l="1"/>
  <c r="H27" i="23" s="1"/>
  <c r="K27" i="23" l="1"/>
  <c r="E28" i="23"/>
  <c r="O27" i="23" l="1"/>
  <c r="M27" i="23"/>
  <c r="F28" i="23"/>
  <c r="X28" i="23" s="1"/>
  <c r="N28" i="23"/>
  <c r="G28" i="23" l="1"/>
  <c r="H28" i="23" s="1"/>
  <c r="K28" i="23" l="1"/>
  <c r="D353" i="23"/>
  <c r="Q353" i="23" s="1"/>
  <c r="T353" i="23" s="1"/>
  <c r="D305" i="23"/>
  <c r="Q305" i="23" s="1"/>
  <c r="T305" i="23" s="1"/>
  <c r="D244" i="23"/>
  <c r="Q244" i="23" s="1"/>
  <c r="T244" i="23" s="1"/>
  <c r="D109" i="23"/>
  <c r="Q109" i="23" s="1"/>
  <c r="T109" i="23" s="1"/>
  <c r="D161" i="23"/>
  <c r="Q161" i="23" s="1"/>
  <c r="T161" i="23" s="1"/>
  <c r="D166" i="23"/>
  <c r="Q166" i="23" s="1"/>
  <c r="T166" i="23" s="1"/>
  <c r="D270" i="23"/>
  <c r="Q270" i="23" s="1"/>
  <c r="T270" i="23" s="1"/>
  <c r="D112" i="23"/>
  <c r="Q112" i="23" s="1"/>
  <c r="T112" i="23" s="1"/>
  <c r="D328" i="23"/>
  <c r="Q328" i="23" s="1"/>
  <c r="T328" i="23" s="1"/>
  <c r="D293" i="23"/>
  <c r="Q293" i="23" s="1"/>
  <c r="T293" i="23" s="1"/>
  <c r="D371" i="23"/>
  <c r="Q371" i="23" s="1"/>
  <c r="T371" i="23" s="1"/>
  <c r="D68" i="23"/>
  <c r="Q68" i="23" s="1"/>
  <c r="T68" i="23" s="1"/>
  <c r="D254" i="23"/>
  <c r="Q254" i="23" s="1"/>
  <c r="T254" i="23" s="1"/>
  <c r="D349" i="23"/>
  <c r="Q349" i="23" s="1"/>
  <c r="T349" i="23" s="1"/>
  <c r="D177" i="23"/>
  <c r="Q177" i="23" s="1"/>
  <c r="T177" i="23" s="1"/>
  <c r="D381" i="23"/>
  <c r="Q381" i="23" s="1"/>
  <c r="T381" i="23" s="1"/>
  <c r="D178" i="23"/>
  <c r="Q178" i="23" s="1"/>
  <c r="T178" i="23" s="1"/>
  <c r="D98" i="23"/>
  <c r="Q98" i="23" s="1"/>
  <c r="T98" i="23" s="1"/>
  <c r="D241" i="23"/>
  <c r="Q241" i="23" s="1"/>
  <c r="T241" i="23" s="1"/>
  <c r="D60" i="23"/>
  <c r="Q60" i="23" s="1"/>
  <c r="T60" i="23" s="1"/>
  <c r="D294" i="23"/>
  <c r="Q294" i="23" s="1"/>
  <c r="T294" i="23" s="1"/>
  <c r="D220" i="23"/>
  <c r="Q220" i="23" s="1"/>
  <c r="T220" i="23" s="1"/>
  <c r="D32" i="23"/>
  <c r="Q32" i="23" s="1"/>
  <c r="T32" i="23" s="1"/>
  <c r="D148" i="23"/>
  <c r="Q148" i="23" s="1"/>
  <c r="T148" i="23" s="1"/>
  <c r="D340" i="23"/>
  <c r="Q340" i="23" s="1"/>
  <c r="T340" i="23" s="1"/>
  <c r="D267" i="23"/>
  <c r="Q267" i="23" s="1"/>
  <c r="T267" i="23" s="1"/>
  <c r="D338" i="23"/>
  <c r="Q338" i="23" s="1"/>
  <c r="T338" i="23" s="1"/>
  <c r="D184" i="23"/>
  <c r="Q184" i="23" s="1"/>
  <c r="T184" i="23" s="1"/>
  <c r="D120" i="23"/>
  <c r="Q120" i="23" s="1"/>
  <c r="T120" i="23" s="1"/>
  <c r="D61" i="23"/>
  <c r="Q61" i="23" s="1"/>
  <c r="T61" i="23" s="1"/>
  <c r="D333" i="23"/>
  <c r="Q333" i="23" s="1"/>
  <c r="T333" i="23" s="1"/>
  <c r="D319" i="23"/>
  <c r="Q319" i="23" s="1"/>
  <c r="T319" i="23" s="1"/>
  <c r="D116" i="23"/>
  <c r="Q116" i="23" s="1"/>
  <c r="T116" i="23" s="1"/>
  <c r="D368" i="23"/>
  <c r="Q368" i="23" s="1"/>
  <c r="T368" i="23" s="1"/>
  <c r="D71" i="23"/>
  <c r="Q71" i="23" s="1"/>
  <c r="T71" i="23" s="1"/>
  <c r="D176" i="23"/>
  <c r="Q176" i="23" s="1"/>
  <c r="T176" i="23" s="1"/>
  <c r="D104" i="23"/>
  <c r="Q104" i="23" s="1"/>
  <c r="T104" i="23" s="1"/>
  <c r="D309" i="23"/>
  <c r="Q309" i="23" s="1"/>
  <c r="T309" i="23" s="1"/>
  <c r="D193" i="23"/>
  <c r="Q193" i="23" s="1"/>
  <c r="T193" i="23" s="1"/>
  <c r="D175" i="23"/>
  <c r="Q175" i="23" s="1"/>
  <c r="T175" i="23" s="1"/>
  <c r="D233" i="23"/>
  <c r="Q233" i="23" s="1"/>
  <c r="T233" i="23" s="1"/>
  <c r="D335" i="23"/>
  <c r="Q335" i="23" s="1"/>
  <c r="T335" i="23" s="1"/>
  <c r="D188" i="23"/>
  <c r="Q188" i="23" s="1"/>
  <c r="T188" i="23" s="1"/>
  <c r="D355" i="23"/>
  <c r="Q355" i="23" s="1"/>
  <c r="T355" i="23" s="1"/>
  <c r="D88" i="23"/>
  <c r="Q88" i="23" s="1"/>
  <c r="T88" i="23" s="1"/>
  <c r="D89" i="23"/>
  <c r="Q89" i="23" s="1"/>
  <c r="T89" i="23" s="1"/>
  <c r="D198" i="23"/>
  <c r="Q198" i="23" s="1"/>
  <c r="T198" i="23" s="1"/>
  <c r="D292" i="23"/>
  <c r="Q292" i="23" s="1"/>
  <c r="T292" i="23" s="1"/>
  <c r="D123" i="23"/>
  <c r="Q123" i="23" s="1"/>
  <c r="T123" i="23" s="1"/>
  <c r="D256" i="23"/>
  <c r="Q256" i="23" s="1"/>
  <c r="T256" i="23" s="1"/>
  <c r="D379" i="23"/>
  <c r="Q379" i="23" s="1"/>
  <c r="T379" i="23" s="1"/>
  <c r="D49" i="23"/>
  <c r="Q49" i="23" s="1"/>
  <c r="T49" i="23" s="1"/>
  <c r="D192" i="23"/>
  <c r="Q192" i="23" s="1"/>
  <c r="T192" i="23" s="1"/>
  <c r="D117" i="23"/>
  <c r="Q117" i="23" s="1"/>
  <c r="T117" i="23" s="1"/>
  <c r="D325" i="23"/>
  <c r="Q325" i="23" s="1"/>
  <c r="T325" i="23" s="1"/>
  <c r="D311" i="23"/>
  <c r="Q311" i="23" s="1"/>
  <c r="T311" i="23" s="1"/>
  <c r="D194" i="23"/>
  <c r="Q194" i="23" s="1"/>
  <c r="T194" i="23" s="1"/>
  <c r="D185" i="23"/>
  <c r="Q185" i="23" s="1"/>
  <c r="T185" i="23" s="1"/>
  <c r="D43" i="23"/>
  <c r="Q43" i="23" s="1"/>
  <c r="T43" i="23" s="1"/>
  <c r="D202" i="23"/>
  <c r="Q202" i="23" s="1"/>
  <c r="T202" i="23" s="1"/>
  <c r="D138" i="23"/>
  <c r="Q138" i="23" s="1"/>
  <c r="T138" i="23" s="1"/>
  <c r="D189" i="23"/>
  <c r="Q189" i="23" s="1"/>
  <c r="T189" i="23" s="1"/>
  <c r="D251" i="23"/>
  <c r="Q251" i="23" s="1"/>
  <c r="T251" i="23" s="1"/>
  <c r="D265" i="23"/>
  <c r="Q265" i="23" s="1"/>
  <c r="T265" i="23" s="1"/>
  <c r="D247" i="23"/>
  <c r="Q247" i="23" s="1"/>
  <c r="T247" i="23" s="1"/>
  <c r="D108" i="23"/>
  <c r="Q108" i="23" s="1"/>
  <c r="T108" i="23" s="1"/>
  <c r="D271" i="23"/>
  <c r="Q271" i="23" s="1"/>
  <c r="T271" i="23" s="1"/>
  <c r="D213" i="23"/>
  <c r="Q213" i="23" s="1"/>
  <c r="T213" i="23" s="1"/>
  <c r="E29" i="23"/>
  <c r="D101" i="23"/>
  <c r="Q101" i="23" s="1"/>
  <c r="T101" i="23" s="1"/>
  <c r="D239" i="23"/>
  <c r="Q239" i="23" s="1"/>
  <c r="T239" i="23" s="1"/>
  <c r="D105" i="23"/>
  <c r="Q105" i="23" s="1"/>
  <c r="T105" i="23" s="1"/>
  <c r="D86" i="23"/>
  <c r="Q86" i="23" s="1"/>
  <c r="T86" i="23" s="1"/>
  <c r="D158" i="23"/>
  <c r="Q158" i="23" s="1"/>
  <c r="T158" i="23" s="1"/>
  <c r="D253" i="23"/>
  <c r="Q253" i="23" s="1"/>
  <c r="T253" i="23" s="1"/>
  <c r="D310" i="23"/>
  <c r="Q310" i="23" s="1"/>
  <c r="T310" i="23" s="1"/>
  <c r="D275" i="23"/>
  <c r="Q275" i="23" s="1"/>
  <c r="T275" i="23" s="1"/>
  <c r="D162" i="23"/>
  <c r="Q162" i="23" s="1"/>
  <c r="T162" i="23" s="1"/>
  <c r="D44" i="23"/>
  <c r="Q44" i="23" s="1"/>
  <c r="T44" i="23" s="1"/>
  <c r="D334" i="23"/>
  <c r="Q334" i="23" s="1"/>
  <c r="T334" i="23" s="1"/>
  <c r="D212" i="23"/>
  <c r="Q212" i="23" s="1"/>
  <c r="T212" i="23" s="1"/>
  <c r="D227" i="23"/>
  <c r="Q227" i="23" s="1"/>
  <c r="T227" i="23" s="1"/>
  <c r="D237" i="23"/>
  <c r="Q237" i="23" s="1"/>
  <c r="T237" i="23" s="1"/>
  <c r="D291" i="23"/>
  <c r="Q291" i="23" s="1"/>
  <c r="T291" i="23" s="1"/>
  <c r="D97" i="23"/>
  <c r="Q97" i="23" s="1"/>
  <c r="T97" i="23" s="1"/>
  <c r="D235" i="23"/>
  <c r="Q235" i="23" s="1"/>
  <c r="T235" i="23" s="1"/>
  <c r="D51" i="23"/>
  <c r="Q51" i="23" s="1"/>
  <c r="T51" i="23" s="1"/>
  <c r="D245" i="23"/>
  <c r="Q245" i="23" s="1"/>
  <c r="T245" i="23" s="1"/>
  <c r="D197" i="23"/>
  <c r="Q197" i="23" s="1"/>
  <c r="T197" i="23" s="1"/>
  <c r="D121" i="23"/>
  <c r="Q121" i="23" s="1"/>
  <c r="T121" i="23" s="1"/>
  <c r="D93" i="23"/>
  <c r="Q93" i="23" s="1"/>
  <c r="T93" i="23" s="1"/>
  <c r="D372" i="23"/>
  <c r="Q372" i="23" s="1"/>
  <c r="T372" i="23" s="1"/>
  <c r="D276" i="23"/>
  <c r="Q276" i="23" s="1"/>
  <c r="T276" i="23" s="1"/>
  <c r="D81" i="23"/>
  <c r="Q81" i="23" s="1"/>
  <c r="T81" i="23" s="1"/>
  <c r="D200" i="23"/>
  <c r="Q200" i="23" s="1"/>
  <c r="T200" i="23" s="1"/>
  <c r="D73" i="23"/>
  <c r="Q73" i="23" s="1"/>
  <c r="T73" i="23" s="1"/>
  <c r="D144" i="23"/>
  <c r="Q144" i="23" s="1"/>
  <c r="T144" i="23" s="1"/>
  <c r="D191" i="23"/>
  <c r="Q191" i="23" s="1"/>
  <c r="T191" i="23" s="1"/>
  <c r="D119" i="23"/>
  <c r="Q119" i="23" s="1"/>
  <c r="T119" i="23" s="1"/>
  <c r="D225" i="23"/>
  <c r="Q225" i="23" s="1"/>
  <c r="T225" i="23" s="1"/>
  <c r="D352" i="23"/>
  <c r="Q352" i="23" s="1"/>
  <c r="T352" i="23" s="1"/>
  <c r="D201" i="23"/>
  <c r="Q201" i="23" s="1"/>
  <c r="T201" i="23" s="1"/>
  <c r="D48" i="23"/>
  <c r="Q48" i="23" s="1"/>
  <c r="T48" i="23" s="1"/>
  <c r="D260" i="23"/>
  <c r="Q260" i="23" s="1"/>
  <c r="T260" i="23" s="1"/>
  <c r="D214" i="23"/>
  <c r="Q214" i="23" s="1"/>
  <c r="T214" i="23" s="1"/>
  <c r="D312" i="23"/>
  <c r="Q312" i="23" s="1"/>
  <c r="T312" i="23" s="1"/>
  <c r="D344" i="23"/>
  <c r="Q344" i="23" s="1"/>
  <c r="T344" i="23" s="1"/>
  <c r="D56" i="23"/>
  <c r="Q56" i="23" s="1"/>
  <c r="T56" i="23" s="1"/>
  <c r="D195" i="23"/>
  <c r="Q195" i="23" s="1"/>
  <c r="T195" i="23" s="1"/>
  <c r="D59" i="23"/>
  <c r="Q59" i="23" s="1"/>
  <c r="T59" i="23" s="1"/>
  <c r="D130" i="23"/>
  <c r="Q130" i="23" s="1"/>
  <c r="T130" i="23" s="1"/>
  <c r="D102" i="23"/>
  <c r="Q102" i="23" s="1"/>
  <c r="T102" i="23" s="1"/>
  <c r="D47" i="23"/>
  <c r="Q47" i="23" s="1"/>
  <c r="T47" i="23" s="1"/>
  <c r="D79" i="23"/>
  <c r="Q79" i="23" s="1"/>
  <c r="T79" i="23" s="1"/>
  <c r="D125" i="23"/>
  <c r="Q125" i="23" s="1"/>
  <c r="T125" i="23" s="1"/>
  <c r="D255" i="23"/>
  <c r="Q255" i="23" s="1"/>
  <c r="T255" i="23" s="1"/>
  <c r="D133" i="23"/>
  <c r="Q133" i="23" s="1"/>
  <c r="T133" i="23" s="1"/>
  <c r="D306" i="23"/>
  <c r="Q306" i="23" s="1"/>
  <c r="T306" i="23" s="1"/>
  <c r="D315" i="23"/>
  <c r="Q315" i="23" s="1"/>
  <c r="T315" i="23" s="1"/>
  <c r="D301" i="23"/>
  <c r="Q301" i="23" s="1"/>
  <c r="T301" i="23" s="1"/>
  <c r="D157" i="23"/>
  <c r="Q157" i="23" s="1"/>
  <c r="T157" i="23" s="1"/>
  <c r="D317" i="23"/>
  <c r="Q317" i="23" s="1"/>
  <c r="T317" i="23" s="1"/>
  <c r="D259" i="23"/>
  <c r="Q259" i="23" s="1"/>
  <c r="T259" i="23" s="1"/>
  <c r="D313" i="23"/>
  <c r="Q313" i="23" s="1"/>
  <c r="T313" i="23" s="1"/>
  <c r="D72" i="23"/>
  <c r="Q72" i="23" s="1"/>
  <c r="T72" i="23" s="1"/>
  <c r="D229" i="23"/>
  <c r="Q229" i="23" s="1"/>
  <c r="T229" i="23" s="1"/>
  <c r="D35" i="23"/>
  <c r="Q35" i="23" s="1"/>
  <c r="T35" i="23" s="1"/>
  <c r="D143" i="23"/>
  <c r="Q143" i="23" s="1"/>
  <c r="T143" i="23" s="1"/>
  <c r="D252" i="23"/>
  <c r="Q252" i="23" s="1"/>
  <c r="T252" i="23" s="1"/>
  <c r="D29" i="23"/>
  <c r="G29" i="23" s="1"/>
  <c r="H29" i="23" s="1"/>
  <c r="D75" i="23"/>
  <c r="Q75" i="23" s="1"/>
  <c r="T75" i="23" s="1"/>
  <c r="D78" i="23"/>
  <c r="Q78" i="23" s="1"/>
  <c r="T78" i="23" s="1"/>
  <c r="D277" i="23"/>
  <c r="Q277" i="23" s="1"/>
  <c r="T277" i="23" s="1"/>
  <c r="D250" i="23"/>
  <c r="Q250" i="23" s="1"/>
  <c r="T250" i="23" s="1"/>
  <c r="D172" i="23"/>
  <c r="Q172" i="23" s="1"/>
  <c r="T172" i="23" s="1"/>
  <c r="D342" i="23"/>
  <c r="Q342" i="23" s="1"/>
  <c r="T342" i="23" s="1"/>
  <c r="D228" i="23"/>
  <c r="Q228" i="23" s="1"/>
  <c r="T228" i="23" s="1"/>
  <c r="D110" i="23"/>
  <c r="Q110" i="23" s="1"/>
  <c r="T110" i="23" s="1"/>
  <c r="D52" i="23"/>
  <c r="Q52" i="23" s="1"/>
  <c r="T52" i="23" s="1"/>
  <c r="D266" i="23"/>
  <c r="Q266" i="23" s="1"/>
  <c r="T266" i="23" s="1"/>
  <c r="D314" i="23"/>
  <c r="Q314" i="23" s="1"/>
  <c r="T314" i="23" s="1"/>
  <c r="D174" i="23"/>
  <c r="Q174" i="23" s="1"/>
  <c r="T174" i="23" s="1"/>
  <c r="D131" i="23"/>
  <c r="Q131" i="23" s="1"/>
  <c r="T131" i="23" s="1"/>
  <c r="D95" i="23"/>
  <c r="Q95" i="23" s="1"/>
  <c r="T95" i="23" s="1"/>
  <c r="D151" i="23"/>
  <c r="Q151" i="23" s="1"/>
  <c r="T151" i="23" s="1"/>
  <c r="D46" i="23"/>
  <c r="Q46" i="23" s="1"/>
  <c r="T46" i="23" s="1"/>
  <c r="D336" i="23"/>
  <c r="Q336" i="23" s="1"/>
  <c r="T336" i="23" s="1"/>
  <c r="D38" i="23"/>
  <c r="Q38" i="23" s="1"/>
  <c r="T38" i="23" s="1"/>
  <c r="D165" i="23"/>
  <c r="Q165" i="23" s="1"/>
  <c r="T165" i="23" s="1"/>
  <c r="D167" i="23"/>
  <c r="Q167" i="23" s="1"/>
  <c r="T167" i="23" s="1"/>
  <c r="D359" i="23"/>
  <c r="Q359" i="23" s="1"/>
  <c r="T359" i="23" s="1"/>
  <c r="D139" i="23"/>
  <c r="Q139" i="23" s="1"/>
  <c r="T139" i="23" s="1"/>
  <c r="D124" i="23"/>
  <c r="Q124" i="23" s="1"/>
  <c r="T124" i="23" s="1"/>
  <c r="D39" i="23"/>
  <c r="Q39" i="23" s="1"/>
  <c r="T39" i="23" s="1"/>
  <c r="D118" i="23"/>
  <c r="Q118" i="23" s="1"/>
  <c r="T118" i="23" s="1"/>
  <c r="D69" i="23"/>
  <c r="Q69" i="23" s="1"/>
  <c r="T69" i="23" s="1"/>
  <c r="D127" i="23"/>
  <c r="Q127" i="23" s="1"/>
  <c r="T127" i="23" s="1"/>
  <c r="D230" i="23"/>
  <c r="Q230" i="23" s="1"/>
  <c r="T230" i="23" s="1"/>
  <c r="D234" i="23"/>
  <c r="Q234" i="23" s="1"/>
  <c r="T234" i="23" s="1"/>
  <c r="D58" i="23"/>
  <c r="Q58" i="23" s="1"/>
  <c r="T58" i="23" s="1"/>
  <c r="D268" i="23"/>
  <c r="Q268" i="23" s="1"/>
  <c r="T268" i="23" s="1"/>
  <c r="D295" i="23"/>
  <c r="Q295" i="23" s="1"/>
  <c r="T295" i="23" s="1"/>
  <c r="D330" i="23"/>
  <c r="Q330" i="23" s="1"/>
  <c r="T330" i="23" s="1"/>
  <c r="D216" i="23"/>
  <c r="Q216" i="23" s="1"/>
  <c r="T216" i="23" s="1"/>
  <c r="D287" i="23"/>
  <c r="Q287" i="23" s="1"/>
  <c r="T287" i="23" s="1"/>
  <c r="D281" i="23"/>
  <c r="Q281" i="23" s="1"/>
  <c r="T281" i="23" s="1"/>
  <c r="D114" i="23"/>
  <c r="Q114" i="23" s="1"/>
  <c r="T114" i="23" s="1"/>
  <c r="D339" i="23"/>
  <c r="Q339" i="23" s="1"/>
  <c r="T339" i="23" s="1"/>
  <c r="D367" i="23"/>
  <c r="Q367" i="23" s="1"/>
  <c r="T367" i="23" s="1"/>
  <c r="D140" i="23"/>
  <c r="Q140" i="23" s="1"/>
  <c r="T140" i="23" s="1"/>
  <c r="D182" i="23"/>
  <c r="Q182" i="23" s="1"/>
  <c r="T182" i="23" s="1"/>
  <c r="D321" i="23"/>
  <c r="Q321" i="23" s="1"/>
  <c r="T321" i="23" s="1"/>
  <c r="D209" i="23"/>
  <c r="Q209" i="23" s="1"/>
  <c r="T209" i="23" s="1"/>
  <c r="D240" i="23"/>
  <c r="Q240" i="23" s="1"/>
  <c r="T240" i="23" s="1"/>
  <c r="D231" i="23"/>
  <c r="Q231" i="23" s="1"/>
  <c r="T231" i="23" s="1"/>
  <c r="D42" i="23"/>
  <c r="Q42" i="23" s="1"/>
  <c r="T42" i="23" s="1"/>
  <c r="D323" i="23"/>
  <c r="Q323" i="23" s="1"/>
  <c r="T323" i="23" s="1"/>
  <c r="D264" i="23"/>
  <c r="Q264" i="23" s="1"/>
  <c r="T264" i="23" s="1"/>
  <c r="D308" i="23"/>
  <c r="Q308" i="23" s="1"/>
  <c r="T308" i="23" s="1"/>
  <c r="D137" i="23"/>
  <c r="Q137" i="23" s="1"/>
  <c r="T137" i="23" s="1"/>
  <c r="D343" i="23"/>
  <c r="Q343" i="23" s="1"/>
  <c r="T343" i="23" s="1"/>
  <c r="D272" i="23"/>
  <c r="Q272" i="23" s="1"/>
  <c r="T272" i="23" s="1"/>
  <c r="D82" i="23"/>
  <c r="Q82" i="23" s="1"/>
  <c r="T82" i="23" s="1"/>
  <c r="D83" i="23"/>
  <c r="Q83" i="23" s="1"/>
  <c r="T83" i="23" s="1"/>
  <c r="D207" i="23"/>
  <c r="Q207" i="23" s="1"/>
  <c r="T207" i="23" s="1"/>
  <c r="D149" i="23"/>
  <c r="Q149" i="23" s="1"/>
  <c r="T149" i="23" s="1"/>
  <c r="D300" i="23"/>
  <c r="Q300" i="23" s="1"/>
  <c r="T300" i="23" s="1"/>
  <c r="D199" i="23"/>
  <c r="Q199" i="23" s="1"/>
  <c r="T199" i="23" s="1"/>
  <c r="D322" i="23"/>
  <c r="Q322" i="23" s="1"/>
  <c r="T322" i="23" s="1"/>
  <c r="D31" i="23"/>
  <c r="Q31" i="23" s="1"/>
  <c r="T31" i="23" s="1"/>
  <c r="D132" i="23"/>
  <c r="Q132" i="23" s="1"/>
  <c r="T132" i="23" s="1"/>
  <c r="D142" i="23"/>
  <c r="Q142" i="23" s="1"/>
  <c r="T142" i="23" s="1"/>
  <c r="D115" i="23"/>
  <c r="Q115" i="23" s="1"/>
  <c r="T115" i="23" s="1"/>
  <c r="D77" i="23"/>
  <c r="Q77" i="23" s="1"/>
  <c r="T77" i="23" s="1"/>
  <c r="D297" i="23"/>
  <c r="Q297" i="23" s="1"/>
  <c r="T297" i="23" s="1"/>
  <c r="D146" i="23"/>
  <c r="Q146" i="23" s="1"/>
  <c r="T146" i="23" s="1"/>
  <c r="D280" i="23"/>
  <c r="Q280" i="23" s="1"/>
  <c r="T280" i="23" s="1"/>
  <c r="D163" i="23"/>
  <c r="Q163" i="23" s="1"/>
  <c r="T163" i="23" s="1"/>
  <c r="D350" i="23"/>
  <c r="Q350" i="23" s="1"/>
  <c r="T350" i="23" s="1"/>
  <c r="D296" i="23"/>
  <c r="Q296" i="23" s="1"/>
  <c r="T296" i="23" s="1"/>
  <c r="D129" i="23"/>
  <c r="Q129" i="23" s="1"/>
  <c r="T129" i="23" s="1"/>
  <c r="D326" i="23"/>
  <c r="Q326" i="23" s="1"/>
  <c r="T326" i="23" s="1"/>
  <c r="D331" i="23"/>
  <c r="Q331" i="23" s="1"/>
  <c r="T331" i="23" s="1"/>
  <c r="D304" i="23"/>
  <c r="Q304" i="23" s="1"/>
  <c r="T304" i="23" s="1"/>
  <c r="D346" i="23"/>
  <c r="Q346" i="23" s="1"/>
  <c r="T346" i="23" s="1"/>
  <c r="D126" i="23"/>
  <c r="Q126" i="23" s="1"/>
  <c r="T126" i="23" s="1"/>
  <c r="D337" i="23"/>
  <c r="Q337" i="23" s="1"/>
  <c r="T337" i="23" s="1"/>
  <c r="D70" i="23"/>
  <c r="Q70" i="23" s="1"/>
  <c r="T70" i="23" s="1"/>
  <c r="D341" i="23"/>
  <c r="Q341" i="23" s="1"/>
  <c r="T341" i="23" s="1"/>
  <c r="D85" i="23"/>
  <c r="Q85" i="23" s="1"/>
  <c r="T85" i="23" s="1"/>
  <c r="D327" i="23"/>
  <c r="Q327" i="23" s="1"/>
  <c r="T327" i="23" s="1"/>
  <c r="D258" i="23"/>
  <c r="Q258" i="23" s="1"/>
  <c r="T258" i="23" s="1"/>
  <c r="D363" i="23"/>
  <c r="Q363" i="23" s="1"/>
  <c r="T363" i="23" s="1"/>
  <c r="D136" i="23"/>
  <c r="Q136" i="23" s="1"/>
  <c r="T136" i="23" s="1"/>
  <c r="D152" i="23"/>
  <c r="Q152" i="23" s="1"/>
  <c r="T152" i="23" s="1"/>
  <c r="D320" i="23"/>
  <c r="Q320" i="23" s="1"/>
  <c r="T320" i="23" s="1"/>
  <c r="D181" i="23"/>
  <c r="Q181" i="23" s="1"/>
  <c r="T181" i="23" s="1"/>
  <c r="D53" i="23"/>
  <c r="Q53" i="23" s="1"/>
  <c r="T53" i="23" s="1"/>
  <c r="D329" i="23"/>
  <c r="Q329" i="23" s="1"/>
  <c r="T329" i="23" s="1"/>
  <c r="D87" i="23"/>
  <c r="Q87" i="23" s="1"/>
  <c r="T87" i="23" s="1"/>
  <c r="D96" i="23"/>
  <c r="Q96" i="23" s="1"/>
  <c r="T96" i="23" s="1"/>
  <c r="D50" i="23"/>
  <c r="Q50" i="23" s="1"/>
  <c r="T50" i="23" s="1"/>
  <c r="D351" i="23"/>
  <c r="Q351" i="23" s="1"/>
  <c r="T351" i="23" s="1"/>
  <c r="D190" i="23"/>
  <c r="Q190" i="23" s="1"/>
  <c r="T190" i="23" s="1"/>
  <c r="D65" i="23"/>
  <c r="Q65" i="23" s="1"/>
  <c r="T65" i="23" s="1"/>
  <c r="D54" i="23"/>
  <c r="Q54" i="23" s="1"/>
  <c r="T54" i="23" s="1"/>
  <c r="D111" i="23"/>
  <c r="Q111" i="23" s="1"/>
  <c r="T111" i="23" s="1"/>
  <c r="D208" i="23"/>
  <c r="Q208" i="23" s="1"/>
  <c r="T208" i="23" s="1"/>
  <c r="D248" i="23"/>
  <c r="Q248" i="23" s="1"/>
  <c r="T248" i="23" s="1"/>
  <c r="D360" i="23"/>
  <c r="Q360" i="23" s="1"/>
  <c r="T360" i="23" s="1"/>
  <c r="D170" i="23"/>
  <c r="Q170" i="23" s="1"/>
  <c r="T170" i="23" s="1"/>
  <c r="D285" i="23"/>
  <c r="Q285" i="23" s="1"/>
  <c r="T285" i="23" s="1"/>
  <c r="D164" i="23"/>
  <c r="Q164" i="23" s="1"/>
  <c r="T164" i="23" s="1"/>
  <c r="D156" i="23"/>
  <c r="Q156" i="23" s="1"/>
  <c r="T156" i="23" s="1"/>
  <c r="D223" i="23"/>
  <c r="Q223" i="23" s="1"/>
  <c r="T223" i="23" s="1"/>
  <c r="D374" i="23"/>
  <c r="Q374" i="23" s="1"/>
  <c r="T374" i="23" s="1"/>
  <c r="D289" i="23"/>
  <c r="Q289" i="23" s="1"/>
  <c r="T289" i="23" s="1"/>
  <c r="D107" i="23"/>
  <c r="Q107" i="23" s="1"/>
  <c r="T107" i="23" s="1"/>
  <c r="D66" i="23"/>
  <c r="Q66" i="23" s="1"/>
  <c r="T66" i="23" s="1"/>
  <c r="D357" i="23"/>
  <c r="Q357" i="23" s="1"/>
  <c r="T357" i="23" s="1"/>
  <c r="D187" i="23"/>
  <c r="Q187" i="23" s="1"/>
  <c r="T187" i="23" s="1"/>
  <c r="D74" i="23"/>
  <c r="Q74" i="23" s="1"/>
  <c r="T74" i="23" s="1"/>
  <c r="D345" i="23"/>
  <c r="Q345" i="23" s="1"/>
  <c r="T345" i="23" s="1"/>
  <c r="D134" i="23"/>
  <c r="Q134" i="23" s="1"/>
  <c r="T134" i="23" s="1"/>
  <c r="D269" i="23"/>
  <c r="Q269" i="23" s="1"/>
  <c r="T269" i="23" s="1"/>
  <c r="D173" i="23"/>
  <c r="Q173" i="23" s="1"/>
  <c r="T173" i="23" s="1"/>
  <c r="D63" i="23"/>
  <c r="Q63" i="23" s="1"/>
  <c r="T63" i="23" s="1"/>
  <c r="D226" i="23"/>
  <c r="Q226" i="23" s="1"/>
  <c r="T226" i="23" s="1"/>
  <c r="D303" i="23"/>
  <c r="Q303" i="23" s="1"/>
  <c r="T303" i="23" s="1"/>
  <c r="D99" i="23"/>
  <c r="Q99" i="23" s="1"/>
  <c r="T99" i="23" s="1"/>
  <c r="D57" i="23"/>
  <c r="Q57" i="23" s="1"/>
  <c r="T57" i="23" s="1"/>
  <c r="D159" i="23"/>
  <c r="Q159" i="23" s="1"/>
  <c r="T159" i="23" s="1"/>
  <c r="D358" i="23"/>
  <c r="Q358" i="23" s="1"/>
  <c r="T358" i="23" s="1"/>
  <c r="D160" i="23"/>
  <c r="Q160" i="23" s="1"/>
  <c r="T160" i="23" s="1"/>
  <c r="D168" i="23"/>
  <c r="Q168" i="23" s="1"/>
  <c r="T168" i="23" s="1"/>
  <c r="D286" i="23"/>
  <c r="Q286" i="23" s="1"/>
  <c r="T286" i="23" s="1"/>
  <c r="D210" i="23"/>
  <c r="Q210" i="23" s="1"/>
  <c r="T210" i="23" s="1"/>
  <c r="D218" i="23"/>
  <c r="Q218" i="23" s="1"/>
  <c r="T218" i="23" s="1"/>
  <c r="D232" i="23"/>
  <c r="Q232" i="23" s="1"/>
  <c r="T232" i="23" s="1"/>
  <c r="D318" i="23"/>
  <c r="Q318" i="23" s="1"/>
  <c r="T318" i="23" s="1"/>
  <c r="D153" i="23"/>
  <c r="Q153" i="23" s="1"/>
  <c r="T153" i="23" s="1"/>
  <c r="D147" i="23"/>
  <c r="Q147" i="23" s="1"/>
  <c r="T147" i="23" s="1"/>
  <c r="D348" i="23"/>
  <c r="Q348" i="23" s="1"/>
  <c r="T348" i="23" s="1"/>
  <c r="D354" i="23"/>
  <c r="Q354" i="23" s="1"/>
  <c r="T354" i="23" s="1"/>
  <c r="D37" i="23"/>
  <c r="Q37" i="23" s="1"/>
  <c r="T37" i="23" s="1"/>
  <c r="D62" i="23"/>
  <c r="Q62" i="23" s="1"/>
  <c r="T62" i="23" s="1"/>
  <c r="D369" i="23"/>
  <c r="Q369" i="23" s="1"/>
  <c r="T369" i="23" s="1"/>
  <c r="D206" i="23"/>
  <c r="Q206" i="23" s="1"/>
  <c r="T206" i="23" s="1"/>
  <c r="D204" i="23"/>
  <c r="Q204" i="23" s="1"/>
  <c r="T204" i="23" s="1"/>
  <c r="D236" i="23"/>
  <c r="Q236" i="23" s="1"/>
  <c r="T236" i="23" s="1"/>
  <c r="D171" i="23"/>
  <c r="Q171" i="23" s="1"/>
  <c r="T171" i="23" s="1"/>
  <c r="D243" i="23"/>
  <c r="Q243" i="23" s="1"/>
  <c r="T243" i="23" s="1"/>
  <c r="D122" i="23"/>
  <c r="Q122" i="23" s="1"/>
  <c r="T122" i="23" s="1"/>
  <c r="D55" i="23"/>
  <c r="Q55" i="23" s="1"/>
  <c r="T55" i="23" s="1"/>
  <c r="D30" i="23"/>
  <c r="Q30" i="23" s="1"/>
  <c r="T30" i="23" s="1"/>
  <c r="D279" i="23"/>
  <c r="Q279" i="23" s="1"/>
  <c r="T279" i="23" s="1"/>
  <c r="D273" i="23"/>
  <c r="Q273" i="23" s="1"/>
  <c r="T273" i="23" s="1"/>
  <c r="D332" i="23"/>
  <c r="Q332" i="23" s="1"/>
  <c r="T332" i="23" s="1"/>
  <c r="D361" i="23"/>
  <c r="Q361" i="23" s="1"/>
  <c r="T361" i="23" s="1"/>
  <c r="D376" i="23"/>
  <c r="Q376" i="23" s="1"/>
  <c r="T376" i="23" s="1"/>
  <c r="D378" i="23"/>
  <c r="Q378" i="23" s="1"/>
  <c r="T378" i="23" s="1"/>
  <c r="D217" i="23"/>
  <c r="Q217" i="23" s="1"/>
  <c r="T217" i="23" s="1"/>
  <c r="D76" i="23"/>
  <c r="Q76" i="23" s="1"/>
  <c r="T76" i="23" s="1"/>
  <c r="D302" i="23"/>
  <c r="Q302" i="23" s="1"/>
  <c r="T302" i="23" s="1"/>
  <c r="D84" i="23"/>
  <c r="Q84" i="23" s="1"/>
  <c r="T84" i="23" s="1"/>
  <c r="D180" i="23"/>
  <c r="Q180" i="23" s="1"/>
  <c r="T180" i="23" s="1"/>
  <c r="D242" i="23"/>
  <c r="Q242" i="23" s="1"/>
  <c r="T242" i="23" s="1"/>
  <c r="D106" i="23"/>
  <c r="Q106" i="23" s="1"/>
  <c r="T106" i="23" s="1"/>
  <c r="D36" i="23"/>
  <c r="Q36" i="23" s="1"/>
  <c r="T36" i="23" s="1"/>
  <c r="D246" i="23"/>
  <c r="Q246" i="23" s="1"/>
  <c r="T246" i="23" s="1"/>
  <c r="D356" i="23"/>
  <c r="Q356" i="23" s="1"/>
  <c r="T356" i="23" s="1"/>
  <c r="D224" i="23"/>
  <c r="Q224" i="23" s="1"/>
  <c r="T224" i="23" s="1"/>
  <c r="D215" i="23"/>
  <c r="Q215" i="23" s="1"/>
  <c r="T215" i="23" s="1"/>
  <c r="D299" i="23"/>
  <c r="Q299" i="23" s="1"/>
  <c r="T299" i="23" s="1"/>
  <c r="D186" i="23"/>
  <c r="Q186" i="23" s="1"/>
  <c r="T186" i="23" s="1"/>
  <c r="D64" i="23"/>
  <c r="Q64" i="23" s="1"/>
  <c r="T64" i="23" s="1"/>
  <c r="D205" i="23"/>
  <c r="Q205" i="23" s="1"/>
  <c r="T205" i="23" s="1"/>
  <c r="D283" i="23"/>
  <c r="Q283" i="23" s="1"/>
  <c r="T283" i="23" s="1"/>
  <c r="D113" i="23"/>
  <c r="Q113" i="23" s="1"/>
  <c r="T113" i="23" s="1"/>
  <c r="D380" i="23"/>
  <c r="Q380" i="23" s="1"/>
  <c r="T380" i="23" s="1"/>
  <c r="D222" i="23"/>
  <c r="Q222" i="23" s="1"/>
  <c r="T222" i="23" s="1"/>
  <c r="D347" i="23"/>
  <c r="Q347" i="23" s="1"/>
  <c r="T347" i="23" s="1"/>
  <c r="D261" i="23"/>
  <c r="Q261" i="23" s="1"/>
  <c r="T261" i="23" s="1"/>
  <c r="D92" i="23"/>
  <c r="Q92" i="23" s="1"/>
  <c r="T92" i="23" s="1"/>
  <c r="D373" i="23"/>
  <c r="Q373" i="23" s="1"/>
  <c r="T373" i="23" s="1"/>
  <c r="D274" i="23"/>
  <c r="Q274" i="23" s="1"/>
  <c r="T274" i="23" s="1"/>
  <c r="D203" i="23"/>
  <c r="Q203" i="23" s="1"/>
  <c r="T203" i="23" s="1"/>
  <c r="D370" i="23"/>
  <c r="Q370" i="23" s="1"/>
  <c r="T370" i="23" s="1"/>
  <c r="D80" i="23"/>
  <c r="Q80" i="23" s="1"/>
  <c r="T80" i="23" s="1"/>
  <c r="D90" i="23"/>
  <c r="Q90" i="23" s="1"/>
  <c r="T90" i="23" s="1"/>
  <c r="D40" i="23"/>
  <c r="Q40" i="23" s="1"/>
  <c r="T40" i="23" s="1"/>
  <c r="D67" i="23"/>
  <c r="Q67" i="23" s="1"/>
  <c r="T67" i="23" s="1"/>
  <c r="D290" i="23"/>
  <c r="Q290" i="23" s="1"/>
  <c r="T290" i="23" s="1"/>
  <c r="D169" i="23"/>
  <c r="Q169" i="23" s="1"/>
  <c r="T169" i="23" s="1"/>
  <c r="D221" i="23"/>
  <c r="Q221" i="23" s="1"/>
  <c r="T221" i="23" s="1"/>
  <c r="D364" i="23"/>
  <c r="Q364" i="23" s="1"/>
  <c r="T364" i="23" s="1"/>
  <c r="D298" i="23"/>
  <c r="Q298" i="23" s="1"/>
  <c r="T298" i="23" s="1"/>
  <c r="D34" i="23"/>
  <c r="Q34" i="23" s="1"/>
  <c r="T34" i="23" s="1"/>
  <c r="D128" i="23"/>
  <c r="Q128" i="23" s="1"/>
  <c r="T128" i="23" s="1"/>
  <c r="D365" i="23"/>
  <c r="Q365" i="23" s="1"/>
  <c r="T365" i="23" s="1"/>
  <c r="D155" i="23"/>
  <c r="Q155" i="23" s="1"/>
  <c r="T155" i="23" s="1"/>
  <c r="D141" i="23"/>
  <c r="Q141" i="23" s="1"/>
  <c r="T141" i="23" s="1"/>
  <c r="D103" i="23"/>
  <c r="Q103" i="23" s="1"/>
  <c r="T103" i="23" s="1"/>
  <c r="D278" i="23"/>
  <c r="Q278" i="23" s="1"/>
  <c r="T278" i="23" s="1"/>
  <c r="D263" i="23"/>
  <c r="Q263" i="23" s="1"/>
  <c r="T263" i="23" s="1"/>
  <c r="D135" i="23"/>
  <c r="Q135" i="23" s="1"/>
  <c r="T135" i="23" s="1"/>
  <c r="D150" i="23"/>
  <c r="Q150" i="23" s="1"/>
  <c r="T150" i="23" s="1"/>
  <c r="D324" i="23"/>
  <c r="Q324" i="23" s="1"/>
  <c r="T324" i="23" s="1"/>
  <c r="D382" i="23"/>
  <c r="Q382" i="23" s="1"/>
  <c r="T382" i="23" s="1"/>
  <c r="D33" i="23"/>
  <c r="Q33" i="23" s="1"/>
  <c r="T33" i="23" s="1"/>
  <c r="D196" i="23"/>
  <c r="Q196" i="23" s="1"/>
  <c r="T196" i="23" s="1"/>
  <c r="D249" i="23"/>
  <c r="Q249" i="23" s="1"/>
  <c r="T249" i="23" s="1"/>
  <c r="D366" i="23"/>
  <c r="Q366" i="23" s="1"/>
  <c r="T366" i="23" s="1"/>
  <c r="D284" i="23"/>
  <c r="Q284" i="23" s="1"/>
  <c r="T284" i="23" s="1"/>
  <c r="D307" i="23"/>
  <c r="Q307" i="23" s="1"/>
  <c r="T307" i="23" s="1"/>
  <c r="D288" i="23"/>
  <c r="Q288" i="23" s="1"/>
  <c r="T288" i="23" s="1"/>
  <c r="D377" i="23"/>
  <c r="Q377" i="23" s="1"/>
  <c r="T377" i="23" s="1"/>
  <c r="D211" i="23"/>
  <c r="Q211" i="23" s="1"/>
  <c r="T211" i="23" s="1"/>
  <c r="D219" i="23"/>
  <c r="Q219" i="23" s="1"/>
  <c r="T219" i="23" s="1"/>
  <c r="D100" i="23"/>
  <c r="Q100" i="23" s="1"/>
  <c r="T100" i="23" s="1"/>
  <c r="D94" i="23"/>
  <c r="Q94" i="23" s="1"/>
  <c r="T94" i="23" s="1"/>
  <c r="D282" i="23"/>
  <c r="Q282" i="23" s="1"/>
  <c r="T282" i="23" s="1"/>
  <c r="D145" i="23"/>
  <c r="Q145" i="23" s="1"/>
  <c r="T145" i="23" s="1"/>
  <c r="D375" i="23"/>
  <c r="Q375" i="23" s="1"/>
  <c r="T375" i="23" s="1"/>
  <c r="D154" i="23"/>
  <c r="Q154" i="23" s="1"/>
  <c r="T154" i="23" s="1"/>
  <c r="D316" i="23"/>
  <c r="Q316" i="23" s="1"/>
  <c r="T316" i="23" s="1"/>
  <c r="D91" i="23"/>
  <c r="Q91" i="23" s="1"/>
  <c r="T91" i="23" s="1"/>
  <c r="D257" i="23"/>
  <c r="Q257" i="23" s="1"/>
  <c r="T257" i="23" s="1"/>
  <c r="D238" i="23"/>
  <c r="Q238" i="23" s="1"/>
  <c r="T238" i="23" s="1"/>
  <c r="D262" i="23"/>
  <c r="Q262" i="23" s="1"/>
  <c r="T262" i="23" s="1"/>
  <c r="D179" i="23"/>
  <c r="Q179" i="23" s="1"/>
  <c r="T179" i="23" s="1"/>
  <c r="D362" i="23"/>
  <c r="Q362" i="23" s="1"/>
  <c r="T362" i="23" s="1"/>
  <c r="D41" i="23"/>
  <c r="Q41" i="23" s="1"/>
  <c r="T41" i="23" s="1"/>
  <c r="D183" i="23"/>
  <c r="Q183" i="23" s="1"/>
  <c r="T183" i="23" s="1"/>
  <c r="D45" i="23"/>
  <c r="Q45" i="23" s="1"/>
  <c r="T45" i="23" s="1"/>
  <c r="O28" i="23" l="1"/>
  <c r="M28" i="23"/>
  <c r="E30" i="23"/>
  <c r="F30" i="23" s="1"/>
  <c r="X30" i="23" s="1"/>
  <c r="G30" i="23"/>
  <c r="H30" i="23" s="1"/>
  <c r="Q29" i="23"/>
  <c r="T29" i="23" s="1"/>
  <c r="T16" i="23" s="1"/>
  <c r="T18" i="23" s="1"/>
  <c r="U18" i="23" s="1"/>
  <c r="F29" i="23"/>
  <c r="X29" i="23" s="1"/>
  <c r="N29" i="23"/>
  <c r="E31" i="23" l="1"/>
  <c r="N31" i="23" s="1"/>
  <c r="N30" i="23"/>
  <c r="K29" i="23"/>
  <c r="G31" i="23"/>
  <c r="H31" i="23" s="1"/>
  <c r="O29" i="23" l="1"/>
  <c r="F31" i="23"/>
  <c r="X31" i="23" s="1"/>
  <c r="M29" i="23"/>
  <c r="G32" i="23"/>
  <c r="H32" i="23" s="1"/>
  <c r="K30" i="23"/>
  <c r="E32" i="23"/>
  <c r="N32" i="23" s="1"/>
  <c r="E33" i="23" l="1"/>
  <c r="N33" i="23" s="1"/>
  <c r="G33" i="23"/>
  <c r="H33" i="23" s="1"/>
  <c r="M30" i="23"/>
  <c r="O30" i="23"/>
  <c r="K32" i="23"/>
  <c r="F32" i="23"/>
  <c r="X32" i="23" s="1"/>
  <c r="K31" i="23"/>
  <c r="F33" i="23" l="1"/>
  <c r="X33" i="23" s="1"/>
  <c r="O31" i="23"/>
  <c r="E34" i="23"/>
  <c r="N34" i="23" s="1"/>
  <c r="G34" i="23"/>
  <c r="H34" i="23" s="1"/>
  <c r="M31" i="23"/>
  <c r="M32" i="23" s="1"/>
  <c r="O32" i="23"/>
  <c r="J20" i="16" l="1"/>
  <c r="K33" i="23"/>
  <c r="E35" i="23"/>
  <c r="F35" i="23" s="1"/>
  <c r="X35" i="23" s="1"/>
  <c r="K34" i="23"/>
  <c r="F34" i="23"/>
  <c r="X34" i="23" s="1"/>
  <c r="G35" i="23"/>
  <c r="H35" i="23" s="1"/>
  <c r="E36" i="23" l="1"/>
  <c r="F36" i="23" s="1"/>
  <c r="X36" i="23" s="1"/>
  <c r="O33" i="23"/>
  <c r="M33" i="23"/>
  <c r="M34" i="23" s="1"/>
  <c r="K35" i="23"/>
  <c r="N35" i="23"/>
  <c r="G36" i="23"/>
  <c r="H36" i="23" s="1"/>
  <c r="O34" i="23"/>
  <c r="N36" i="23" l="1"/>
  <c r="G37" i="23"/>
  <c r="H37" i="23" s="1"/>
  <c r="E37" i="23"/>
  <c r="F37" i="23" s="1"/>
  <c r="X37" i="23" s="1"/>
  <c r="M35" i="23"/>
  <c r="O35" i="23"/>
  <c r="K36" i="23" l="1"/>
  <c r="N37" i="23"/>
  <c r="G38" i="23"/>
  <c r="H38" i="23" s="1"/>
  <c r="E38" i="23"/>
  <c r="F38" i="23" s="1"/>
  <c r="X38" i="23" s="1"/>
  <c r="K37" i="23"/>
  <c r="K38" i="23" l="1"/>
  <c r="M36" i="23"/>
  <c r="M37" i="23" s="1"/>
  <c r="O36" i="23"/>
  <c r="G39" i="23"/>
  <c r="H39" i="23" s="1"/>
  <c r="N38" i="23"/>
  <c r="E39" i="23"/>
  <c r="F39" i="23" s="1"/>
  <c r="X39" i="23" s="1"/>
  <c r="O37" i="23"/>
  <c r="E40" i="23" l="1"/>
  <c r="F40" i="23" s="1"/>
  <c r="X40" i="23" s="1"/>
  <c r="G40" i="23"/>
  <c r="H40" i="23" s="1"/>
  <c r="N39" i="23"/>
  <c r="M38" i="23"/>
  <c r="O38" i="23"/>
  <c r="N40" i="23" l="1"/>
  <c r="K39" i="23"/>
  <c r="E41" i="23"/>
  <c r="N41" i="23" s="1"/>
  <c r="K40" i="23"/>
  <c r="G41" i="23"/>
  <c r="H41" i="23" s="1"/>
  <c r="M39" i="23" l="1"/>
  <c r="M40" i="23" s="1"/>
  <c r="O39" i="23"/>
  <c r="F41" i="23"/>
  <c r="X41" i="23" s="1"/>
  <c r="G42" i="23"/>
  <c r="H42" i="23" s="1"/>
  <c r="K41" i="23"/>
  <c r="E42" i="23"/>
  <c r="N42" i="23" s="1"/>
  <c r="O40" i="23"/>
  <c r="E43" i="23" l="1"/>
  <c r="F43" i="23" s="1"/>
  <c r="X43" i="23" s="1"/>
  <c r="G43" i="23"/>
  <c r="H43" i="23" s="1"/>
  <c r="F42" i="23"/>
  <c r="X42" i="23" s="1"/>
  <c r="O41" i="23"/>
  <c r="M41" i="23"/>
  <c r="K42" i="23" l="1"/>
  <c r="N43" i="23"/>
  <c r="E44" i="23"/>
  <c r="F44" i="23" s="1"/>
  <c r="X44" i="23" s="1"/>
  <c r="G44" i="23"/>
  <c r="H44" i="23" s="1"/>
  <c r="M42" i="23" l="1"/>
  <c r="O42" i="23"/>
  <c r="N44" i="23"/>
  <c r="E45" i="23"/>
  <c r="N45" i="23" s="1"/>
  <c r="G45" i="23"/>
  <c r="H45" i="23" s="1"/>
  <c r="K44" i="23"/>
  <c r="K43" i="23"/>
  <c r="E46" i="23" l="1"/>
  <c r="F46" i="23" s="1"/>
  <c r="X46" i="23" s="1"/>
  <c r="K45" i="23"/>
  <c r="F45" i="23"/>
  <c r="X45" i="23" s="1"/>
  <c r="G46" i="23"/>
  <c r="H46" i="23" s="1"/>
  <c r="O43" i="23"/>
  <c r="M43" i="23"/>
  <c r="M44" i="23" s="1"/>
  <c r="O44" i="23"/>
  <c r="N46" i="23" l="1"/>
  <c r="E47" i="23"/>
  <c r="F47" i="23" s="1"/>
  <c r="X47" i="23" s="1"/>
  <c r="K46" i="23"/>
  <c r="G47" i="23"/>
  <c r="H47" i="23" s="1"/>
  <c r="M45" i="23"/>
  <c r="O45" i="23"/>
  <c r="K47" i="23" l="1"/>
  <c r="E48" i="23"/>
  <c r="F48" i="23" s="1"/>
  <c r="X48" i="23" s="1"/>
  <c r="N47" i="23"/>
  <c r="G48" i="23"/>
  <c r="H48" i="23" s="1"/>
  <c r="M46" i="23"/>
  <c r="O46" i="23"/>
  <c r="N48" i="23" l="1"/>
  <c r="K48" i="23"/>
  <c r="E49" i="23"/>
  <c r="F49" i="23" s="1"/>
  <c r="X49" i="23" s="1"/>
  <c r="G49" i="23"/>
  <c r="H49" i="23" s="1"/>
  <c r="M47" i="23"/>
  <c r="O47" i="23"/>
  <c r="E50" i="23" l="1"/>
  <c r="N50" i="23" s="1"/>
  <c r="G50" i="23"/>
  <c r="H50" i="23" s="1"/>
  <c r="N49" i="23"/>
  <c r="M48" i="23"/>
  <c r="O48" i="23"/>
  <c r="F50" i="23" l="1"/>
  <c r="X50" i="23" s="1"/>
  <c r="K49" i="23"/>
  <c r="G51" i="23"/>
  <c r="H51" i="23" s="1"/>
  <c r="E51" i="23"/>
  <c r="F51" i="23" s="1"/>
  <c r="X51" i="23" s="1"/>
  <c r="E52" i="23" l="1"/>
  <c r="F52" i="23" s="1"/>
  <c r="X52" i="23" s="1"/>
  <c r="M49" i="23"/>
  <c r="O49" i="23"/>
  <c r="K50" i="23"/>
  <c r="K51" i="23"/>
  <c r="G52" i="23"/>
  <c r="H52" i="23" s="1"/>
  <c r="N51" i="23"/>
  <c r="N52" i="23" l="1"/>
  <c r="O50" i="23"/>
  <c r="M50" i="23"/>
  <c r="M51" i="23" s="1"/>
  <c r="E53" i="23"/>
  <c r="N53" i="23" s="1"/>
  <c r="G53" i="23"/>
  <c r="H53" i="23" s="1"/>
  <c r="O51" i="23"/>
  <c r="K52" i="23" l="1"/>
  <c r="F53" i="23"/>
  <c r="X53" i="23" s="1"/>
  <c r="G54" i="23"/>
  <c r="H54" i="23" s="1"/>
  <c r="E54" i="23"/>
  <c r="N54" i="23" s="1"/>
  <c r="K53" i="23"/>
  <c r="O53" i="23" s="1"/>
  <c r="E55" i="23" l="1"/>
  <c r="N55" i="23" s="1"/>
  <c r="M52" i="23"/>
  <c r="M53" i="23" s="1"/>
  <c r="O52" i="23"/>
  <c r="K54" i="23"/>
  <c r="G55" i="23"/>
  <c r="H55" i="23" s="1"/>
  <c r="F54" i="23"/>
  <c r="X54" i="23" s="1"/>
  <c r="F55" i="23" l="1"/>
  <c r="X55" i="23" s="1"/>
  <c r="G56" i="23"/>
  <c r="H56" i="23" s="1"/>
  <c r="E56" i="23"/>
  <c r="N56" i="23" s="1"/>
  <c r="M54" i="23"/>
  <c r="O54" i="23"/>
  <c r="K55" i="23" l="1"/>
  <c r="K56" i="23"/>
  <c r="E57" i="23"/>
  <c r="N57" i="23" s="1"/>
  <c r="G57" i="23"/>
  <c r="H57" i="23" s="1"/>
  <c r="F56" i="23"/>
  <c r="X56" i="23" s="1"/>
  <c r="M55" i="23" l="1"/>
  <c r="M56" i="23" s="1"/>
  <c r="O55" i="23"/>
  <c r="K57" i="23"/>
  <c r="E58" i="23"/>
  <c r="N58" i="23" s="1"/>
  <c r="F57" i="23"/>
  <c r="X57" i="23" s="1"/>
  <c r="G58" i="23"/>
  <c r="H58" i="23" s="1"/>
  <c r="O56" i="23"/>
  <c r="E59" i="23" l="1"/>
  <c r="N59" i="23" s="1"/>
  <c r="K58" i="23"/>
  <c r="F58" i="23"/>
  <c r="X58" i="23" s="1"/>
  <c r="G59" i="23"/>
  <c r="H59" i="23" s="1"/>
  <c r="M57" i="23"/>
  <c r="O57" i="23"/>
  <c r="G60" i="23" l="1"/>
  <c r="H60" i="23" s="1"/>
  <c r="F59" i="23"/>
  <c r="X59" i="23" s="1"/>
  <c r="E60" i="23"/>
  <c r="N60" i="23" s="1"/>
  <c r="M58" i="23"/>
  <c r="O58" i="23"/>
  <c r="K60" i="23" l="1"/>
  <c r="G61" i="23"/>
  <c r="H61" i="23" s="1"/>
  <c r="E61" i="23"/>
  <c r="F61" i="23" s="1"/>
  <c r="X61" i="23" s="1"/>
  <c r="K59" i="23"/>
  <c r="F60" i="23"/>
  <c r="X60" i="23" s="1"/>
  <c r="O59" i="23" l="1"/>
  <c r="M59" i="23"/>
  <c r="M60" i="23" s="1"/>
  <c r="E62" i="23"/>
  <c r="N62" i="23" s="1"/>
  <c r="G62" i="23"/>
  <c r="H62" i="23" s="1"/>
  <c r="K61" i="23"/>
  <c r="N61" i="23"/>
  <c r="O60" i="23"/>
  <c r="F62" i="23" l="1"/>
  <c r="X62" i="23" s="1"/>
  <c r="E63" i="23"/>
  <c r="F63" i="23" s="1"/>
  <c r="X63" i="23" s="1"/>
  <c r="G63" i="23"/>
  <c r="H63" i="23" s="1"/>
  <c r="M61" i="23"/>
  <c r="O61" i="23"/>
  <c r="G64" i="23" l="1"/>
  <c r="H64" i="23" s="1"/>
  <c r="K62" i="23"/>
  <c r="K63" i="23"/>
  <c r="E64" i="23"/>
  <c r="F64" i="23" s="1"/>
  <c r="X64" i="23" s="1"/>
  <c r="N63" i="23"/>
  <c r="E65" i="23" l="1"/>
  <c r="F65" i="23" s="1"/>
  <c r="X65" i="23" s="1"/>
  <c r="K64" i="23"/>
  <c r="G65" i="23"/>
  <c r="H65" i="23" s="1"/>
  <c r="M62" i="23"/>
  <c r="M63" i="23" s="1"/>
  <c r="O62" i="23"/>
  <c r="N64" i="23"/>
  <c r="O63" i="23"/>
  <c r="N65" i="23" l="1"/>
  <c r="E66" i="23"/>
  <c r="F66" i="23" s="1"/>
  <c r="X66" i="23" s="1"/>
  <c r="G66" i="23"/>
  <c r="H66" i="23" s="1"/>
  <c r="O64" i="23"/>
  <c r="M64" i="23"/>
  <c r="E67" i="23" l="1"/>
  <c r="F67" i="23" s="1"/>
  <c r="X67" i="23" s="1"/>
  <c r="N66" i="23"/>
  <c r="K66" i="23"/>
  <c r="O66" i="23" s="1"/>
  <c r="G67" i="23"/>
  <c r="H67" i="23" s="1"/>
  <c r="K65" i="23"/>
  <c r="N67" i="23" l="1"/>
  <c r="E68" i="23"/>
  <c r="F68" i="23" s="1"/>
  <c r="X68" i="23" s="1"/>
  <c r="O65" i="23"/>
  <c r="M65" i="23"/>
  <c r="M66" i="23" s="1"/>
  <c r="G68" i="23"/>
  <c r="H68" i="23" s="1"/>
  <c r="K67" i="23" l="1"/>
  <c r="E69" i="23"/>
  <c r="N69" i="23" s="1"/>
  <c r="N68" i="23"/>
  <c r="G69" i="23"/>
  <c r="H69" i="23" s="1"/>
  <c r="M67" i="23" l="1"/>
  <c r="O67" i="23"/>
  <c r="F69" i="23"/>
  <c r="X69" i="23" s="1"/>
  <c r="K68" i="23"/>
  <c r="E70" i="23"/>
  <c r="F70" i="23" s="1"/>
  <c r="X70" i="23" s="1"/>
  <c r="K69" i="23"/>
  <c r="G70" i="23"/>
  <c r="H70" i="23" s="1"/>
  <c r="O68" i="23" l="1"/>
  <c r="M68" i="23"/>
  <c r="M69" i="23" s="1"/>
  <c r="N70" i="23"/>
  <c r="E71" i="23"/>
  <c r="N71" i="23" s="1"/>
  <c r="G71" i="23"/>
  <c r="H71" i="23" s="1"/>
  <c r="O69" i="23"/>
  <c r="F71" i="23" l="1"/>
  <c r="X71" i="23" s="1"/>
  <c r="E72" i="23"/>
  <c r="F72" i="23" s="1"/>
  <c r="X72" i="23" s="1"/>
  <c r="G72" i="23"/>
  <c r="H72" i="23" s="1"/>
  <c r="K70" i="23"/>
  <c r="K71" i="23" l="1"/>
  <c r="E73" i="23"/>
  <c r="F73" i="23" s="1"/>
  <c r="X73" i="23" s="1"/>
  <c r="N72" i="23"/>
  <c r="M70" i="23"/>
  <c r="K72" i="23"/>
  <c r="G73" i="23"/>
  <c r="H73" i="23" s="1"/>
  <c r="O70" i="23"/>
  <c r="O71" i="23" l="1"/>
  <c r="M71" i="23"/>
  <c r="M72" i="23" s="1"/>
  <c r="N73" i="23"/>
  <c r="E74" i="23"/>
  <c r="N74" i="23" s="1"/>
  <c r="G74" i="23"/>
  <c r="H74" i="23" s="1"/>
  <c r="O72" i="23"/>
  <c r="E75" i="23" l="1"/>
  <c r="F75" i="23" s="1"/>
  <c r="X75" i="23" s="1"/>
  <c r="F74" i="23"/>
  <c r="X74" i="23" s="1"/>
  <c r="K73" i="23"/>
  <c r="K74" i="23"/>
  <c r="G75" i="23"/>
  <c r="H75" i="23" s="1"/>
  <c r="M73" i="23" l="1"/>
  <c r="M74" i="23" s="1"/>
  <c r="N75" i="23"/>
  <c r="O73" i="23"/>
  <c r="E76" i="23"/>
  <c r="F76" i="23" s="1"/>
  <c r="X76" i="23" s="1"/>
  <c r="G76" i="23"/>
  <c r="H76" i="23" s="1"/>
  <c r="O74" i="23"/>
  <c r="N76" i="23" l="1"/>
  <c r="K75" i="23"/>
  <c r="E77" i="23"/>
  <c r="N77" i="23" s="1"/>
  <c r="G77" i="23"/>
  <c r="H77" i="23" s="1"/>
  <c r="O75" i="23" l="1"/>
  <c r="M75" i="23"/>
  <c r="F77" i="23"/>
  <c r="X77" i="23" s="1"/>
  <c r="G78" i="23"/>
  <c r="H78" i="23" s="1"/>
  <c r="K76" i="23"/>
  <c r="K77" i="23"/>
  <c r="E78" i="23"/>
  <c r="N78" i="23" s="1"/>
  <c r="M76" i="23" l="1"/>
  <c r="M77" i="23" s="1"/>
  <c r="G79" i="23"/>
  <c r="H79" i="23" s="1"/>
  <c r="O76" i="23"/>
  <c r="E79" i="23"/>
  <c r="F79" i="23" s="1"/>
  <c r="X79" i="23" s="1"/>
  <c r="K78" i="23"/>
  <c r="F78" i="23"/>
  <c r="X78" i="23" s="1"/>
  <c r="O77" i="23"/>
  <c r="G80" i="23" l="1"/>
  <c r="H80" i="23" s="1"/>
  <c r="K79" i="23"/>
  <c r="E80" i="23"/>
  <c r="F80" i="23" s="1"/>
  <c r="X80" i="23" s="1"/>
  <c r="N79" i="23"/>
  <c r="M78" i="23"/>
  <c r="O78" i="23"/>
  <c r="N80" i="23" l="1"/>
  <c r="G81" i="23"/>
  <c r="H81" i="23" s="1"/>
  <c r="E81" i="23"/>
  <c r="F81" i="23" s="1"/>
  <c r="X81" i="23" s="1"/>
  <c r="O79" i="23"/>
  <c r="M79" i="23"/>
  <c r="E82" i="23" l="1"/>
  <c r="F82" i="23" s="1"/>
  <c r="X82" i="23" s="1"/>
  <c r="N81" i="23"/>
  <c r="G82" i="23"/>
  <c r="H82" i="23" s="1"/>
  <c r="K81" i="23"/>
  <c r="K80" i="23"/>
  <c r="N82" i="23" l="1"/>
  <c r="K82" i="23"/>
  <c r="M80" i="23"/>
  <c r="M81" i="23" s="1"/>
  <c r="O80" i="23"/>
  <c r="E83" i="23"/>
  <c r="N83" i="23" s="1"/>
  <c r="G83" i="23"/>
  <c r="H83" i="23" s="1"/>
  <c r="O81" i="23"/>
  <c r="F83" i="23" l="1"/>
  <c r="X83" i="23" s="1"/>
  <c r="E84" i="23"/>
  <c r="N84" i="23" s="1"/>
  <c r="G84" i="23"/>
  <c r="H84" i="23" s="1"/>
  <c r="M82" i="23"/>
  <c r="O82" i="23"/>
  <c r="E85" i="23" l="1"/>
  <c r="N85" i="23" s="1"/>
  <c r="G85" i="23"/>
  <c r="H85" i="23" s="1"/>
  <c r="F84" i="23"/>
  <c r="X84" i="23" s="1"/>
  <c r="K84" i="23"/>
  <c r="K83" i="23"/>
  <c r="F85" i="23" l="1"/>
  <c r="X85" i="23" s="1"/>
  <c r="O83" i="23"/>
  <c r="K85" i="23"/>
  <c r="E86" i="23"/>
  <c r="N86" i="23" s="1"/>
  <c r="G86" i="23"/>
  <c r="H86" i="23" s="1"/>
  <c r="M83" i="23"/>
  <c r="M84" i="23" s="1"/>
  <c r="O84" i="23"/>
  <c r="E87" i="23" l="1"/>
  <c r="F87" i="23" s="1"/>
  <c r="X87" i="23" s="1"/>
  <c r="G87" i="23"/>
  <c r="H87" i="23" s="1"/>
  <c r="F86" i="23"/>
  <c r="X86" i="23" s="1"/>
  <c r="M85" i="23"/>
  <c r="O85" i="23"/>
  <c r="K86" i="23" l="1"/>
  <c r="E88" i="23"/>
  <c r="F88" i="23" s="1"/>
  <c r="X88" i="23" s="1"/>
  <c r="K87" i="23"/>
  <c r="N87" i="23"/>
  <c r="G88" i="23"/>
  <c r="H88" i="23" s="1"/>
  <c r="M86" i="23" l="1"/>
  <c r="M87" i="23" s="1"/>
  <c r="O86" i="23"/>
  <c r="N88" i="23"/>
  <c r="G89" i="23"/>
  <c r="H89" i="23" s="1"/>
  <c r="E89" i="23"/>
  <c r="N89" i="23" s="1"/>
  <c r="O87" i="23"/>
  <c r="E90" i="23" l="1"/>
  <c r="F90" i="23" s="1"/>
  <c r="X90" i="23" s="1"/>
  <c r="G90" i="23"/>
  <c r="H90" i="23" s="1"/>
  <c r="K89" i="23"/>
  <c r="F89" i="23"/>
  <c r="X89" i="23" s="1"/>
  <c r="K88" i="23"/>
  <c r="M88" i="23" s="1"/>
  <c r="N90" i="23" l="1"/>
  <c r="G91" i="23"/>
  <c r="H91" i="23" s="1"/>
  <c r="K90" i="23"/>
  <c r="E91" i="23"/>
  <c r="N91" i="23" s="1"/>
  <c r="O88" i="23"/>
  <c r="M89" i="23"/>
  <c r="O89" i="23"/>
  <c r="E92" i="23" l="1"/>
  <c r="F92" i="23" s="1"/>
  <c r="X92" i="23" s="1"/>
  <c r="G92" i="23"/>
  <c r="H92" i="23" s="1"/>
  <c r="K91" i="23"/>
  <c r="F91" i="23"/>
  <c r="X91" i="23" s="1"/>
  <c r="M90" i="23"/>
  <c r="O90" i="23"/>
  <c r="N92" i="23" l="1"/>
  <c r="E93" i="23"/>
  <c r="F93" i="23" s="1"/>
  <c r="X93" i="23" s="1"/>
  <c r="G93" i="23"/>
  <c r="H93" i="23" s="1"/>
  <c r="O91" i="23"/>
  <c r="M91" i="23"/>
  <c r="K93" i="23" l="1"/>
  <c r="E94" i="23"/>
  <c r="F94" i="23" s="1"/>
  <c r="X94" i="23" s="1"/>
  <c r="G94" i="23"/>
  <c r="H94" i="23" s="1"/>
  <c r="K92" i="23"/>
  <c r="N93" i="23"/>
  <c r="N94" i="23" l="1"/>
  <c r="K94" i="23"/>
  <c r="G95" i="23"/>
  <c r="H95" i="23" s="1"/>
  <c r="O92" i="23"/>
  <c r="E95" i="23"/>
  <c r="F95" i="23" s="1"/>
  <c r="X95" i="23" s="1"/>
  <c r="M92" i="23"/>
  <c r="M93" i="23" s="1"/>
  <c r="O93" i="23"/>
  <c r="E96" i="23" l="1"/>
  <c r="N96" i="23" s="1"/>
  <c r="N95" i="23"/>
  <c r="K95" i="23"/>
  <c r="G96" i="23"/>
  <c r="H96" i="23" s="1"/>
  <c r="M94" i="23"/>
  <c r="O94" i="23"/>
  <c r="E97" i="23" l="1"/>
  <c r="N97" i="23" s="1"/>
  <c r="F96" i="23"/>
  <c r="X96" i="23" s="1"/>
  <c r="G97" i="23"/>
  <c r="H97" i="23" s="1"/>
  <c r="O95" i="23"/>
  <c r="K96" i="23"/>
  <c r="M95" i="23"/>
  <c r="E98" i="23" l="1"/>
  <c r="N98" i="23" s="1"/>
  <c r="K97" i="23"/>
  <c r="F97" i="23"/>
  <c r="X97" i="23" s="1"/>
  <c r="G98" i="23"/>
  <c r="H98" i="23" s="1"/>
  <c r="M96" i="23"/>
  <c r="O96" i="23"/>
  <c r="F98" i="23" l="1"/>
  <c r="X98" i="23" s="1"/>
  <c r="E99" i="23"/>
  <c r="N99" i="23" s="1"/>
  <c r="G99" i="23"/>
  <c r="H99" i="23" s="1"/>
  <c r="M97" i="23"/>
  <c r="O97" i="23"/>
  <c r="F99" i="23" l="1"/>
  <c r="X99" i="23" s="1"/>
  <c r="G100" i="23"/>
  <c r="H100" i="23" s="1"/>
  <c r="E100" i="23"/>
  <c r="N100" i="23" s="1"/>
  <c r="K98" i="23"/>
  <c r="M98" i="23" s="1"/>
  <c r="E101" i="23" l="1"/>
  <c r="F101" i="23" s="1"/>
  <c r="X101" i="23" s="1"/>
  <c r="K100" i="23"/>
  <c r="G101" i="23"/>
  <c r="H101" i="23" s="1"/>
  <c r="F100" i="23"/>
  <c r="X100" i="23" s="1"/>
  <c r="K99" i="23"/>
  <c r="O98" i="23"/>
  <c r="N101" i="23" l="1"/>
  <c r="E102" i="23"/>
  <c r="N102" i="23" s="1"/>
  <c r="K101" i="23"/>
  <c r="G102" i="23"/>
  <c r="H102" i="23" s="1"/>
  <c r="O99" i="23"/>
  <c r="M99" i="23"/>
  <c r="M100" i="23" s="1"/>
  <c r="O100" i="23"/>
  <c r="F102" i="23" l="1"/>
  <c r="X102" i="23" s="1"/>
  <c r="K102" i="23"/>
  <c r="G103" i="23"/>
  <c r="H103" i="23" s="1"/>
  <c r="E103" i="23"/>
  <c r="F103" i="23" s="1"/>
  <c r="X103" i="23" s="1"/>
  <c r="M101" i="23"/>
  <c r="O101" i="23"/>
  <c r="E104" i="23" l="1"/>
  <c r="N104" i="23" s="1"/>
  <c r="G104" i="23"/>
  <c r="H104" i="23" s="1"/>
  <c r="N103" i="23"/>
  <c r="O102" i="23"/>
  <c r="M102" i="23"/>
  <c r="K103" i="23" l="1"/>
  <c r="F104" i="23"/>
  <c r="X104" i="23" s="1"/>
  <c r="E105" i="23"/>
  <c r="F105" i="23" s="1"/>
  <c r="X105" i="23" s="1"/>
  <c r="G105" i="23"/>
  <c r="H105" i="23" s="1"/>
  <c r="M103" i="23" l="1"/>
  <c r="K104" i="23"/>
  <c r="O103" i="23"/>
  <c r="K105" i="23"/>
  <c r="G106" i="23"/>
  <c r="H106" i="23" s="1"/>
  <c r="E106" i="23"/>
  <c r="F106" i="23" s="1"/>
  <c r="X106" i="23" s="1"/>
  <c r="N105" i="23"/>
  <c r="M104" i="23" l="1"/>
  <c r="M105" i="23" s="1"/>
  <c r="O104" i="23"/>
  <c r="N106" i="23"/>
  <c r="G107" i="23"/>
  <c r="H107" i="23" s="1"/>
  <c r="E107" i="23"/>
  <c r="N107" i="23" s="1"/>
  <c r="O105" i="23"/>
  <c r="E108" i="23" l="1"/>
  <c r="N108" i="23" s="1"/>
  <c r="K106" i="23"/>
  <c r="G108" i="23"/>
  <c r="H108" i="23" s="1"/>
  <c r="F107" i="23"/>
  <c r="X107" i="23" s="1"/>
  <c r="F108" i="23" l="1"/>
  <c r="X108" i="23" s="1"/>
  <c r="O106" i="23"/>
  <c r="M106" i="23"/>
  <c r="E109" i="23"/>
  <c r="N109" i="23" s="1"/>
  <c r="K107" i="23"/>
  <c r="G109" i="23"/>
  <c r="H109" i="23" s="1"/>
  <c r="E110" i="23" l="1"/>
  <c r="F110" i="23" s="1"/>
  <c r="X110" i="23" s="1"/>
  <c r="F109" i="23"/>
  <c r="X109" i="23" s="1"/>
  <c r="K108" i="23"/>
  <c r="G110" i="23"/>
  <c r="H110" i="23" s="1"/>
  <c r="O107" i="23"/>
  <c r="M107" i="23"/>
  <c r="N110" i="23" l="1"/>
  <c r="K110" i="23"/>
  <c r="E111" i="23"/>
  <c r="N111" i="23" s="1"/>
  <c r="G111" i="23"/>
  <c r="H111" i="23" s="1"/>
  <c r="M108" i="23"/>
  <c r="O108" i="23"/>
  <c r="K109" i="23"/>
  <c r="F111" i="23" l="1"/>
  <c r="X111" i="23" s="1"/>
  <c r="M109" i="23"/>
  <c r="M110" i="23" s="1"/>
  <c r="E112" i="23"/>
  <c r="N112" i="23" s="1"/>
  <c r="G112" i="23"/>
  <c r="H112" i="23" s="1"/>
  <c r="K111" i="23"/>
  <c r="O109" i="23"/>
  <c r="O110" i="23"/>
  <c r="E113" i="23" l="1"/>
  <c r="F113" i="23" s="1"/>
  <c r="X113" i="23" s="1"/>
  <c r="F112" i="23"/>
  <c r="X112" i="23" s="1"/>
  <c r="K112" i="23"/>
  <c r="G113" i="23"/>
  <c r="H113" i="23" s="1"/>
  <c r="O111" i="23"/>
  <c r="M111" i="23"/>
  <c r="E114" i="23" l="1"/>
  <c r="F114" i="23" s="1"/>
  <c r="X114" i="23" s="1"/>
  <c r="N113" i="23"/>
  <c r="G114" i="23"/>
  <c r="H114" i="23" s="1"/>
  <c r="O112" i="23"/>
  <c r="M112" i="23"/>
  <c r="G115" i="23" l="1"/>
  <c r="H115" i="23" s="1"/>
  <c r="K114" i="23"/>
  <c r="E115" i="23"/>
  <c r="N115" i="23" s="1"/>
  <c r="N114" i="23"/>
  <c r="K113" i="23"/>
  <c r="M113" i="23" s="1"/>
  <c r="E116" i="23" l="1"/>
  <c r="N116" i="23" s="1"/>
  <c r="G116" i="23"/>
  <c r="H116" i="23" s="1"/>
  <c r="F115" i="23"/>
  <c r="X115" i="23" s="1"/>
  <c r="O113" i="23"/>
  <c r="M114" i="23"/>
  <c r="O114" i="23"/>
  <c r="K115" i="23"/>
  <c r="O115" i="23" s="1"/>
  <c r="F116" i="23" l="1"/>
  <c r="X116" i="23" s="1"/>
  <c r="G117" i="23"/>
  <c r="H117" i="23" s="1"/>
  <c r="E117" i="23"/>
  <c r="F117" i="23" s="1"/>
  <c r="X117" i="23" s="1"/>
  <c r="M115" i="23"/>
  <c r="K116" i="23"/>
  <c r="E118" i="23" l="1"/>
  <c r="F118" i="23" s="1"/>
  <c r="X118" i="23" s="1"/>
  <c r="G118" i="23"/>
  <c r="H118" i="23" s="1"/>
  <c r="N117" i="23"/>
  <c r="O116" i="23"/>
  <c r="M116" i="23"/>
  <c r="K117" i="23"/>
  <c r="N118" i="23" l="1"/>
  <c r="E119" i="23"/>
  <c r="N119" i="23" s="1"/>
  <c r="G119" i="23"/>
  <c r="H119" i="23" s="1"/>
  <c r="O117" i="23"/>
  <c r="M117" i="23"/>
  <c r="K118" i="23"/>
  <c r="F119" i="23" l="1"/>
  <c r="X119" i="23" s="1"/>
  <c r="K119" i="23"/>
  <c r="O119" i="23" s="1"/>
  <c r="E120" i="23"/>
  <c r="N120" i="23" s="1"/>
  <c r="G120" i="23"/>
  <c r="H120" i="23" s="1"/>
  <c r="M118" i="23"/>
  <c r="O118" i="23"/>
  <c r="M119" i="23" l="1"/>
  <c r="G121" i="23"/>
  <c r="H121" i="23" s="1"/>
  <c r="E121" i="23"/>
  <c r="F121" i="23" s="1"/>
  <c r="X121" i="23" s="1"/>
  <c r="F120" i="23"/>
  <c r="X120" i="23" s="1"/>
  <c r="K120" i="23"/>
  <c r="E122" i="23" l="1"/>
  <c r="F122" i="23" s="1"/>
  <c r="X122" i="23" s="1"/>
  <c r="G122" i="23"/>
  <c r="H122" i="23" s="1"/>
  <c r="N121" i="23"/>
  <c r="O120" i="23"/>
  <c r="M120" i="23"/>
  <c r="K121" i="23"/>
  <c r="E123" i="23" l="1"/>
  <c r="F123" i="23" s="1"/>
  <c r="X123" i="23" s="1"/>
  <c r="N122" i="23"/>
  <c r="G123" i="23"/>
  <c r="H123" i="23" s="1"/>
  <c r="M121" i="23"/>
  <c r="O121" i="23"/>
  <c r="K122" i="23"/>
  <c r="N123" i="23" l="1"/>
  <c r="E124" i="23"/>
  <c r="F124" i="23" s="1"/>
  <c r="X124" i="23" s="1"/>
  <c r="G124" i="23"/>
  <c r="H124" i="23" s="1"/>
  <c r="O122" i="23"/>
  <c r="K123" i="23"/>
  <c r="M122" i="23"/>
  <c r="E125" i="23" l="1"/>
  <c r="N125" i="23" s="1"/>
  <c r="N124" i="23"/>
  <c r="G125" i="23"/>
  <c r="H125" i="23" s="1"/>
  <c r="K124" i="23"/>
  <c r="M123" i="23"/>
  <c r="O123" i="23"/>
  <c r="E126" i="23" l="1"/>
  <c r="N126" i="23" s="1"/>
  <c r="F125" i="23"/>
  <c r="X125" i="23" s="1"/>
  <c r="G126" i="23"/>
  <c r="H126" i="23" s="1"/>
  <c r="K125" i="23"/>
  <c r="M124" i="23"/>
  <c r="O124" i="23"/>
  <c r="F126" i="23" l="1"/>
  <c r="X126" i="23" s="1"/>
  <c r="E127" i="23"/>
  <c r="N127" i="23" s="1"/>
  <c r="G127" i="23"/>
  <c r="H127" i="23" s="1"/>
  <c r="M125" i="23"/>
  <c r="O125" i="23"/>
  <c r="K126" i="23"/>
  <c r="E128" i="23" l="1"/>
  <c r="N128" i="23" s="1"/>
  <c r="G128" i="23"/>
  <c r="H128" i="23" s="1"/>
  <c r="F127" i="23"/>
  <c r="X127" i="23" s="1"/>
  <c r="M126" i="23"/>
  <c r="O126" i="23"/>
  <c r="K127" i="23"/>
  <c r="F128" i="23" l="1"/>
  <c r="X128" i="23" s="1"/>
  <c r="E129" i="23"/>
  <c r="N129" i="23" s="1"/>
  <c r="G129" i="23"/>
  <c r="H129" i="23" s="1"/>
  <c r="K128" i="23"/>
  <c r="O127" i="23"/>
  <c r="M127" i="23"/>
  <c r="E130" i="23" l="1"/>
  <c r="F130" i="23" s="1"/>
  <c r="X130" i="23" s="1"/>
  <c r="F129" i="23"/>
  <c r="X129" i="23" s="1"/>
  <c r="G130" i="23"/>
  <c r="H130" i="23" s="1"/>
  <c r="M128" i="23"/>
  <c r="O128" i="23"/>
  <c r="K129" i="23"/>
  <c r="E131" i="23" l="1"/>
  <c r="N131" i="23" s="1"/>
  <c r="N130" i="23"/>
  <c r="G131" i="23"/>
  <c r="H131" i="23" s="1"/>
  <c r="M129" i="23"/>
  <c r="O129" i="23"/>
  <c r="K130" i="23"/>
  <c r="F131" i="23" l="1"/>
  <c r="X131" i="23" s="1"/>
  <c r="G132" i="23"/>
  <c r="H132" i="23" s="1"/>
  <c r="E132" i="23"/>
  <c r="N132" i="23" s="1"/>
  <c r="K131" i="23"/>
  <c r="O130" i="23"/>
  <c r="M130" i="23"/>
  <c r="E133" i="23" l="1"/>
  <c r="F133" i="23" s="1"/>
  <c r="X133" i="23" s="1"/>
  <c r="G133" i="23"/>
  <c r="H133" i="23" s="1"/>
  <c r="F132" i="23"/>
  <c r="X132" i="23" s="1"/>
  <c r="K132" i="23"/>
  <c r="O131" i="23"/>
  <c r="M131" i="23"/>
  <c r="N133" i="23" l="1"/>
  <c r="E134" i="23"/>
  <c r="F134" i="23" s="1"/>
  <c r="X134" i="23" s="1"/>
  <c r="G134" i="23"/>
  <c r="H134" i="23" s="1"/>
  <c r="O132" i="23"/>
  <c r="K133" i="23"/>
  <c r="M132" i="23"/>
  <c r="N134" i="23" l="1"/>
  <c r="E135" i="23"/>
  <c r="N135" i="23" s="1"/>
  <c r="G135" i="23"/>
  <c r="H135" i="23" s="1"/>
  <c r="O133" i="23"/>
  <c r="K134" i="23"/>
  <c r="M133" i="23"/>
  <c r="F135" i="23" l="1"/>
  <c r="X135" i="23" s="1"/>
  <c r="E136" i="23"/>
  <c r="F136" i="23" s="1"/>
  <c r="X136" i="23" s="1"/>
  <c r="G136" i="23"/>
  <c r="H136" i="23" s="1"/>
  <c r="M134" i="23"/>
  <c r="O134" i="23"/>
  <c r="K135" i="23"/>
  <c r="E137" i="23" l="1"/>
  <c r="N137" i="23" s="1"/>
  <c r="G137" i="23"/>
  <c r="H137" i="23" s="1"/>
  <c r="K136" i="23"/>
  <c r="O136" i="23" s="1"/>
  <c r="N136" i="23"/>
  <c r="M135" i="23"/>
  <c r="O135" i="23"/>
  <c r="E138" i="23" l="1"/>
  <c r="N138" i="23" s="1"/>
  <c r="F137" i="23"/>
  <c r="X137" i="23" s="1"/>
  <c r="M136" i="23"/>
  <c r="G138" i="23"/>
  <c r="H138" i="23" s="1"/>
  <c r="K137" i="23"/>
  <c r="E139" i="23" l="1"/>
  <c r="N139" i="23" s="1"/>
  <c r="F138" i="23"/>
  <c r="X138" i="23" s="1"/>
  <c r="G139" i="23"/>
  <c r="H139" i="23" s="1"/>
  <c r="K138" i="23"/>
  <c r="M137" i="23"/>
  <c r="O137" i="23"/>
  <c r="F139" i="23" l="1"/>
  <c r="X139" i="23" s="1"/>
  <c r="E140" i="23"/>
  <c r="F140" i="23" s="1"/>
  <c r="X140" i="23" s="1"/>
  <c r="G140" i="23"/>
  <c r="H140" i="23" s="1"/>
  <c r="K139" i="23"/>
  <c r="M138" i="23"/>
  <c r="O138" i="23"/>
  <c r="E141" i="23" l="1"/>
  <c r="F141" i="23" s="1"/>
  <c r="X141" i="23" s="1"/>
  <c r="N140" i="23"/>
  <c r="G141" i="23"/>
  <c r="H141" i="23" s="1"/>
  <c r="M139" i="23"/>
  <c r="O139" i="23"/>
  <c r="K140" i="23"/>
  <c r="N141" i="23" l="1"/>
  <c r="E142" i="23"/>
  <c r="N142" i="23" s="1"/>
  <c r="G142" i="23"/>
  <c r="H142" i="23" s="1"/>
  <c r="K141" i="23"/>
  <c r="M140" i="23"/>
  <c r="O140" i="23"/>
  <c r="G143" i="23" l="1"/>
  <c r="H143" i="23" s="1"/>
  <c r="F142" i="23"/>
  <c r="X142" i="23" s="1"/>
  <c r="E143" i="23"/>
  <c r="F143" i="23" s="1"/>
  <c r="X143" i="23" s="1"/>
  <c r="M141" i="23"/>
  <c r="O141" i="23"/>
  <c r="K142" i="23"/>
  <c r="E144" i="23" l="1"/>
  <c r="F144" i="23" s="1"/>
  <c r="X144" i="23" s="1"/>
  <c r="G144" i="23"/>
  <c r="H144" i="23" s="1"/>
  <c r="N143" i="23"/>
  <c r="K143" i="23"/>
  <c r="M142" i="23"/>
  <c r="O142" i="23"/>
  <c r="N144" i="23" l="1"/>
  <c r="E145" i="23"/>
  <c r="N145" i="23" s="1"/>
  <c r="G145" i="23"/>
  <c r="H145" i="23" s="1"/>
  <c r="M143" i="23"/>
  <c r="K144" i="23"/>
  <c r="O144" i="23" s="1"/>
  <c r="O143" i="23"/>
  <c r="E146" i="23" l="1"/>
  <c r="N146" i="23" s="1"/>
  <c r="G146" i="23"/>
  <c r="H146" i="23" s="1"/>
  <c r="F145" i="23"/>
  <c r="X145" i="23" s="1"/>
  <c r="M144" i="23"/>
  <c r="K145" i="23"/>
  <c r="E147" i="23" l="1"/>
  <c r="F147" i="23" s="1"/>
  <c r="X147" i="23" s="1"/>
  <c r="F146" i="23"/>
  <c r="X146" i="23" s="1"/>
  <c r="G147" i="23"/>
  <c r="H147" i="23" s="1"/>
  <c r="M145" i="23"/>
  <c r="O145" i="23"/>
  <c r="K146" i="23"/>
  <c r="N147" i="23" l="1"/>
  <c r="G148" i="23"/>
  <c r="H148" i="23" s="1"/>
  <c r="E148" i="23"/>
  <c r="N148" i="23" s="1"/>
  <c r="M146" i="23"/>
  <c r="O146" i="23"/>
  <c r="K147" i="23"/>
  <c r="E149" i="23" l="1"/>
  <c r="F149" i="23" s="1"/>
  <c r="X149" i="23" s="1"/>
  <c r="F148" i="23"/>
  <c r="X148" i="23" s="1"/>
  <c r="G149" i="23"/>
  <c r="H149" i="23" s="1"/>
  <c r="M147" i="23"/>
  <c r="K148" i="23"/>
  <c r="O147" i="23"/>
  <c r="N149" i="23" l="1"/>
  <c r="G150" i="23"/>
  <c r="H150" i="23" s="1"/>
  <c r="E150" i="23"/>
  <c r="N150" i="23" s="1"/>
  <c r="K149" i="23"/>
  <c r="O148" i="23"/>
  <c r="M148" i="23"/>
  <c r="E151" i="23" l="1"/>
  <c r="F151" i="23" s="1"/>
  <c r="X151" i="23" s="1"/>
  <c r="F150" i="23"/>
  <c r="X150" i="23" s="1"/>
  <c r="G151" i="23"/>
  <c r="H151" i="23" s="1"/>
  <c r="M149" i="23"/>
  <c r="O149" i="23"/>
  <c r="K150" i="23"/>
  <c r="O150" i="23" s="1"/>
  <c r="N151" i="23" l="1"/>
  <c r="G152" i="23"/>
  <c r="H152" i="23" s="1"/>
  <c r="E152" i="23"/>
  <c r="F152" i="23" s="1"/>
  <c r="X152" i="23" s="1"/>
  <c r="M150" i="23"/>
  <c r="K151" i="23"/>
  <c r="E153" i="23" l="1"/>
  <c r="N153" i="23" s="1"/>
  <c r="G153" i="23"/>
  <c r="H153" i="23" s="1"/>
  <c r="N152" i="23"/>
  <c r="M151" i="23"/>
  <c r="O151" i="23"/>
  <c r="K152" i="23"/>
  <c r="F153" i="23" l="1"/>
  <c r="X153" i="23" s="1"/>
  <c r="E154" i="23"/>
  <c r="N154" i="23" s="1"/>
  <c r="G154" i="23"/>
  <c r="H154" i="23" s="1"/>
  <c r="K153" i="23"/>
  <c r="M152" i="23"/>
  <c r="O152" i="23"/>
  <c r="F154" i="23" l="1"/>
  <c r="X154" i="23" s="1"/>
  <c r="E155" i="23"/>
  <c r="N155" i="23" s="1"/>
  <c r="G155" i="23"/>
  <c r="H155" i="23" s="1"/>
  <c r="M153" i="23"/>
  <c r="K154" i="23"/>
  <c r="O154" i="23" s="1"/>
  <c r="O153" i="23"/>
  <c r="E156" i="23" l="1"/>
  <c r="F156" i="23" s="1"/>
  <c r="X156" i="23" s="1"/>
  <c r="G156" i="23"/>
  <c r="H156" i="23" s="1"/>
  <c r="F155" i="23"/>
  <c r="X155" i="23" s="1"/>
  <c r="M154" i="23"/>
  <c r="K155" i="23"/>
  <c r="N156" i="23" l="1"/>
  <c r="G157" i="23"/>
  <c r="H157" i="23" s="1"/>
  <c r="E157" i="23"/>
  <c r="F157" i="23" s="1"/>
  <c r="X157" i="23" s="1"/>
  <c r="O155" i="23"/>
  <c r="M155" i="23"/>
  <c r="K156" i="23"/>
  <c r="E158" i="23" l="1"/>
  <c r="F158" i="23" s="1"/>
  <c r="X158" i="23" s="1"/>
  <c r="G158" i="23"/>
  <c r="H158" i="23" s="1"/>
  <c r="N157" i="23"/>
  <c r="M156" i="23"/>
  <c r="O156" i="23"/>
  <c r="K157" i="23"/>
  <c r="N158" i="23" l="1"/>
  <c r="E159" i="23"/>
  <c r="F159" i="23" s="1"/>
  <c r="X159" i="23" s="1"/>
  <c r="G159" i="23"/>
  <c r="H159" i="23" s="1"/>
  <c r="K158" i="23"/>
  <c r="M157" i="23"/>
  <c r="O157" i="23"/>
  <c r="E160" i="23" l="1"/>
  <c r="N160" i="23" s="1"/>
  <c r="N159" i="23"/>
  <c r="G160" i="23"/>
  <c r="H160" i="23" s="1"/>
  <c r="M158" i="23"/>
  <c r="O158" i="23"/>
  <c r="K159" i="23"/>
  <c r="E161" i="23" l="1"/>
  <c r="F161" i="23" s="1"/>
  <c r="X161" i="23" s="1"/>
  <c r="F160" i="23"/>
  <c r="X160" i="23" s="1"/>
  <c r="G161" i="23"/>
  <c r="H161" i="23" s="1"/>
  <c r="K160" i="23"/>
  <c r="M159" i="23"/>
  <c r="O159" i="23"/>
  <c r="E162" i="23" l="1"/>
  <c r="N162" i="23" s="1"/>
  <c r="N161" i="23"/>
  <c r="G162" i="23"/>
  <c r="H162" i="23" s="1"/>
  <c r="M160" i="23"/>
  <c r="O160" i="23"/>
  <c r="K161" i="23"/>
  <c r="F162" i="23" l="1"/>
  <c r="X162" i="23" s="1"/>
  <c r="E163" i="23"/>
  <c r="N163" i="23" s="1"/>
  <c r="G163" i="23"/>
  <c r="H163" i="23" s="1"/>
  <c r="M161" i="23"/>
  <c r="O161" i="23"/>
  <c r="K162" i="23"/>
  <c r="E164" i="23" l="1"/>
  <c r="F164" i="23" s="1"/>
  <c r="X164" i="23" s="1"/>
  <c r="F163" i="23"/>
  <c r="X163" i="23" s="1"/>
  <c r="G164" i="23"/>
  <c r="H164" i="23" s="1"/>
  <c r="M162" i="23"/>
  <c r="K163" i="23"/>
  <c r="O162" i="23"/>
  <c r="E165" i="23" l="1"/>
  <c r="N165" i="23" s="1"/>
  <c r="N164" i="23"/>
  <c r="G165" i="23"/>
  <c r="H165" i="23" s="1"/>
  <c r="M163" i="23"/>
  <c r="O163" i="23"/>
  <c r="K164" i="23"/>
  <c r="K165" i="23" l="1"/>
  <c r="O165" i="23" s="1"/>
  <c r="F165" i="23"/>
  <c r="X165" i="23" s="1"/>
  <c r="E166" i="23"/>
  <c r="F166" i="23" s="1"/>
  <c r="X166" i="23" s="1"/>
  <c r="G166" i="23"/>
  <c r="H166" i="23" s="1"/>
  <c r="M164" i="23"/>
  <c r="O164" i="23"/>
  <c r="M165" i="23" l="1"/>
  <c r="E167" i="23"/>
  <c r="F167" i="23" s="1"/>
  <c r="X167" i="23" s="1"/>
  <c r="G167" i="23"/>
  <c r="H167" i="23" s="1"/>
  <c r="N166" i="23"/>
  <c r="K166" i="23"/>
  <c r="N167" i="23" l="1"/>
  <c r="E168" i="23"/>
  <c r="F168" i="23" s="1"/>
  <c r="X168" i="23" s="1"/>
  <c r="G168" i="23"/>
  <c r="H168" i="23" s="1"/>
  <c r="M166" i="23"/>
  <c r="O166" i="23"/>
  <c r="K167" i="23"/>
  <c r="E169" i="23" l="1"/>
  <c r="F169" i="23" s="1"/>
  <c r="X169" i="23" s="1"/>
  <c r="N168" i="23"/>
  <c r="G169" i="23"/>
  <c r="H169" i="23" s="1"/>
  <c r="M167" i="23"/>
  <c r="K168" i="23"/>
  <c r="O167" i="23"/>
  <c r="N169" i="23" l="1"/>
  <c r="G170" i="23"/>
  <c r="H170" i="23" s="1"/>
  <c r="E170" i="23"/>
  <c r="F170" i="23" s="1"/>
  <c r="X170" i="23" s="1"/>
  <c r="M168" i="23"/>
  <c r="O168" i="23"/>
  <c r="K169" i="23"/>
  <c r="E171" i="23" l="1"/>
  <c r="F171" i="23" s="1"/>
  <c r="X171" i="23" s="1"/>
  <c r="G171" i="23"/>
  <c r="H171" i="23" s="1"/>
  <c r="N170" i="23"/>
  <c r="K170" i="23"/>
  <c r="O169" i="23"/>
  <c r="M169" i="23"/>
  <c r="E172" i="23" l="1"/>
  <c r="F172" i="23" s="1"/>
  <c r="X172" i="23" s="1"/>
  <c r="N171" i="23"/>
  <c r="G172" i="23"/>
  <c r="H172" i="23" s="1"/>
  <c r="O170" i="23"/>
  <c r="K171" i="23"/>
  <c r="M170" i="23"/>
  <c r="N172" i="23" l="1"/>
  <c r="E173" i="23"/>
  <c r="F173" i="23" s="1"/>
  <c r="X173" i="23" s="1"/>
  <c r="G173" i="23"/>
  <c r="H173" i="23" s="1"/>
  <c r="O171" i="23"/>
  <c r="K172" i="23"/>
  <c r="M171" i="23"/>
  <c r="N173" i="23" l="1"/>
  <c r="E174" i="23"/>
  <c r="N174" i="23" s="1"/>
  <c r="G174" i="23"/>
  <c r="H174" i="23" s="1"/>
  <c r="O172" i="23"/>
  <c r="M172" i="23"/>
  <c r="K173" i="23"/>
  <c r="E175" i="23" l="1"/>
  <c r="N175" i="23" s="1"/>
  <c r="G175" i="23"/>
  <c r="H175" i="23" s="1"/>
  <c r="F174" i="23"/>
  <c r="X174" i="23" s="1"/>
  <c r="O173" i="23"/>
  <c r="M173" i="23"/>
  <c r="K174" i="23"/>
  <c r="E176" i="23" l="1"/>
  <c r="F176" i="23" s="1"/>
  <c r="X176" i="23" s="1"/>
  <c r="F175" i="23"/>
  <c r="X175" i="23" s="1"/>
  <c r="G176" i="23"/>
  <c r="H176" i="23" s="1"/>
  <c r="M174" i="23"/>
  <c r="K175" i="23"/>
  <c r="O174" i="23"/>
  <c r="E177" i="23" l="1"/>
  <c r="N177" i="23" s="1"/>
  <c r="N176" i="23"/>
  <c r="G177" i="23"/>
  <c r="H177" i="23" s="1"/>
  <c r="M175" i="23"/>
  <c r="O175" i="23"/>
  <c r="K176" i="23"/>
  <c r="E178" i="23" l="1"/>
  <c r="N178" i="23" s="1"/>
  <c r="F177" i="23"/>
  <c r="X177" i="23" s="1"/>
  <c r="G178" i="23"/>
  <c r="H178" i="23" s="1"/>
  <c r="K177" i="23"/>
  <c r="O176" i="23"/>
  <c r="M176" i="23"/>
  <c r="F178" i="23" l="1"/>
  <c r="X178" i="23" s="1"/>
  <c r="E179" i="23"/>
  <c r="N179" i="23" s="1"/>
  <c r="G179" i="23"/>
  <c r="H179" i="23" s="1"/>
  <c r="M177" i="23"/>
  <c r="O177" i="23"/>
  <c r="K178" i="23"/>
  <c r="F179" i="23" l="1"/>
  <c r="X179" i="23" s="1"/>
  <c r="G180" i="23"/>
  <c r="H180" i="23" s="1"/>
  <c r="E180" i="23"/>
  <c r="F180" i="23" s="1"/>
  <c r="X180" i="23" s="1"/>
  <c r="M178" i="23"/>
  <c r="O178" i="23"/>
  <c r="K179" i="23"/>
  <c r="E181" i="23" l="1"/>
  <c r="F181" i="23" s="1"/>
  <c r="X181" i="23" s="1"/>
  <c r="G181" i="23"/>
  <c r="H181" i="23" s="1"/>
  <c r="N180" i="23"/>
  <c r="K180" i="23"/>
  <c r="O179" i="23"/>
  <c r="M179" i="23"/>
  <c r="N181" i="23" l="1"/>
  <c r="E182" i="23"/>
  <c r="N182" i="23" s="1"/>
  <c r="G182" i="23"/>
  <c r="H182" i="23" s="1"/>
  <c r="M180" i="23"/>
  <c r="O180" i="23"/>
  <c r="K181" i="23"/>
  <c r="E183" i="23" l="1"/>
  <c r="N183" i="23" s="1"/>
  <c r="F182" i="23"/>
  <c r="X182" i="23" s="1"/>
  <c r="G183" i="23"/>
  <c r="H183" i="23" s="1"/>
  <c r="K182" i="23"/>
  <c r="O181" i="23"/>
  <c r="M181" i="23"/>
  <c r="E184" i="23" l="1"/>
  <c r="N184" i="23" s="1"/>
  <c r="F183" i="23"/>
  <c r="X183" i="23" s="1"/>
  <c r="G184" i="23"/>
  <c r="H184" i="23" s="1"/>
  <c r="M182" i="23"/>
  <c r="O182" i="23"/>
  <c r="K183" i="23"/>
  <c r="E185" i="23" l="1"/>
  <c r="N185" i="23" s="1"/>
  <c r="F184" i="23"/>
  <c r="X184" i="23" s="1"/>
  <c r="G185" i="23"/>
  <c r="H185" i="23" s="1"/>
  <c r="M183" i="23"/>
  <c r="O183" i="23"/>
  <c r="K184" i="23"/>
  <c r="O184" i="23" s="1"/>
  <c r="F185" i="23" l="1"/>
  <c r="X185" i="23" s="1"/>
  <c r="E186" i="23"/>
  <c r="F186" i="23" s="1"/>
  <c r="X186" i="23" s="1"/>
  <c r="G186" i="23"/>
  <c r="H186" i="23" s="1"/>
  <c r="M184" i="23"/>
  <c r="K185" i="23"/>
  <c r="E187" i="23" l="1"/>
  <c r="F187" i="23" s="1"/>
  <c r="X187" i="23" s="1"/>
  <c r="N186" i="23"/>
  <c r="G187" i="23"/>
  <c r="H187" i="23" s="1"/>
  <c r="M185" i="23"/>
  <c r="K186" i="23"/>
  <c r="O185" i="23"/>
  <c r="N187" i="23" l="1"/>
  <c r="E188" i="23"/>
  <c r="N188" i="23" s="1"/>
  <c r="G188" i="23"/>
  <c r="H188" i="23" s="1"/>
  <c r="M186" i="23"/>
  <c r="O186" i="23"/>
  <c r="K187" i="23"/>
  <c r="E189" i="23" l="1"/>
  <c r="N189" i="23" s="1"/>
  <c r="F188" i="23"/>
  <c r="X188" i="23" s="1"/>
  <c r="G189" i="23"/>
  <c r="H189" i="23" s="1"/>
  <c r="O187" i="23"/>
  <c r="M187" i="23"/>
  <c r="K188" i="23"/>
  <c r="F189" i="23" l="1"/>
  <c r="X189" i="23" s="1"/>
  <c r="E190" i="23"/>
  <c r="F190" i="23" s="1"/>
  <c r="X190" i="23" s="1"/>
  <c r="G190" i="23"/>
  <c r="H190" i="23" s="1"/>
  <c r="K189" i="23"/>
  <c r="O188" i="23"/>
  <c r="M188" i="23"/>
  <c r="E191" i="23" l="1"/>
  <c r="F191" i="23" s="1"/>
  <c r="X191" i="23" s="1"/>
  <c r="N190" i="23"/>
  <c r="G191" i="23"/>
  <c r="H191" i="23" s="1"/>
  <c r="O189" i="23"/>
  <c r="K190" i="23"/>
  <c r="M189" i="23"/>
  <c r="E192" i="23" l="1"/>
  <c r="N192" i="23" s="1"/>
  <c r="N191" i="23"/>
  <c r="G192" i="23"/>
  <c r="H192" i="23" s="1"/>
  <c r="M190" i="23"/>
  <c r="K191" i="23"/>
  <c r="O190" i="23"/>
  <c r="F192" i="23" l="1"/>
  <c r="X192" i="23" s="1"/>
  <c r="E193" i="23"/>
  <c r="N193" i="23" s="1"/>
  <c r="G193" i="23"/>
  <c r="H193" i="23" s="1"/>
  <c r="M191" i="23"/>
  <c r="O191" i="23"/>
  <c r="K192" i="23"/>
  <c r="E194" i="23" l="1"/>
  <c r="N194" i="23" s="1"/>
  <c r="F193" i="23"/>
  <c r="X193" i="23" s="1"/>
  <c r="G194" i="23"/>
  <c r="H194" i="23" s="1"/>
  <c r="M192" i="23"/>
  <c r="O192" i="23"/>
  <c r="K193" i="23"/>
  <c r="F194" i="23" l="1"/>
  <c r="X194" i="23" s="1"/>
  <c r="G195" i="23"/>
  <c r="H195" i="23" s="1"/>
  <c r="E195" i="23"/>
  <c r="N195" i="23" s="1"/>
  <c r="K194" i="23"/>
  <c r="M193" i="23"/>
  <c r="O193" i="23"/>
  <c r="E196" i="23" l="1"/>
  <c r="F196" i="23" s="1"/>
  <c r="X196" i="23" s="1"/>
  <c r="G196" i="23"/>
  <c r="H196" i="23" s="1"/>
  <c r="F195" i="23"/>
  <c r="X195" i="23" s="1"/>
  <c r="M194" i="23"/>
  <c r="O194" i="23"/>
  <c r="K195" i="23"/>
  <c r="N196" i="23" l="1"/>
  <c r="E197" i="23"/>
  <c r="N197" i="23" s="1"/>
  <c r="G197" i="23"/>
  <c r="H197" i="23" s="1"/>
  <c r="K196" i="23"/>
  <c r="M195" i="23"/>
  <c r="O195" i="23"/>
  <c r="F197" i="23" l="1"/>
  <c r="X197" i="23" s="1"/>
  <c r="E198" i="23"/>
  <c r="F198" i="23" s="1"/>
  <c r="X198" i="23" s="1"/>
  <c r="G198" i="23"/>
  <c r="H198" i="23" s="1"/>
  <c r="M196" i="23"/>
  <c r="O196" i="23"/>
  <c r="K197" i="23"/>
  <c r="N198" i="23" l="1"/>
  <c r="G199" i="23"/>
  <c r="H199" i="23" s="1"/>
  <c r="E199" i="23"/>
  <c r="N199" i="23" s="1"/>
  <c r="M197" i="23"/>
  <c r="K198" i="23"/>
  <c r="E200" i="23"/>
  <c r="O197" i="23"/>
  <c r="G200" i="23" l="1"/>
  <c r="H200" i="23" s="1"/>
  <c r="F199" i="23"/>
  <c r="X199" i="23" s="1"/>
  <c r="M198" i="23"/>
  <c r="K199" i="23"/>
  <c r="N200" i="23"/>
  <c r="F200" i="23"/>
  <c r="X200" i="23" s="1"/>
  <c r="O198" i="23"/>
  <c r="E201" i="23" l="1"/>
  <c r="F201" i="23" s="1"/>
  <c r="X201" i="23" s="1"/>
  <c r="G201" i="23"/>
  <c r="H201" i="23" s="1"/>
  <c r="O199" i="23"/>
  <c r="M199" i="23"/>
  <c r="K200" i="23"/>
  <c r="N201" i="23" l="1"/>
  <c r="E202" i="23"/>
  <c r="F202" i="23" s="1"/>
  <c r="X202" i="23" s="1"/>
  <c r="G202" i="23"/>
  <c r="H202" i="23" s="1"/>
  <c r="K201" i="23"/>
  <c r="M200" i="23"/>
  <c r="O200" i="23"/>
  <c r="E203" i="23" l="1"/>
  <c r="F203" i="23" s="1"/>
  <c r="X203" i="23" s="1"/>
  <c r="G203" i="23"/>
  <c r="H203" i="23" s="1"/>
  <c r="N202" i="23"/>
  <c r="M201" i="23"/>
  <c r="O201" i="23"/>
  <c r="K202" i="23"/>
  <c r="E204" i="23" l="1"/>
  <c r="N204" i="23" s="1"/>
  <c r="N203" i="23"/>
  <c r="G204" i="23"/>
  <c r="H204" i="23" s="1"/>
  <c r="O202" i="23"/>
  <c r="K203" i="23"/>
  <c r="M202" i="23"/>
  <c r="F204" i="23" l="1"/>
  <c r="X204" i="23" s="1"/>
  <c r="E205" i="23"/>
  <c r="N205" i="23" s="1"/>
  <c r="G205" i="23"/>
  <c r="H205" i="23" s="1"/>
  <c r="M203" i="23"/>
  <c r="K204" i="23"/>
  <c r="O203" i="23"/>
  <c r="E206" i="23" l="1"/>
  <c r="N206" i="23" s="1"/>
  <c r="G206" i="23"/>
  <c r="H206" i="23" s="1"/>
  <c r="F205" i="23"/>
  <c r="X205" i="23" s="1"/>
  <c r="M204" i="23"/>
  <c r="O204" i="23"/>
  <c r="K205" i="23"/>
  <c r="F206" i="23" l="1"/>
  <c r="X206" i="23" s="1"/>
  <c r="E207" i="23"/>
  <c r="F207" i="23" s="1"/>
  <c r="X207" i="23" s="1"/>
  <c r="G207" i="23"/>
  <c r="H207" i="23" s="1"/>
  <c r="M205" i="23"/>
  <c r="O205" i="23"/>
  <c r="K206" i="23"/>
  <c r="O206" i="23" s="1"/>
  <c r="N207" i="23" l="1"/>
  <c r="G208" i="23"/>
  <c r="H208" i="23" s="1"/>
  <c r="E208" i="23"/>
  <c r="F208" i="23" s="1"/>
  <c r="X208" i="23" s="1"/>
  <c r="M206" i="23"/>
  <c r="K207" i="23"/>
  <c r="G209" i="23" l="1"/>
  <c r="H209" i="23" s="1"/>
  <c r="E209" i="23"/>
  <c r="F209" i="23" s="1"/>
  <c r="X209" i="23" s="1"/>
  <c r="N208" i="23"/>
  <c r="O207" i="23"/>
  <c r="M207" i="23"/>
  <c r="K208" i="23"/>
  <c r="E210" i="23" l="1"/>
  <c r="N210" i="23" s="1"/>
  <c r="N209" i="23"/>
  <c r="G210" i="23"/>
  <c r="H210" i="23" s="1"/>
  <c r="M208" i="23"/>
  <c r="O208" i="23"/>
  <c r="K209" i="23"/>
  <c r="F210" i="23" l="1"/>
  <c r="X210" i="23" s="1"/>
  <c r="E211" i="23"/>
  <c r="F211" i="23" s="1"/>
  <c r="X211" i="23" s="1"/>
  <c r="G211" i="23"/>
  <c r="H211" i="23" s="1"/>
  <c r="K210" i="23"/>
  <c r="M209" i="23"/>
  <c r="O209" i="23"/>
  <c r="E212" i="23" l="1"/>
  <c r="F212" i="23" s="1"/>
  <c r="X212" i="23" s="1"/>
  <c r="N211" i="23"/>
  <c r="G212" i="23"/>
  <c r="H212" i="23" s="1"/>
  <c r="M210" i="23"/>
  <c r="O210" i="23"/>
  <c r="K211" i="23"/>
  <c r="N212" i="23" l="1"/>
  <c r="E213" i="23"/>
  <c r="F213" i="23" s="1"/>
  <c r="X213" i="23" s="1"/>
  <c r="G213" i="23"/>
  <c r="H213" i="23" s="1"/>
  <c r="M211" i="23"/>
  <c r="K212" i="23"/>
  <c r="O211" i="23"/>
  <c r="E214" i="23" l="1"/>
  <c r="N214" i="23" s="1"/>
  <c r="N213" i="23"/>
  <c r="G214" i="23"/>
  <c r="H214" i="23" s="1"/>
  <c r="M212" i="23"/>
  <c r="O212" i="23"/>
  <c r="K213" i="23"/>
  <c r="E215" i="23" l="1"/>
  <c r="F215" i="23" s="1"/>
  <c r="X215" i="23" s="1"/>
  <c r="F214" i="23"/>
  <c r="X214" i="23" s="1"/>
  <c r="G215" i="23"/>
  <c r="H215" i="23" s="1"/>
  <c r="M213" i="23"/>
  <c r="O213" i="23"/>
  <c r="K214" i="23"/>
  <c r="N215" i="23" l="1"/>
  <c r="E216" i="23"/>
  <c r="N216" i="23" s="1"/>
  <c r="G216" i="23"/>
  <c r="H216" i="23" s="1"/>
  <c r="K215" i="23"/>
  <c r="M214" i="23"/>
  <c r="O214" i="23"/>
  <c r="E217" i="23" l="1"/>
  <c r="F217" i="23" s="1"/>
  <c r="X217" i="23" s="1"/>
  <c r="F216" i="23"/>
  <c r="X216" i="23" s="1"/>
  <c r="G217" i="23"/>
  <c r="H217" i="23" s="1"/>
  <c r="M215" i="23"/>
  <c r="O215" i="23"/>
  <c r="K216" i="23"/>
  <c r="N217" i="23" l="1"/>
  <c r="E218" i="23"/>
  <c r="N218" i="23" s="1"/>
  <c r="G218" i="23"/>
  <c r="H218" i="23" s="1"/>
  <c r="M216" i="23"/>
  <c r="K217" i="23"/>
  <c r="O216" i="23"/>
  <c r="E219" i="23" l="1"/>
  <c r="N219" i="23" s="1"/>
  <c r="G219" i="23"/>
  <c r="H219" i="23" s="1"/>
  <c r="F218" i="23"/>
  <c r="X218" i="23" s="1"/>
  <c r="O217" i="23"/>
  <c r="K218" i="23"/>
  <c r="M217" i="23"/>
  <c r="F219" i="23" l="1"/>
  <c r="X219" i="23" s="1"/>
  <c r="E220" i="23"/>
  <c r="N220" i="23" s="1"/>
  <c r="G220" i="23"/>
  <c r="H220" i="23" s="1"/>
  <c r="M218" i="23"/>
  <c r="K219" i="23"/>
  <c r="O218" i="23"/>
  <c r="E221" i="23" l="1"/>
  <c r="N221" i="23" s="1"/>
  <c r="G221" i="23"/>
  <c r="H221" i="23" s="1"/>
  <c r="F220" i="23"/>
  <c r="X220" i="23" s="1"/>
  <c r="O219" i="23"/>
  <c r="M219" i="23"/>
  <c r="K220" i="23"/>
  <c r="F221" i="23" l="1"/>
  <c r="X221" i="23" s="1"/>
  <c r="E222" i="23"/>
  <c r="F222" i="23" s="1"/>
  <c r="X222" i="23" s="1"/>
  <c r="G222" i="23"/>
  <c r="H222" i="23" s="1"/>
  <c r="O220" i="23"/>
  <c r="K221" i="23"/>
  <c r="M220" i="23"/>
  <c r="E223" i="23" l="1"/>
  <c r="F223" i="23" s="1"/>
  <c r="X223" i="23" s="1"/>
  <c r="N222" i="23"/>
  <c r="K222" i="23"/>
  <c r="O222" i="23" s="1"/>
  <c r="G223" i="23"/>
  <c r="H223" i="23" s="1"/>
  <c r="M221" i="23"/>
  <c r="O221" i="23"/>
  <c r="E224" i="23" l="1"/>
  <c r="N224" i="23" s="1"/>
  <c r="N223" i="23"/>
  <c r="M222" i="23"/>
  <c r="G224" i="23"/>
  <c r="H224" i="23" s="1"/>
  <c r="K223" i="23"/>
  <c r="F224" i="23" l="1"/>
  <c r="X224" i="23" s="1"/>
  <c r="E225" i="23"/>
  <c r="N225" i="23" s="1"/>
  <c r="G225" i="23"/>
  <c r="H225" i="23" s="1"/>
  <c r="M223" i="23"/>
  <c r="O223" i="23"/>
  <c r="K224" i="23"/>
  <c r="F225" i="23" l="1"/>
  <c r="X225" i="23" s="1"/>
  <c r="G226" i="23"/>
  <c r="H226" i="23" s="1"/>
  <c r="E226" i="23"/>
  <c r="F226" i="23" s="1"/>
  <c r="X226" i="23" s="1"/>
  <c r="M224" i="23"/>
  <c r="K225" i="23"/>
  <c r="O224" i="23"/>
  <c r="E227" i="23" l="1"/>
  <c r="N227" i="23" s="1"/>
  <c r="G227" i="23"/>
  <c r="H227" i="23" s="1"/>
  <c r="N226" i="23"/>
  <c r="M225" i="23"/>
  <c r="O225" i="23"/>
  <c r="K226" i="23"/>
  <c r="F227" i="23" l="1"/>
  <c r="X227" i="23" s="1"/>
  <c r="E228" i="23"/>
  <c r="F228" i="23" s="1"/>
  <c r="X228" i="23" s="1"/>
  <c r="G228" i="23"/>
  <c r="H228" i="23" s="1"/>
  <c r="K227" i="23"/>
  <c r="O226" i="23"/>
  <c r="M226" i="23"/>
  <c r="E229" i="23" l="1"/>
  <c r="N229" i="23" s="1"/>
  <c r="N228" i="23"/>
  <c r="G229" i="23"/>
  <c r="H229" i="23" s="1"/>
  <c r="O227" i="23"/>
  <c r="K228" i="23"/>
  <c r="M227" i="23"/>
  <c r="E230" i="23" l="1"/>
  <c r="F230" i="23" s="1"/>
  <c r="X230" i="23" s="1"/>
  <c r="F229" i="23"/>
  <c r="X229" i="23" s="1"/>
  <c r="G230" i="23"/>
  <c r="H230" i="23" s="1"/>
  <c r="M228" i="23"/>
  <c r="K229" i="23"/>
  <c r="O228" i="23"/>
  <c r="N230" i="23" l="1"/>
  <c r="E231" i="23"/>
  <c r="F231" i="23" s="1"/>
  <c r="X231" i="23" s="1"/>
  <c r="G231" i="23"/>
  <c r="H231" i="23" s="1"/>
  <c r="M229" i="23"/>
  <c r="O229" i="23"/>
  <c r="K230" i="23"/>
  <c r="E232" i="23" l="1"/>
  <c r="F232" i="23" s="1"/>
  <c r="X232" i="23" s="1"/>
  <c r="G232" i="23"/>
  <c r="H232" i="23" s="1"/>
  <c r="N231" i="23"/>
  <c r="M230" i="23"/>
  <c r="O230" i="23"/>
  <c r="K231" i="23"/>
  <c r="N232" i="23" l="1"/>
  <c r="E233" i="23"/>
  <c r="N233" i="23" s="1"/>
  <c r="G233" i="23"/>
  <c r="H233" i="23" s="1"/>
  <c r="M231" i="23"/>
  <c r="K232" i="23"/>
  <c r="O231" i="23"/>
  <c r="E234" i="23" l="1"/>
  <c r="N234" i="23" s="1"/>
  <c r="F233" i="23"/>
  <c r="X233" i="23" s="1"/>
  <c r="G234" i="23"/>
  <c r="H234" i="23" s="1"/>
  <c r="K233" i="23"/>
  <c r="O232" i="23"/>
  <c r="M232" i="23"/>
  <c r="F234" i="23" l="1"/>
  <c r="X234" i="23" s="1"/>
  <c r="E235" i="23"/>
  <c r="F235" i="23" s="1"/>
  <c r="X235" i="23" s="1"/>
  <c r="G235" i="23"/>
  <c r="H235" i="23" s="1"/>
  <c r="M233" i="23"/>
  <c r="O233" i="23"/>
  <c r="K234" i="23"/>
  <c r="E236" i="23" l="1"/>
  <c r="F236" i="23" s="1"/>
  <c r="X236" i="23" s="1"/>
  <c r="N235" i="23"/>
  <c r="G236" i="23"/>
  <c r="H236" i="23" s="1"/>
  <c r="O234" i="23"/>
  <c r="M234" i="23"/>
  <c r="K235" i="23"/>
  <c r="E237" i="23" l="1"/>
  <c r="F237" i="23" s="1"/>
  <c r="X237" i="23" s="1"/>
  <c r="G237" i="23"/>
  <c r="H237" i="23" s="1"/>
  <c r="N236" i="23"/>
  <c r="O235" i="23"/>
  <c r="M235" i="23"/>
  <c r="K236" i="23"/>
  <c r="N237" i="23" l="1"/>
  <c r="G238" i="23"/>
  <c r="H238" i="23" s="1"/>
  <c r="E238" i="23"/>
  <c r="N238" i="23" s="1"/>
  <c r="M236" i="23"/>
  <c r="K237" i="23"/>
  <c r="O236" i="23"/>
  <c r="E239" i="23" l="1"/>
  <c r="F239" i="23" s="1"/>
  <c r="X239" i="23" s="1"/>
  <c r="G239" i="23"/>
  <c r="H239" i="23" s="1"/>
  <c r="F238" i="23"/>
  <c r="X238" i="23" s="1"/>
  <c r="M237" i="23"/>
  <c r="K238" i="23"/>
  <c r="O237" i="23"/>
  <c r="E240" i="23" l="1"/>
  <c r="N240" i="23" s="1"/>
  <c r="G240" i="23"/>
  <c r="H240" i="23" s="1"/>
  <c r="N239" i="23"/>
  <c r="M238" i="23"/>
  <c r="O238" i="23"/>
  <c r="K239" i="23"/>
  <c r="E241" i="23"/>
  <c r="G241" i="23" l="1"/>
  <c r="H241" i="23" s="1"/>
  <c r="F240" i="23"/>
  <c r="X240" i="23" s="1"/>
  <c r="M239" i="23"/>
  <c r="O239" i="23"/>
  <c r="K240" i="23"/>
  <c r="N241" i="23"/>
  <c r="F241" i="23"/>
  <c r="X241" i="23" s="1"/>
  <c r="E242" i="23" l="1"/>
  <c r="N242" i="23" s="1"/>
  <c r="G242" i="23"/>
  <c r="H242" i="23" s="1"/>
  <c r="M240" i="23"/>
  <c r="K241" i="23"/>
  <c r="O240" i="23"/>
  <c r="E243" i="23"/>
  <c r="G243" i="23" l="1"/>
  <c r="H243" i="23" s="1"/>
  <c r="F242" i="23"/>
  <c r="X242" i="23" s="1"/>
  <c r="M241" i="23"/>
  <c r="K242" i="23"/>
  <c r="G244" i="23"/>
  <c r="H244" i="23" s="1"/>
  <c r="E244" i="23"/>
  <c r="F243" i="23"/>
  <c r="X243" i="23" s="1"/>
  <c r="N243" i="23"/>
  <c r="O241" i="23"/>
  <c r="M242" i="23" l="1"/>
  <c r="O242" i="23"/>
  <c r="N244" i="23"/>
  <c r="F244" i="23"/>
  <c r="X244" i="23" s="1"/>
  <c r="K243" i="23"/>
  <c r="G245" i="23"/>
  <c r="H245" i="23" s="1"/>
  <c r="E245" i="23"/>
  <c r="F245" i="23" l="1"/>
  <c r="X245" i="23" s="1"/>
  <c r="N245" i="23"/>
  <c r="G246" i="23"/>
  <c r="H246" i="23" s="1"/>
  <c r="E246" i="23"/>
  <c r="O243" i="23"/>
  <c r="K244" i="23"/>
  <c r="M243" i="23"/>
  <c r="M244" i="23" l="1"/>
  <c r="F246" i="23"/>
  <c r="X246" i="23" s="1"/>
  <c r="N246" i="23"/>
  <c r="G247" i="23"/>
  <c r="H247" i="23" s="1"/>
  <c r="E247" i="23"/>
  <c r="K245" i="23"/>
  <c r="O244" i="23"/>
  <c r="M245" i="23" l="1"/>
  <c r="O245" i="23"/>
  <c r="N247" i="23"/>
  <c r="F247" i="23"/>
  <c r="X247" i="23" s="1"/>
  <c r="G248" i="23"/>
  <c r="H248" i="23" s="1"/>
  <c r="E248" i="23"/>
  <c r="K246" i="23"/>
  <c r="G249" i="23" l="1"/>
  <c r="H249" i="23" s="1"/>
  <c r="E249" i="23"/>
  <c r="K247" i="23"/>
  <c r="O246" i="23"/>
  <c r="F248" i="23"/>
  <c r="X248" i="23" s="1"/>
  <c r="N248" i="23"/>
  <c r="M246" i="23"/>
  <c r="O247" i="23" l="1"/>
  <c r="F249" i="23"/>
  <c r="X249" i="23" s="1"/>
  <c r="N249" i="23"/>
  <c r="M247" i="23"/>
  <c r="K248" i="23"/>
  <c r="G250" i="23"/>
  <c r="H250" i="23" s="1"/>
  <c r="E250" i="23"/>
  <c r="M248" i="23" l="1"/>
  <c r="K249" i="23"/>
  <c r="G251" i="23"/>
  <c r="H251" i="23" s="1"/>
  <c r="E251" i="23"/>
  <c r="O248" i="23"/>
  <c r="F250" i="23"/>
  <c r="X250" i="23" s="1"/>
  <c r="N250" i="23"/>
  <c r="M249" i="23" l="1"/>
  <c r="O249" i="23"/>
  <c r="F251" i="23"/>
  <c r="X251" i="23" s="1"/>
  <c r="N251" i="23"/>
  <c r="K250" i="23"/>
  <c r="G252" i="23"/>
  <c r="H252" i="23" s="1"/>
  <c r="E252" i="23"/>
  <c r="G253" i="23" l="1"/>
  <c r="H253" i="23" s="1"/>
  <c r="E253" i="23"/>
  <c r="F252" i="23"/>
  <c r="X252" i="23" s="1"/>
  <c r="N252" i="23"/>
  <c r="O250" i="23"/>
  <c r="M250" i="23"/>
  <c r="K251" i="23"/>
  <c r="K252" i="23" l="1"/>
  <c r="F253" i="23"/>
  <c r="X253" i="23" s="1"/>
  <c r="N253" i="23"/>
  <c r="O251" i="23"/>
  <c r="M251" i="23"/>
  <c r="G254" i="23"/>
  <c r="H254" i="23" s="1"/>
  <c r="E254" i="23"/>
  <c r="O252" i="23" l="1"/>
  <c r="M252" i="23"/>
  <c r="K253" i="23"/>
  <c r="F254" i="23"/>
  <c r="X254" i="23" s="1"/>
  <c r="N254" i="23"/>
  <c r="G255" i="23"/>
  <c r="H255" i="23" s="1"/>
  <c r="E255" i="23"/>
  <c r="M253" i="23" l="1"/>
  <c r="O253" i="23"/>
  <c r="K254" i="23"/>
  <c r="O254" i="23" s="1"/>
  <c r="G256" i="23"/>
  <c r="H256" i="23" s="1"/>
  <c r="E256" i="23"/>
  <c r="N255" i="23"/>
  <c r="F255" i="23"/>
  <c r="X255" i="23" s="1"/>
  <c r="M254" i="23" l="1"/>
  <c r="K255" i="23"/>
  <c r="G257" i="23"/>
  <c r="H257" i="23" s="1"/>
  <c r="E257" i="23"/>
  <c r="N256" i="23"/>
  <c r="F256" i="23"/>
  <c r="X256" i="23" s="1"/>
  <c r="K256" i="23" l="1"/>
  <c r="F257" i="23"/>
  <c r="X257" i="23" s="1"/>
  <c r="N257" i="23"/>
  <c r="G258" i="23"/>
  <c r="H258" i="23" s="1"/>
  <c r="E258" i="23"/>
  <c r="O255" i="23"/>
  <c r="M255" i="23"/>
  <c r="M256" i="23" l="1"/>
  <c r="O256" i="23"/>
  <c r="N258" i="23"/>
  <c r="F258" i="23"/>
  <c r="X258" i="23" s="1"/>
  <c r="G259" i="23"/>
  <c r="H259" i="23" s="1"/>
  <c r="E259" i="23"/>
  <c r="K257" i="23"/>
  <c r="M257" i="23" l="1"/>
  <c r="O257" i="23"/>
  <c r="G260" i="23"/>
  <c r="H260" i="23" s="1"/>
  <c r="E260" i="23"/>
  <c r="K258" i="23"/>
  <c r="F259" i="23"/>
  <c r="X259" i="23" s="1"/>
  <c r="N259" i="23"/>
  <c r="O258" i="23" l="1"/>
  <c r="F260" i="23"/>
  <c r="X260" i="23" s="1"/>
  <c r="N260" i="23"/>
  <c r="G261" i="23"/>
  <c r="H261" i="23" s="1"/>
  <c r="E261" i="23"/>
  <c r="K259" i="23"/>
  <c r="M258" i="23"/>
  <c r="M259" i="23" l="1"/>
  <c r="G262" i="23"/>
  <c r="H262" i="23" s="1"/>
  <c r="E262" i="23"/>
  <c r="K260" i="23"/>
  <c r="F261" i="23"/>
  <c r="X261" i="23" s="1"/>
  <c r="N261" i="23"/>
  <c r="O259" i="23"/>
  <c r="M260" i="23" l="1"/>
  <c r="K261" i="23"/>
  <c r="O260" i="23"/>
  <c r="F262" i="23"/>
  <c r="X262" i="23" s="1"/>
  <c r="N262" i="23"/>
  <c r="G263" i="23"/>
  <c r="H263" i="23" s="1"/>
  <c r="E263" i="23"/>
  <c r="O261" i="23" l="1"/>
  <c r="M261" i="23"/>
  <c r="K262" i="23"/>
  <c r="N263" i="23"/>
  <c r="F263" i="23"/>
  <c r="X263" i="23" s="1"/>
  <c r="G264" i="23"/>
  <c r="H264" i="23" s="1"/>
  <c r="E264" i="23"/>
  <c r="M262" i="23" l="1"/>
  <c r="F264" i="23"/>
  <c r="X264" i="23" s="1"/>
  <c r="N264" i="23"/>
  <c r="G265" i="23"/>
  <c r="H265" i="23" s="1"/>
  <c r="E265" i="23"/>
  <c r="K263" i="23"/>
  <c r="O262" i="23"/>
  <c r="M263" i="23" l="1"/>
  <c r="O263" i="23"/>
  <c r="F265" i="23"/>
  <c r="X265" i="23" s="1"/>
  <c r="N265" i="23"/>
  <c r="K264" i="23"/>
  <c r="G266" i="23"/>
  <c r="H266" i="23" s="1"/>
  <c r="E266" i="23"/>
  <c r="K265" i="23" l="1"/>
  <c r="G267" i="23"/>
  <c r="H267" i="23" s="1"/>
  <c r="E267" i="23"/>
  <c r="O264" i="23"/>
  <c r="N266" i="23"/>
  <c r="F266" i="23"/>
  <c r="X266" i="23" s="1"/>
  <c r="M264" i="23"/>
  <c r="M265" i="23" l="1"/>
  <c r="O265" i="23"/>
  <c r="K266" i="23"/>
  <c r="O266" i="23" s="1"/>
  <c r="F267" i="23"/>
  <c r="X267" i="23" s="1"/>
  <c r="N267" i="23"/>
  <c r="G268" i="23"/>
  <c r="H268" i="23" s="1"/>
  <c r="E268" i="23"/>
  <c r="M266" i="23" l="1"/>
  <c r="F268" i="23"/>
  <c r="X268" i="23" s="1"/>
  <c r="N268" i="23"/>
  <c r="G269" i="23"/>
  <c r="H269" i="23" s="1"/>
  <c r="E269" i="23"/>
  <c r="K267" i="23"/>
  <c r="F269" i="23" l="1"/>
  <c r="X269" i="23" s="1"/>
  <c r="N269" i="23"/>
  <c r="M267" i="23"/>
  <c r="O267" i="23"/>
  <c r="G270" i="23"/>
  <c r="H270" i="23" s="1"/>
  <c r="E270" i="23"/>
  <c r="K268" i="23"/>
  <c r="M268" i="23" l="1"/>
  <c r="G271" i="23"/>
  <c r="H271" i="23" s="1"/>
  <c r="E271" i="23"/>
  <c r="K269" i="23"/>
  <c r="O268" i="23"/>
  <c r="N270" i="23"/>
  <c r="F270" i="23"/>
  <c r="X270" i="23" s="1"/>
  <c r="O269" i="23" l="1"/>
  <c r="M269" i="23"/>
  <c r="N271" i="23"/>
  <c r="F271" i="23"/>
  <c r="X271" i="23" s="1"/>
  <c r="K270" i="23"/>
  <c r="G272" i="23"/>
  <c r="H272" i="23" s="1"/>
  <c r="K271" i="23"/>
  <c r="E272" i="23"/>
  <c r="G273" i="23" l="1"/>
  <c r="H273" i="23" s="1"/>
  <c r="E273" i="23"/>
  <c r="O271" i="23"/>
  <c r="O270" i="23"/>
  <c r="M270" i="23"/>
  <c r="M271" i="23" s="1"/>
  <c r="N272" i="23"/>
  <c r="F272" i="23"/>
  <c r="X272" i="23" s="1"/>
  <c r="K272" i="23" l="1"/>
  <c r="O272" i="23" s="1"/>
  <c r="F273" i="23"/>
  <c r="X273" i="23" s="1"/>
  <c r="N273" i="23"/>
  <c r="G274" i="23"/>
  <c r="H274" i="23" s="1"/>
  <c r="E274" i="23"/>
  <c r="M272" i="23" l="1"/>
  <c r="K273" i="23"/>
  <c r="G275" i="23"/>
  <c r="H275" i="23" s="1"/>
  <c r="E275" i="23"/>
  <c r="N274" i="23"/>
  <c r="F274" i="23"/>
  <c r="X274" i="23" s="1"/>
  <c r="M273" i="23" l="1"/>
  <c r="K274" i="23"/>
  <c r="G276" i="23"/>
  <c r="H276" i="23" s="1"/>
  <c r="E276" i="23"/>
  <c r="N275" i="23"/>
  <c r="F275" i="23"/>
  <c r="X275" i="23" s="1"/>
  <c r="O273" i="23"/>
  <c r="M274" i="23" l="1"/>
  <c r="O274" i="23"/>
  <c r="G277" i="23"/>
  <c r="H277" i="23" s="1"/>
  <c r="E277" i="23"/>
  <c r="N276" i="23"/>
  <c r="F276" i="23"/>
  <c r="X276" i="23" s="1"/>
  <c r="K275" i="23"/>
  <c r="K276" i="23" l="1"/>
  <c r="O275" i="23"/>
  <c r="M275" i="23"/>
  <c r="F277" i="23"/>
  <c r="X277" i="23" s="1"/>
  <c r="N277" i="23"/>
  <c r="G278" i="23"/>
  <c r="H278" i="23" s="1"/>
  <c r="E278" i="23"/>
  <c r="M276" i="23" l="1"/>
  <c r="O276" i="23"/>
  <c r="N278" i="23"/>
  <c r="F278" i="23"/>
  <c r="X278" i="23" s="1"/>
  <c r="G279" i="23"/>
  <c r="H279" i="23" s="1"/>
  <c r="E279" i="23"/>
  <c r="K277" i="23"/>
  <c r="O277" i="23" l="1"/>
  <c r="G280" i="23"/>
  <c r="H280" i="23" s="1"/>
  <c r="E280" i="23"/>
  <c r="N279" i="23"/>
  <c r="F279" i="23"/>
  <c r="X279" i="23" s="1"/>
  <c r="K278" i="23"/>
  <c r="M277" i="23"/>
  <c r="M278" i="23" l="1"/>
  <c r="K279" i="23"/>
  <c r="F280" i="23"/>
  <c r="X280" i="23" s="1"/>
  <c r="N280" i="23"/>
  <c r="G281" i="23"/>
  <c r="H281" i="23" s="1"/>
  <c r="E281" i="23"/>
  <c r="O278" i="23"/>
  <c r="O279" i="23" l="1"/>
  <c r="M279" i="23"/>
  <c r="F281" i="23"/>
  <c r="X281" i="23" s="1"/>
  <c r="N281" i="23"/>
  <c r="G282" i="23"/>
  <c r="H282" i="23" s="1"/>
  <c r="E282" i="23"/>
  <c r="K280" i="23"/>
  <c r="M280" i="23" l="1"/>
  <c r="O280" i="23"/>
  <c r="N282" i="23"/>
  <c r="F282" i="23"/>
  <c r="X282" i="23" s="1"/>
  <c r="G283" i="23"/>
  <c r="H283" i="23" s="1"/>
  <c r="E283" i="23"/>
  <c r="K281" i="23"/>
  <c r="M281" i="23" l="1"/>
  <c r="N283" i="23"/>
  <c r="F283" i="23"/>
  <c r="X283" i="23" s="1"/>
  <c r="K282" i="23"/>
  <c r="G284" i="23"/>
  <c r="H284" i="23" s="1"/>
  <c r="E284" i="23"/>
  <c r="O281" i="23"/>
  <c r="M282" i="23" l="1"/>
  <c r="G285" i="23"/>
  <c r="H285" i="23" s="1"/>
  <c r="E285" i="23"/>
  <c r="K283" i="23"/>
  <c r="N284" i="23"/>
  <c r="F284" i="23"/>
  <c r="X284" i="23" s="1"/>
  <c r="O282" i="23"/>
  <c r="M283" i="23" l="1"/>
  <c r="K284" i="23"/>
  <c r="O283" i="23"/>
  <c r="F285" i="23"/>
  <c r="X285" i="23" s="1"/>
  <c r="N285" i="23"/>
  <c r="G286" i="23"/>
  <c r="H286" i="23" s="1"/>
  <c r="E286" i="23"/>
  <c r="M284" i="23" l="1"/>
  <c r="O284" i="23"/>
  <c r="K285" i="23"/>
  <c r="F286" i="23"/>
  <c r="X286" i="23" s="1"/>
  <c r="N286" i="23"/>
  <c r="G287" i="23"/>
  <c r="H287" i="23" s="1"/>
  <c r="E287" i="23"/>
  <c r="O285" i="23" l="1"/>
  <c r="M285" i="23"/>
  <c r="F287" i="23"/>
  <c r="X287" i="23" s="1"/>
  <c r="N287" i="23"/>
  <c r="G288" i="23"/>
  <c r="H288" i="23" s="1"/>
  <c r="E288" i="23"/>
  <c r="K286" i="23"/>
  <c r="M286" i="23" l="1"/>
  <c r="O286" i="23"/>
  <c r="F288" i="23"/>
  <c r="X288" i="23" s="1"/>
  <c r="N288" i="23"/>
  <c r="K287" i="23"/>
  <c r="G289" i="23"/>
  <c r="H289" i="23" s="1"/>
  <c r="E289" i="23"/>
  <c r="K288" i="23" l="1"/>
  <c r="G290" i="23"/>
  <c r="H290" i="23" s="1"/>
  <c r="E290" i="23"/>
  <c r="O287" i="23"/>
  <c r="F289" i="23"/>
  <c r="X289" i="23" s="1"/>
  <c r="N289" i="23"/>
  <c r="M287" i="23"/>
  <c r="O288" i="23" l="1"/>
  <c r="M288" i="23"/>
  <c r="K289" i="23"/>
  <c r="O289" i="23" s="1"/>
  <c r="F290" i="23"/>
  <c r="X290" i="23" s="1"/>
  <c r="N290" i="23"/>
  <c r="G291" i="23"/>
  <c r="H291" i="23" s="1"/>
  <c r="E291" i="23"/>
  <c r="M289" i="23" l="1"/>
  <c r="G292" i="23"/>
  <c r="H292" i="23" s="1"/>
  <c r="E292" i="23"/>
  <c r="K290" i="23"/>
  <c r="F291" i="23"/>
  <c r="X291" i="23" s="1"/>
  <c r="N291" i="23"/>
  <c r="K291" i="23" l="1"/>
  <c r="O290" i="23"/>
  <c r="M290" i="23"/>
  <c r="F292" i="23"/>
  <c r="X292" i="23" s="1"/>
  <c r="N292" i="23"/>
  <c r="G293" i="23"/>
  <c r="H293" i="23" s="1"/>
  <c r="E293" i="23"/>
  <c r="M291" i="23" l="1"/>
  <c r="O291" i="23"/>
  <c r="K292" i="23"/>
  <c r="N293" i="23"/>
  <c r="F293" i="23"/>
  <c r="X293" i="23" s="1"/>
  <c r="G294" i="23"/>
  <c r="H294" i="23" s="1"/>
  <c r="E294" i="23"/>
  <c r="M292" i="23" l="1"/>
  <c r="O292" i="23"/>
  <c r="G295" i="23"/>
  <c r="H295" i="23" s="1"/>
  <c r="E295" i="23"/>
  <c r="K293" i="23"/>
  <c r="N294" i="23"/>
  <c r="F294" i="23"/>
  <c r="X294" i="23" s="1"/>
  <c r="K294" i="23" l="1"/>
  <c r="O293" i="23"/>
  <c r="F295" i="23"/>
  <c r="X295" i="23" s="1"/>
  <c r="N295" i="23"/>
  <c r="G296" i="23"/>
  <c r="H296" i="23" s="1"/>
  <c r="E296" i="23"/>
  <c r="M293" i="23"/>
  <c r="O294" i="23" l="1"/>
  <c r="M294" i="23"/>
  <c r="K295" i="23"/>
  <c r="G297" i="23"/>
  <c r="H297" i="23" s="1"/>
  <c r="E297" i="23"/>
  <c r="F296" i="23"/>
  <c r="X296" i="23" s="1"/>
  <c r="N296" i="23"/>
  <c r="M295" i="23" l="1"/>
  <c r="O295" i="23"/>
  <c r="F297" i="23"/>
  <c r="X297" i="23" s="1"/>
  <c r="N297" i="23"/>
  <c r="K296" i="23"/>
  <c r="G298" i="23"/>
  <c r="H298" i="23" s="1"/>
  <c r="E298" i="23"/>
  <c r="F298" i="23" l="1"/>
  <c r="X298" i="23" s="1"/>
  <c r="N298" i="23"/>
  <c r="O296" i="23"/>
  <c r="G299" i="23"/>
  <c r="H299" i="23" s="1"/>
  <c r="E299" i="23"/>
  <c r="K297" i="23"/>
  <c r="M296" i="23"/>
  <c r="M297" i="23" l="1"/>
  <c r="G300" i="23"/>
  <c r="H300" i="23" s="1"/>
  <c r="E300" i="23"/>
  <c r="F299" i="23"/>
  <c r="X299" i="23" s="1"/>
  <c r="N299" i="23"/>
  <c r="K298" i="23"/>
  <c r="O297" i="23"/>
  <c r="M298" i="23" l="1"/>
  <c r="K299" i="23"/>
  <c r="O299" i="23" s="1"/>
  <c r="O298" i="23"/>
  <c r="F300" i="23"/>
  <c r="X300" i="23" s="1"/>
  <c r="N300" i="23"/>
  <c r="G301" i="23"/>
  <c r="H301" i="23" s="1"/>
  <c r="E301" i="23"/>
  <c r="M299" i="23" l="1"/>
  <c r="K300" i="23"/>
  <c r="G302" i="23"/>
  <c r="H302" i="23" s="1"/>
  <c r="E302" i="23"/>
  <c r="N301" i="23"/>
  <c r="F301" i="23"/>
  <c r="X301" i="23" s="1"/>
  <c r="M300" i="23" l="1"/>
  <c r="O300" i="23"/>
  <c r="N302" i="23"/>
  <c r="F302" i="23"/>
  <c r="X302" i="23" s="1"/>
  <c r="K301" i="23"/>
  <c r="G303" i="23"/>
  <c r="H303" i="23" s="1"/>
  <c r="E303" i="23"/>
  <c r="G304" i="23" l="1"/>
  <c r="H304" i="23" s="1"/>
  <c r="E304" i="23"/>
  <c r="F303" i="23"/>
  <c r="X303" i="23" s="1"/>
  <c r="N303" i="23"/>
  <c r="M301" i="23"/>
  <c r="O301" i="23"/>
  <c r="K302" i="23"/>
  <c r="M302" i="23" l="1"/>
  <c r="K303" i="23"/>
  <c r="F304" i="23"/>
  <c r="X304" i="23" s="1"/>
  <c r="N304" i="23"/>
  <c r="O302" i="23"/>
  <c r="G305" i="23"/>
  <c r="H305" i="23" s="1"/>
  <c r="E305" i="23"/>
  <c r="O303" i="23" l="1"/>
  <c r="M303" i="23"/>
  <c r="K304" i="23"/>
  <c r="N305" i="23"/>
  <c r="F305" i="23"/>
  <c r="X305" i="23" s="1"/>
  <c r="G306" i="23"/>
  <c r="H306" i="23" s="1"/>
  <c r="E306" i="23"/>
  <c r="O304" i="23" l="1"/>
  <c r="M304" i="23"/>
  <c r="N306" i="23"/>
  <c r="F306" i="23"/>
  <c r="X306" i="23" s="1"/>
  <c r="K305" i="23"/>
  <c r="G307" i="23"/>
  <c r="H307" i="23" s="1"/>
  <c r="E307" i="23"/>
  <c r="F307" i="23" l="1"/>
  <c r="X307" i="23" s="1"/>
  <c r="N307" i="23"/>
  <c r="G308" i="23"/>
  <c r="H308" i="23" s="1"/>
  <c r="E308" i="23"/>
  <c r="M305" i="23"/>
  <c r="O305" i="23"/>
  <c r="K306" i="23"/>
  <c r="K307" i="23" l="1"/>
  <c r="G309" i="23"/>
  <c r="H309" i="23" s="1"/>
  <c r="E309" i="23"/>
  <c r="M306" i="23"/>
  <c r="O306" i="23"/>
  <c r="F308" i="23"/>
  <c r="X308" i="23" s="1"/>
  <c r="N308" i="23"/>
  <c r="M307" i="23" l="1"/>
  <c r="F309" i="23"/>
  <c r="X309" i="23" s="1"/>
  <c r="N309" i="23"/>
  <c r="G310" i="23"/>
  <c r="H310" i="23" s="1"/>
  <c r="E310" i="23"/>
  <c r="K308" i="23"/>
  <c r="O307" i="23"/>
  <c r="O308" i="23" l="1"/>
  <c r="G311" i="23"/>
  <c r="H311" i="23" s="1"/>
  <c r="E311" i="23"/>
  <c r="K309" i="23"/>
  <c r="N310" i="23"/>
  <c r="F310" i="23"/>
  <c r="X310" i="23" s="1"/>
  <c r="M308" i="23"/>
  <c r="O309" i="23" l="1"/>
  <c r="F311" i="23"/>
  <c r="X311" i="23" s="1"/>
  <c r="N311" i="23"/>
  <c r="G312" i="23"/>
  <c r="H312" i="23" s="1"/>
  <c r="E312" i="23"/>
  <c r="M309" i="23"/>
  <c r="K310" i="23"/>
  <c r="N312" i="23" l="1"/>
  <c r="F312" i="23"/>
  <c r="X312" i="23" s="1"/>
  <c r="G313" i="23"/>
  <c r="H313" i="23" s="1"/>
  <c r="E313" i="23"/>
  <c r="O310" i="23"/>
  <c r="K311" i="23"/>
  <c r="M310" i="23"/>
  <c r="F313" i="23" l="1"/>
  <c r="X313" i="23" s="1"/>
  <c r="N313" i="23"/>
  <c r="G314" i="23"/>
  <c r="H314" i="23" s="1"/>
  <c r="E314" i="23"/>
  <c r="K312" i="23"/>
  <c r="M311" i="23"/>
  <c r="O311" i="23"/>
  <c r="M312" i="23" l="1"/>
  <c r="N314" i="23"/>
  <c r="F314" i="23"/>
  <c r="X314" i="23" s="1"/>
  <c r="G315" i="23"/>
  <c r="H315" i="23" s="1"/>
  <c r="E315" i="23"/>
  <c r="K313" i="23"/>
  <c r="O312" i="23"/>
  <c r="M313" i="23" l="1"/>
  <c r="O313" i="23"/>
  <c r="F315" i="23"/>
  <c r="X315" i="23" s="1"/>
  <c r="N315" i="23"/>
  <c r="G316" i="23"/>
  <c r="H316" i="23" s="1"/>
  <c r="E316" i="23"/>
  <c r="K314" i="23"/>
  <c r="M314" i="23" l="1"/>
  <c r="K315" i="23"/>
  <c r="G317" i="23"/>
  <c r="H317" i="23" s="1"/>
  <c r="E317" i="23"/>
  <c r="N316" i="23"/>
  <c r="F316" i="23"/>
  <c r="X316" i="23" s="1"/>
  <c r="O314" i="23"/>
  <c r="O315" i="23" l="1"/>
  <c r="M315" i="23"/>
  <c r="N317" i="23"/>
  <c r="F317" i="23"/>
  <c r="X317" i="23" s="1"/>
  <c r="G318" i="23"/>
  <c r="H318" i="23" s="1"/>
  <c r="E318" i="23"/>
  <c r="K316" i="23"/>
  <c r="N318" i="23" l="1"/>
  <c r="F318" i="23"/>
  <c r="X318" i="23" s="1"/>
  <c r="O316" i="23"/>
  <c r="M316" i="23"/>
  <c r="G319" i="23"/>
  <c r="H319" i="23" s="1"/>
  <c r="E319" i="23"/>
  <c r="K317" i="23"/>
  <c r="M317" i="23" l="1"/>
  <c r="G320" i="23"/>
  <c r="H320" i="23" s="1"/>
  <c r="E320" i="23"/>
  <c r="K318" i="23"/>
  <c r="O317" i="23"/>
  <c r="F319" i="23"/>
  <c r="X319" i="23" s="1"/>
  <c r="N319" i="23"/>
  <c r="M318" i="23" l="1"/>
  <c r="O318" i="23"/>
  <c r="F320" i="23"/>
  <c r="X320" i="23" s="1"/>
  <c r="N320" i="23"/>
  <c r="K319" i="23"/>
  <c r="G321" i="23"/>
  <c r="H321" i="23" s="1"/>
  <c r="E321" i="23"/>
  <c r="K320" i="23" l="1"/>
  <c r="O319" i="23"/>
  <c r="F321" i="23"/>
  <c r="X321" i="23" s="1"/>
  <c r="N321" i="23"/>
  <c r="G322" i="23"/>
  <c r="H322" i="23" s="1"/>
  <c r="E322" i="23"/>
  <c r="M319" i="23"/>
  <c r="M320" i="23" l="1"/>
  <c r="O320" i="23"/>
  <c r="K321" i="23"/>
  <c r="F322" i="23"/>
  <c r="X322" i="23" s="1"/>
  <c r="N322" i="23"/>
  <c r="G323" i="23"/>
  <c r="H323" i="23" s="1"/>
  <c r="E323" i="23"/>
  <c r="O321" i="23" l="1"/>
  <c r="M321" i="23"/>
  <c r="G324" i="23"/>
  <c r="H324" i="23" s="1"/>
  <c r="E324" i="23"/>
  <c r="K322" i="23"/>
  <c r="N323" i="23"/>
  <c r="F323" i="23"/>
  <c r="X323" i="23" s="1"/>
  <c r="K323" i="23" l="1"/>
  <c r="O322" i="23"/>
  <c r="M322" i="23"/>
  <c r="F324" i="23"/>
  <c r="X324" i="23" s="1"/>
  <c r="N324" i="23"/>
  <c r="G325" i="23"/>
  <c r="H325" i="23" s="1"/>
  <c r="E325" i="23"/>
  <c r="M323" i="23" l="1"/>
  <c r="O323" i="23"/>
  <c r="K324" i="23"/>
  <c r="N325" i="23"/>
  <c r="F325" i="23"/>
  <c r="X325" i="23" s="1"/>
  <c r="G326" i="23"/>
  <c r="H326" i="23" s="1"/>
  <c r="E326" i="23"/>
  <c r="O324" i="23" l="1"/>
  <c r="M324" i="23"/>
  <c r="K325" i="23"/>
  <c r="G327" i="23"/>
  <c r="H327" i="23" s="1"/>
  <c r="E327" i="23"/>
  <c r="N326" i="23"/>
  <c r="F326" i="23"/>
  <c r="X326" i="23" s="1"/>
  <c r="O325" i="23" l="1"/>
  <c r="M325" i="23"/>
  <c r="F327" i="23"/>
  <c r="X327" i="23" s="1"/>
  <c r="N327" i="23"/>
  <c r="G328" i="23"/>
  <c r="H328" i="23" s="1"/>
  <c r="E328" i="23"/>
  <c r="K326" i="23"/>
  <c r="O326" i="23" l="1"/>
  <c r="F328" i="23"/>
  <c r="X328" i="23" s="1"/>
  <c r="N328" i="23"/>
  <c r="G329" i="23"/>
  <c r="H329" i="23" s="1"/>
  <c r="E329" i="23"/>
  <c r="K327" i="23"/>
  <c r="M326" i="23"/>
  <c r="M327" i="23" l="1"/>
  <c r="F329" i="23"/>
  <c r="X329" i="23" s="1"/>
  <c r="N329" i="23"/>
  <c r="G330" i="23"/>
  <c r="H330" i="23" s="1"/>
  <c r="E330" i="23"/>
  <c r="K328" i="23"/>
  <c r="O327" i="23"/>
  <c r="M328" i="23" l="1"/>
  <c r="O328" i="23"/>
  <c r="G331" i="23"/>
  <c r="H331" i="23" s="1"/>
  <c r="E331" i="23"/>
  <c r="K329" i="23"/>
  <c r="F330" i="23"/>
  <c r="X330" i="23" s="1"/>
  <c r="N330" i="23"/>
  <c r="O329" i="23" l="1"/>
  <c r="M329" i="23"/>
  <c r="G332" i="23"/>
  <c r="H332" i="23" s="1"/>
  <c r="E332" i="23"/>
  <c r="F331" i="23"/>
  <c r="X331" i="23" s="1"/>
  <c r="N331" i="23"/>
  <c r="K330" i="23"/>
  <c r="M330" i="23" l="1"/>
  <c r="N332" i="23"/>
  <c r="F332" i="23"/>
  <c r="X332" i="23" s="1"/>
  <c r="G333" i="23"/>
  <c r="H333" i="23" s="1"/>
  <c r="E333" i="23"/>
  <c r="O330" i="23"/>
  <c r="K331" i="23"/>
  <c r="M331" i="23" l="1"/>
  <c r="N333" i="23"/>
  <c r="F333" i="23"/>
  <c r="X333" i="23" s="1"/>
  <c r="G334" i="23"/>
  <c r="H334" i="23" s="1"/>
  <c r="E334" i="23"/>
  <c r="K332" i="23"/>
  <c r="O331" i="23"/>
  <c r="N334" i="23" l="1"/>
  <c r="F334" i="23"/>
  <c r="X334" i="23" s="1"/>
  <c r="K333" i="23"/>
  <c r="M332" i="23"/>
  <c r="O332" i="23"/>
  <c r="G335" i="23"/>
  <c r="H335" i="23" s="1"/>
  <c r="E335" i="23"/>
  <c r="M333" i="23" l="1"/>
  <c r="O333" i="23"/>
  <c r="K334" i="23"/>
  <c r="G336" i="23"/>
  <c r="H336" i="23" s="1"/>
  <c r="E336" i="23"/>
  <c r="N335" i="23"/>
  <c r="F335" i="23"/>
  <c r="X335" i="23" s="1"/>
  <c r="G337" i="23" l="1"/>
  <c r="H337" i="23" s="1"/>
  <c r="E337" i="23"/>
  <c r="F336" i="23"/>
  <c r="X336" i="23" s="1"/>
  <c r="N336" i="23"/>
  <c r="O334" i="23"/>
  <c r="K335" i="23"/>
  <c r="M334" i="23"/>
  <c r="M335" i="23" l="1"/>
  <c r="K336" i="23"/>
  <c r="N337" i="23"/>
  <c r="F337" i="23"/>
  <c r="X337" i="23" s="1"/>
  <c r="O335" i="23"/>
  <c r="G338" i="23"/>
  <c r="H338" i="23" s="1"/>
  <c r="E338" i="23"/>
  <c r="M336" i="23" l="1"/>
  <c r="O336" i="23"/>
  <c r="K337" i="23"/>
  <c r="N338" i="23"/>
  <c r="F338" i="23"/>
  <c r="X338" i="23" s="1"/>
  <c r="G339" i="23"/>
  <c r="H339" i="23" s="1"/>
  <c r="E339" i="23"/>
  <c r="O337" i="23" l="1"/>
  <c r="M337" i="23"/>
  <c r="F339" i="23"/>
  <c r="X339" i="23" s="1"/>
  <c r="N339" i="23"/>
  <c r="G340" i="23"/>
  <c r="H340" i="23" s="1"/>
  <c r="E340" i="23"/>
  <c r="K338" i="23"/>
  <c r="O338" i="23" l="1"/>
  <c r="G341" i="23"/>
  <c r="H341" i="23" s="1"/>
  <c r="E341" i="23"/>
  <c r="K339" i="23"/>
  <c r="F340" i="23"/>
  <c r="X340" i="23" s="1"/>
  <c r="N340" i="23"/>
  <c r="M338" i="23"/>
  <c r="N341" i="23" l="1"/>
  <c r="F341" i="23"/>
  <c r="X341" i="23" s="1"/>
  <c r="G342" i="23"/>
  <c r="H342" i="23" s="1"/>
  <c r="E342" i="23"/>
  <c r="M339" i="23"/>
  <c r="O339" i="23"/>
  <c r="K340" i="23"/>
  <c r="M340" i="23" l="1"/>
  <c r="G343" i="23"/>
  <c r="H343" i="23" s="1"/>
  <c r="E343" i="23"/>
  <c r="N342" i="23"/>
  <c r="N22" i="23" s="1"/>
  <c r="N21" i="23" s="1"/>
  <c r="F342" i="23"/>
  <c r="X342" i="23" s="1"/>
  <c r="K341" i="23"/>
  <c r="O340" i="23"/>
  <c r="X20" i="23" l="1"/>
  <c r="X19" i="23" s="1"/>
  <c r="GP101" i="1" s="1"/>
  <c r="K342" i="23"/>
  <c r="M341" i="23"/>
  <c r="F343" i="23"/>
  <c r="N343" i="23"/>
  <c r="O341" i="23"/>
  <c r="G344" i="23"/>
  <c r="H344" i="23" s="1"/>
  <c r="E344" i="23"/>
  <c r="O342" i="23" l="1"/>
  <c r="M342" i="23"/>
  <c r="K343" i="23"/>
  <c r="N344" i="23"/>
  <c r="F344" i="23"/>
  <c r="G345" i="23"/>
  <c r="H345" i="23" s="1"/>
  <c r="E345" i="23"/>
  <c r="M343" i="23" l="1"/>
  <c r="O343" i="23"/>
  <c r="K344" i="23"/>
  <c r="G346" i="23"/>
  <c r="H346" i="23" s="1"/>
  <c r="E346" i="23"/>
  <c r="N345" i="23"/>
  <c r="F345" i="23"/>
  <c r="M344" i="23" l="1"/>
  <c r="N346" i="23"/>
  <c r="F346" i="23"/>
  <c r="G347" i="23"/>
  <c r="H347" i="23" s="1"/>
  <c r="E347" i="23"/>
  <c r="K345" i="23"/>
  <c r="O344" i="23"/>
  <c r="G348" i="23" l="1"/>
  <c r="H348" i="23" s="1"/>
  <c r="E348" i="23"/>
  <c r="F347" i="23"/>
  <c r="N347" i="23"/>
  <c r="K346" i="23"/>
  <c r="M345" i="23"/>
  <c r="O345" i="23"/>
  <c r="M346" i="23" l="1"/>
  <c r="K347" i="23"/>
  <c r="O346" i="23"/>
  <c r="N348" i="23"/>
  <c r="F348" i="23"/>
  <c r="G349" i="23"/>
  <c r="H349" i="23" s="1"/>
  <c r="E349" i="23"/>
  <c r="K348" i="23" l="1"/>
  <c r="G350" i="23"/>
  <c r="H350" i="23" s="1"/>
  <c r="E350" i="23"/>
  <c r="N349" i="23"/>
  <c r="F349" i="23"/>
  <c r="O347" i="23"/>
  <c r="M347" i="23"/>
  <c r="M348" i="23" l="1"/>
  <c r="O348" i="23"/>
  <c r="K349" i="23"/>
  <c r="F350" i="23"/>
  <c r="N350" i="23"/>
  <c r="G351" i="23"/>
  <c r="H351" i="23" s="1"/>
  <c r="E351" i="23"/>
  <c r="M349" i="23" l="1"/>
  <c r="K350" i="23"/>
  <c r="O349" i="23"/>
  <c r="G352" i="23"/>
  <c r="H352" i="23" s="1"/>
  <c r="E352" i="23"/>
  <c r="F351" i="23"/>
  <c r="N351" i="23"/>
  <c r="M350" i="23" l="1"/>
  <c r="O350" i="23"/>
  <c r="K351" i="23"/>
  <c r="N352" i="23"/>
  <c r="F352" i="23"/>
  <c r="G353" i="23"/>
  <c r="H353" i="23" s="1"/>
  <c r="E353" i="23"/>
  <c r="M351" i="23" l="1"/>
  <c r="O351" i="23"/>
  <c r="K352" i="23"/>
  <c r="N353" i="23"/>
  <c r="F353" i="23"/>
  <c r="G354" i="23"/>
  <c r="H354" i="23" s="1"/>
  <c r="E354" i="23"/>
  <c r="M352" i="23" l="1"/>
  <c r="O352" i="23"/>
  <c r="G355" i="23"/>
  <c r="H355" i="23" s="1"/>
  <c r="E355" i="23"/>
  <c r="N354" i="23"/>
  <c r="F354" i="23"/>
  <c r="K353" i="23"/>
  <c r="K354" i="23" l="1"/>
  <c r="O353" i="23"/>
  <c r="M353" i="23"/>
  <c r="N355" i="23"/>
  <c r="F355" i="23"/>
  <c r="G356" i="23"/>
  <c r="H356" i="23" s="1"/>
  <c r="E356" i="23"/>
  <c r="M354" i="23" l="1"/>
  <c r="O354" i="23"/>
  <c r="K355" i="23"/>
  <c r="N356" i="23"/>
  <c r="F356" i="23"/>
  <c r="G357" i="23"/>
  <c r="H357" i="23" s="1"/>
  <c r="E357" i="23"/>
  <c r="O355" i="23" l="1"/>
  <c r="M355" i="23"/>
  <c r="G358" i="23"/>
  <c r="H358" i="23" s="1"/>
  <c r="E358" i="23"/>
  <c r="K356" i="23"/>
  <c r="F357" i="23"/>
  <c r="N357" i="23"/>
  <c r="M356" i="23" l="1"/>
  <c r="K357" i="23"/>
  <c r="O357" i="23" s="1"/>
  <c r="O356" i="23"/>
  <c r="F358" i="23"/>
  <c r="N358" i="23"/>
  <c r="G359" i="23"/>
  <c r="H359" i="23" s="1"/>
  <c r="E359" i="23"/>
  <c r="M357" i="23" l="1"/>
  <c r="K358" i="23"/>
  <c r="O358" i="23" s="1"/>
  <c r="F359" i="23"/>
  <c r="N359" i="23"/>
  <c r="G360" i="23"/>
  <c r="H360" i="23" s="1"/>
  <c r="E360" i="23"/>
  <c r="M358" i="23" l="1"/>
  <c r="K359" i="23"/>
  <c r="G361" i="23"/>
  <c r="H361" i="23" s="1"/>
  <c r="E361" i="23"/>
  <c r="F360" i="23"/>
  <c r="N360" i="23"/>
  <c r="K360" i="23" l="1"/>
  <c r="G362" i="23"/>
  <c r="H362" i="23" s="1"/>
  <c r="E362" i="23"/>
  <c r="F361" i="23"/>
  <c r="N361" i="23"/>
  <c r="O359" i="23"/>
  <c r="M359" i="23"/>
  <c r="M360" i="23" l="1"/>
  <c r="K361" i="23"/>
  <c r="F362" i="23"/>
  <c r="N362" i="23"/>
  <c r="G363" i="23"/>
  <c r="H363" i="23" s="1"/>
  <c r="E363" i="23"/>
  <c r="O360" i="23"/>
  <c r="M361" i="23" l="1"/>
  <c r="O361" i="23"/>
  <c r="K362" i="23"/>
  <c r="G364" i="23"/>
  <c r="H364" i="23" s="1"/>
  <c r="E364" i="23"/>
  <c r="F363" i="23"/>
  <c r="N363" i="23"/>
  <c r="K363" i="23" l="1"/>
  <c r="G365" i="23"/>
  <c r="H365" i="23" s="1"/>
  <c r="E365" i="23"/>
  <c r="O362" i="23"/>
  <c r="N364" i="23"/>
  <c r="F364" i="23"/>
  <c r="M362" i="23"/>
  <c r="M363" i="23" l="1"/>
  <c r="O363" i="23"/>
  <c r="F365" i="23"/>
  <c r="N365" i="23"/>
  <c r="G366" i="23"/>
  <c r="H366" i="23" s="1"/>
  <c r="E366" i="23"/>
  <c r="K364" i="23"/>
  <c r="F366" i="23" l="1"/>
  <c r="N366" i="23"/>
  <c r="G367" i="23"/>
  <c r="H367" i="23" s="1"/>
  <c r="E367" i="23"/>
  <c r="K365" i="23"/>
  <c r="M364" i="23"/>
  <c r="O364" i="23"/>
  <c r="M365" i="23" l="1"/>
  <c r="N367" i="23"/>
  <c r="F367" i="23"/>
  <c r="G368" i="23"/>
  <c r="H368" i="23" s="1"/>
  <c r="E368" i="23"/>
  <c r="K366" i="23"/>
  <c r="O365" i="23"/>
  <c r="O366" i="23" l="1"/>
  <c r="G369" i="23"/>
  <c r="H369" i="23" s="1"/>
  <c r="E369" i="23"/>
  <c r="M366" i="23"/>
  <c r="K367" i="23"/>
  <c r="F368" i="23"/>
  <c r="N368" i="23"/>
  <c r="M367" i="23" l="1"/>
  <c r="G370" i="23"/>
  <c r="H370" i="23" s="1"/>
  <c r="E370" i="23"/>
  <c r="N369" i="23"/>
  <c r="F369" i="23"/>
  <c r="K368" i="23"/>
  <c r="O367" i="23"/>
  <c r="N370" i="23" l="1"/>
  <c r="F370" i="23"/>
  <c r="O368" i="23"/>
  <c r="G371" i="23"/>
  <c r="H371" i="23" s="1"/>
  <c r="E371" i="23"/>
  <c r="K369" i="23"/>
  <c r="M368" i="23"/>
  <c r="M369" i="23" l="1"/>
  <c r="G372" i="23"/>
  <c r="H372" i="23" s="1"/>
  <c r="E372" i="23"/>
  <c r="K370" i="23"/>
  <c r="F371" i="23"/>
  <c r="N371" i="23"/>
  <c r="O369" i="23"/>
  <c r="K371" i="23" l="1"/>
  <c r="M370" i="23"/>
  <c r="O370" i="23"/>
  <c r="N372" i="23"/>
  <c r="F372" i="23"/>
  <c r="G373" i="23"/>
  <c r="H373" i="23" s="1"/>
  <c r="E373" i="23"/>
  <c r="F25" i="18"/>
  <c r="M371" i="23" l="1"/>
  <c r="O371" i="23"/>
  <c r="N373" i="23"/>
  <c r="F373" i="23"/>
  <c r="G374" i="23"/>
  <c r="H374" i="23" s="1"/>
  <c r="E374" i="23"/>
  <c r="K372" i="23"/>
  <c r="F374" i="23" l="1"/>
  <c r="N374" i="23"/>
  <c r="G375" i="23"/>
  <c r="H375" i="23" s="1"/>
  <c r="E375" i="23"/>
  <c r="K373" i="23"/>
  <c r="M372" i="23"/>
  <c r="O372" i="23"/>
  <c r="M373" i="23" l="1"/>
  <c r="G376" i="23"/>
  <c r="H376" i="23" s="1"/>
  <c r="E376" i="23"/>
  <c r="K374" i="23"/>
  <c r="F375" i="23"/>
  <c r="N375" i="23"/>
  <c r="O373" i="23"/>
  <c r="M374" i="23" l="1"/>
  <c r="K375" i="23"/>
  <c r="O375" i="23" s="1"/>
  <c r="O374" i="23"/>
  <c r="N376" i="23"/>
  <c r="F376" i="23"/>
  <c r="G377" i="23"/>
  <c r="H377" i="23" s="1"/>
  <c r="E377" i="23"/>
  <c r="M375" i="23" l="1"/>
  <c r="K376" i="23"/>
  <c r="N377" i="23"/>
  <c r="F377" i="23"/>
  <c r="G378" i="23"/>
  <c r="H378" i="23" s="1"/>
  <c r="E378" i="23"/>
  <c r="K377" i="23" l="1"/>
  <c r="F378" i="23"/>
  <c r="N378" i="23"/>
  <c r="G379" i="23"/>
  <c r="H379" i="23" s="1"/>
  <c r="E379" i="23"/>
  <c r="O376" i="23"/>
  <c r="M376" i="23"/>
  <c r="O377" i="23" l="1"/>
  <c r="M377" i="23"/>
  <c r="G380" i="23"/>
  <c r="H380" i="23" s="1"/>
  <c r="E380" i="23"/>
  <c r="K378" i="23"/>
  <c r="F379" i="23"/>
  <c r="N379" i="23"/>
  <c r="K379" i="23" l="1"/>
  <c r="M378" i="23"/>
  <c r="O378" i="23"/>
  <c r="N380" i="23"/>
  <c r="F380" i="23"/>
  <c r="G381" i="23"/>
  <c r="H381" i="23" s="1"/>
  <c r="E381" i="23"/>
  <c r="O379" i="23" l="1"/>
  <c r="M379" i="23"/>
  <c r="K380" i="23"/>
  <c r="G382" i="23"/>
  <c r="H382" i="23" s="1"/>
  <c r="E382" i="23"/>
  <c r="N381" i="23"/>
  <c r="F381" i="23"/>
  <c r="M380" i="23" l="1"/>
  <c r="F382" i="23"/>
  <c r="N382" i="23"/>
  <c r="K381" i="23"/>
  <c r="O380" i="23"/>
  <c r="M381" i="23" l="1"/>
  <c r="O381" i="23"/>
  <c r="K382" i="23"/>
  <c r="D14" i="23" l="1"/>
  <c r="O382" i="23"/>
  <c r="D18" i="23" s="1"/>
  <c r="M382" i="23"/>
  <c r="CZ101" i="1" l="1"/>
  <c r="I90" i="16"/>
  <c r="J90" i="16" s="1"/>
  <c r="K20" i="16" s="1"/>
  <c r="J22" i="16" s="1"/>
  <c r="O18" i="23"/>
  <c r="K22" i="16" l="1"/>
  <c r="DB101" i="1"/>
  <c r="DC101" i="1" l="1"/>
  <c r="N18" i="23"/>
  <c r="F23" i="21" l="1"/>
  <c r="G34" i="17"/>
  <c r="G35" i="17"/>
  <c r="N35" i="17" s="1"/>
  <c r="N34" i="17" l="1"/>
  <c r="F34" i="17"/>
  <c r="G36" i="17" l="1"/>
  <c r="N36" i="17" s="1"/>
  <c r="F36" i="17" l="1"/>
  <c r="F15" i="1"/>
  <c r="BR101" i="1" s="1"/>
  <c r="F21" i="1"/>
  <c r="F20" i="1" s="1"/>
  <c r="BU101" i="1" s="1"/>
  <c r="D34" i="17"/>
  <c r="E34" i="17"/>
  <c r="J34" i="17"/>
  <c r="D35" i="17"/>
  <c r="E35" i="17"/>
  <c r="J35" i="17"/>
  <c r="M35" i="17" s="1"/>
  <c r="D36" i="17"/>
  <c r="E36" i="17"/>
  <c r="J36" i="17"/>
  <c r="M36" i="17" s="1"/>
  <c r="D37" i="17"/>
  <c r="E37" i="17"/>
  <c r="F37" i="17"/>
  <c r="G37" i="17"/>
  <c r="J37" i="17"/>
  <c r="M37" i="17" s="1"/>
  <c r="D38" i="17"/>
  <c r="E38" i="17"/>
  <c r="F38" i="17"/>
  <c r="G38" i="17"/>
  <c r="N38" i="17" s="1"/>
  <c r="J38" i="17"/>
  <c r="M38" i="17" s="1"/>
  <c r="D39" i="17"/>
  <c r="E39" i="17"/>
  <c r="F39" i="17"/>
  <c r="G39" i="17"/>
  <c r="N39" i="17" s="1"/>
  <c r="J39" i="17"/>
  <c r="M39" i="17" s="1"/>
  <c r="D40" i="17"/>
  <c r="E40" i="17"/>
  <c r="F40" i="17"/>
  <c r="G40" i="17"/>
  <c r="N40" i="17" s="1"/>
  <c r="J40" i="17"/>
  <c r="M40" i="17" s="1"/>
  <c r="D41" i="17"/>
  <c r="E41" i="17"/>
  <c r="F41" i="17"/>
  <c r="G41" i="17"/>
  <c r="N41" i="17" s="1"/>
  <c r="J41" i="17"/>
  <c r="M41" i="17" s="1"/>
  <c r="D42" i="17"/>
  <c r="E42" i="17"/>
  <c r="F42" i="17"/>
  <c r="G42" i="17"/>
  <c r="N42" i="17" s="1"/>
  <c r="J42" i="17"/>
  <c r="M42" i="17" s="1"/>
  <c r="D43" i="17"/>
  <c r="E43" i="17"/>
  <c r="F43" i="17"/>
  <c r="G43" i="17"/>
  <c r="N43" i="17" s="1"/>
  <c r="J43" i="17"/>
  <c r="M43" i="17" s="1"/>
  <c r="D44" i="17"/>
  <c r="E44" i="17"/>
  <c r="F44" i="17"/>
  <c r="G44" i="17"/>
  <c r="N44" i="17" s="1"/>
  <c r="J44" i="17"/>
  <c r="M44" i="17" s="1"/>
  <c r="D45" i="17"/>
  <c r="E45" i="17"/>
  <c r="F45" i="17"/>
  <c r="G45" i="17"/>
  <c r="N45" i="17" s="1"/>
  <c r="J45" i="17"/>
  <c r="M45" i="17" s="1"/>
  <c r="D46" i="17"/>
  <c r="E46" i="17"/>
  <c r="F46" i="17"/>
  <c r="G46" i="17"/>
  <c r="N46" i="17" s="1"/>
  <c r="J46" i="17"/>
  <c r="M46" i="17" s="1"/>
  <c r="D47" i="17"/>
  <c r="E47" i="17"/>
  <c r="F47" i="17"/>
  <c r="G47" i="17"/>
  <c r="N47" i="17" s="1"/>
  <c r="J47" i="17"/>
  <c r="M47" i="17" s="1"/>
  <c r="D48" i="17"/>
  <c r="E48" i="17"/>
  <c r="F48" i="17"/>
  <c r="G48" i="17"/>
  <c r="N48" i="17" s="1"/>
  <c r="J48" i="17"/>
  <c r="M48" i="17" s="1"/>
  <c r="D49" i="17"/>
  <c r="E49" i="17"/>
  <c r="F49" i="17"/>
  <c r="G49" i="17"/>
  <c r="N49" i="17" s="1"/>
  <c r="J49" i="17"/>
  <c r="M49" i="17" s="1"/>
  <c r="D50" i="17"/>
  <c r="E50" i="17"/>
  <c r="F50" i="17"/>
  <c r="G50" i="17"/>
  <c r="N50" i="17" s="1"/>
  <c r="J50" i="17"/>
  <c r="M50" i="17" s="1"/>
  <c r="D51" i="17"/>
  <c r="E51" i="17"/>
  <c r="F51" i="17"/>
  <c r="G51" i="17"/>
  <c r="N51" i="17" s="1"/>
  <c r="J51" i="17"/>
  <c r="M51" i="17" s="1"/>
  <c r="D52" i="17"/>
  <c r="E52" i="17"/>
  <c r="F52" i="17"/>
  <c r="G52" i="17"/>
  <c r="N52" i="17" s="1"/>
  <c r="J52" i="17"/>
  <c r="M52" i="17" s="1"/>
  <c r="D53" i="17"/>
  <c r="E53" i="17"/>
  <c r="F53" i="17"/>
  <c r="G53" i="17"/>
  <c r="N53" i="17" s="1"/>
  <c r="J53" i="17"/>
  <c r="M53" i="17" s="1"/>
  <c r="D54" i="17"/>
  <c r="E54" i="17"/>
  <c r="F54" i="17"/>
  <c r="G54" i="17"/>
  <c r="N54" i="17" s="1"/>
  <c r="J54" i="17"/>
  <c r="M54" i="17" s="1"/>
  <c r="D55" i="17"/>
  <c r="E55" i="17"/>
  <c r="F55" i="17"/>
  <c r="G55" i="17"/>
  <c r="N55" i="17" s="1"/>
  <c r="J55" i="17"/>
  <c r="M55" i="17" s="1"/>
  <c r="D56" i="17"/>
  <c r="E56" i="17"/>
  <c r="F56" i="17"/>
  <c r="G56" i="17"/>
  <c r="N56" i="17" s="1"/>
  <c r="J56" i="17"/>
  <c r="M56" i="17" s="1"/>
  <c r="D57" i="17"/>
  <c r="E57" i="17"/>
  <c r="F57" i="17"/>
  <c r="G57" i="17"/>
  <c r="N57" i="17" s="1"/>
  <c r="J57" i="17"/>
  <c r="M57" i="17" s="1"/>
  <c r="D58" i="17"/>
  <c r="E58" i="17"/>
  <c r="F58" i="17"/>
  <c r="G58" i="17"/>
  <c r="N58" i="17" s="1"/>
  <c r="J58" i="17"/>
  <c r="M58" i="17" s="1"/>
  <c r="D59" i="17"/>
  <c r="E59" i="17"/>
  <c r="F59" i="17"/>
  <c r="G59" i="17"/>
  <c r="N59" i="17" s="1"/>
  <c r="J59" i="17"/>
  <c r="M59" i="17" s="1"/>
  <c r="D60" i="17"/>
  <c r="E60" i="17"/>
  <c r="F60" i="17"/>
  <c r="G60" i="17"/>
  <c r="N60" i="17" s="1"/>
  <c r="J60" i="17"/>
  <c r="M60" i="17" s="1"/>
  <c r="D61" i="17"/>
  <c r="E61" i="17"/>
  <c r="F61" i="17"/>
  <c r="G61" i="17"/>
  <c r="N61" i="17" s="1"/>
  <c r="J61" i="17"/>
  <c r="M61" i="17" s="1"/>
  <c r="D62" i="17"/>
  <c r="E62" i="17"/>
  <c r="F62" i="17"/>
  <c r="G62" i="17"/>
  <c r="N62" i="17" s="1"/>
  <c r="J62" i="17"/>
  <c r="M62" i="17" s="1"/>
  <c r="D63" i="17"/>
  <c r="E63" i="17"/>
  <c r="F63" i="17"/>
  <c r="G63" i="17"/>
  <c r="N63" i="17" s="1"/>
  <c r="J63" i="17"/>
  <c r="M63" i="17" s="1"/>
  <c r="D64" i="17"/>
  <c r="E64" i="17"/>
  <c r="F64" i="17"/>
  <c r="G64" i="17"/>
  <c r="N64" i="17" s="1"/>
  <c r="J64" i="17"/>
  <c r="M64" i="17" s="1"/>
  <c r="D65" i="17"/>
  <c r="E65" i="17"/>
  <c r="F65" i="17"/>
  <c r="G65" i="17"/>
  <c r="N65" i="17" s="1"/>
  <c r="J65" i="17"/>
  <c r="M65" i="17" s="1"/>
  <c r="D66" i="17"/>
  <c r="E66" i="17"/>
  <c r="F66" i="17"/>
  <c r="G66" i="17"/>
  <c r="N66" i="17" s="1"/>
  <c r="J66" i="17"/>
  <c r="M66" i="17" s="1"/>
  <c r="D67" i="17"/>
  <c r="E67" i="17"/>
  <c r="F67" i="17"/>
  <c r="G67" i="17"/>
  <c r="N67" i="17" s="1"/>
  <c r="J67" i="17"/>
  <c r="M67" i="17" s="1"/>
  <c r="D68" i="17"/>
  <c r="E68" i="17"/>
  <c r="F68" i="17"/>
  <c r="G68" i="17"/>
  <c r="N68" i="17" s="1"/>
  <c r="J68" i="17"/>
  <c r="M68" i="17" s="1"/>
  <c r="D69" i="17"/>
  <c r="E69" i="17"/>
  <c r="F69" i="17"/>
  <c r="G69" i="17"/>
  <c r="N69" i="17" s="1"/>
  <c r="J69" i="17"/>
  <c r="M69" i="17" s="1"/>
  <c r="D70" i="17"/>
  <c r="E70" i="17"/>
  <c r="F70" i="17"/>
  <c r="G70" i="17"/>
  <c r="N70" i="17" s="1"/>
  <c r="J70" i="17"/>
  <c r="M70" i="17" s="1"/>
  <c r="D71" i="17"/>
  <c r="E71" i="17"/>
  <c r="F71" i="17"/>
  <c r="G71" i="17"/>
  <c r="N71" i="17" s="1"/>
  <c r="J71" i="17"/>
  <c r="M71" i="17" s="1"/>
  <c r="D72" i="17"/>
  <c r="E72" i="17"/>
  <c r="F72" i="17"/>
  <c r="G72" i="17"/>
  <c r="N72" i="17" s="1"/>
  <c r="J72" i="17"/>
  <c r="M72" i="17" s="1"/>
  <c r="D73" i="17"/>
  <c r="E73" i="17"/>
  <c r="F73" i="17"/>
  <c r="G73" i="17"/>
  <c r="N73" i="17" s="1"/>
  <c r="J73" i="17"/>
  <c r="M73" i="17" s="1"/>
  <c r="D74" i="17"/>
  <c r="E74" i="17"/>
  <c r="F74" i="17"/>
  <c r="G74" i="17"/>
  <c r="N74" i="17" s="1"/>
  <c r="J74" i="17"/>
  <c r="M74" i="17" s="1"/>
  <c r="D75" i="17"/>
  <c r="E75" i="17"/>
  <c r="F75" i="17"/>
  <c r="G75" i="17"/>
  <c r="N75" i="17" s="1"/>
  <c r="J75" i="17"/>
  <c r="M75" i="17" s="1"/>
  <c r="D76" i="17"/>
  <c r="E76" i="17"/>
  <c r="F76" i="17"/>
  <c r="G76" i="17"/>
  <c r="N76" i="17" s="1"/>
  <c r="J76" i="17"/>
  <c r="M76" i="17" s="1"/>
  <c r="D77" i="17"/>
  <c r="E77" i="17"/>
  <c r="F77" i="17"/>
  <c r="G77" i="17"/>
  <c r="N77" i="17" s="1"/>
  <c r="J77" i="17"/>
  <c r="M77" i="17" s="1"/>
  <c r="D78" i="17"/>
  <c r="E78" i="17"/>
  <c r="F78" i="17"/>
  <c r="G78" i="17"/>
  <c r="N78" i="17" s="1"/>
  <c r="J78" i="17"/>
  <c r="M78" i="17" s="1"/>
  <c r="D79" i="17"/>
  <c r="E79" i="17"/>
  <c r="F79" i="17"/>
  <c r="G79" i="17"/>
  <c r="N79" i="17" s="1"/>
  <c r="J79" i="17"/>
  <c r="M79" i="17" s="1"/>
  <c r="D80" i="17"/>
  <c r="E80" i="17"/>
  <c r="F80" i="17"/>
  <c r="G80" i="17"/>
  <c r="N80" i="17" s="1"/>
  <c r="J80" i="17"/>
  <c r="M80" i="17" s="1"/>
  <c r="D81" i="17"/>
  <c r="E81" i="17"/>
  <c r="F81" i="17"/>
  <c r="G81" i="17"/>
  <c r="N81" i="17" s="1"/>
  <c r="J81" i="17"/>
  <c r="M81" i="17" s="1"/>
  <c r="D82" i="17"/>
  <c r="E82" i="17"/>
  <c r="F82" i="17"/>
  <c r="G82" i="17"/>
  <c r="N82" i="17" s="1"/>
  <c r="J82" i="17"/>
  <c r="M82" i="17" s="1"/>
  <c r="D83" i="17"/>
  <c r="E83" i="17"/>
  <c r="F83" i="17"/>
  <c r="G83" i="17"/>
  <c r="N83" i="17" s="1"/>
  <c r="J83" i="17"/>
  <c r="M83" i="17" s="1"/>
  <c r="D84" i="17"/>
  <c r="E84" i="17"/>
  <c r="F84" i="17"/>
  <c r="G84" i="17"/>
  <c r="N84" i="17" s="1"/>
  <c r="J84" i="17"/>
  <c r="M84" i="17" s="1"/>
  <c r="D85" i="17"/>
  <c r="E85" i="17"/>
  <c r="F85" i="17"/>
  <c r="G85" i="17"/>
  <c r="N85" i="17" s="1"/>
  <c r="J85" i="17"/>
  <c r="M85" i="17" s="1"/>
  <c r="D86" i="17"/>
  <c r="E86" i="17"/>
  <c r="F86" i="17"/>
  <c r="G86" i="17"/>
  <c r="N86" i="17" s="1"/>
  <c r="J86" i="17"/>
  <c r="M86" i="17" s="1"/>
  <c r="D87" i="17"/>
  <c r="E87" i="17"/>
  <c r="F87" i="17"/>
  <c r="G87" i="17"/>
  <c r="N87" i="17" s="1"/>
  <c r="J87" i="17"/>
  <c r="M87" i="17" s="1"/>
  <c r="D88" i="17"/>
  <c r="E88" i="17"/>
  <c r="F88" i="17"/>
  <c r="G88" i="17"/>
  <c r="N88" i="17" s="1"/>
  <c r="J88" i="17"/>
  <c r="M88" i="17" s="1"/>
  <c r="D89" i="17"/>
  <c r="E89" i="17"/>
  <c r="F89" i="17"/>
  <c r="G89" i="17"/>
  <c r="N89" i="17" s="1"/>
  <c r="J89" i="17"/>
  <c r="M89" i="17" s="1"/>
  <c r="D90" i="17"/>
  <c r="E90" i="17"/>
  <c r="F90" i="17"/>
  <c r="G90" i="17"/>
  <c r="N90" i="17" s="1"/>
  <c r="J90" i="17"/>
  <c r="M90" i="17" s="1"/>
  <c r="D91" i="17"/>
  <c r="E91" i="17"/>
  <c r="F91" i="17"/>
  <c r="G91" i="17"/>
  <c r="N91" i="17" s="1"/>
  <c r="J91" i="17"/>
  <c r="M91" i="17" s="1"/>
  <c r="D92" i="17"/>
  <c r="E92" i="17"/>
  <c r="F92" i="17"/>
  <c r="G92" i="17"/>
  <c r="N92" i="17" s="1"/>
  <c r="J92" i="17"/>
  <c r="M92" i="17" s="1"/>
  <c r="D93" i="17"/>
  <c r="E93" i="17"/>
  <c r="F93" i="17"/>
  <c r="G93" i="17"/>
  <c r="N93" i="17" s="1"/>
  <c r="J93" i="17"/>
  <c r="M93" i="17" s="1"/>
  <c r="D94" i="17"/>
  <c r="E94" i="17"/>
  <c r="F94" i="17"/>
  <c r="G94" i="17"/>
  <c r="N94" i="17" s="1"/>
  <c r="J94" i="17"/>
  <c r="M94" i="17" s="1"/>
  <c r="D95" i="17"/>
  <c r="E95" i="17"/>
  <c r="F95" i="17"/>
  <c r="G95" i="17"/>
  <c r="N95" i="17" s="1"/>
  <c r="J95" i="17"/>
  <c r="M95" i="17" s="1"/>
  <c r="D96" i="17"/>
  <c r="E96" i="17"/>
  <c r="F96" i="17"/>
  <c r="G96" i="17"/>
  <c r="N96" i="17" s="1"/>
  <c r="J96" i="17"/>
  <c r="M96" i="17" s="1"/>
  <c r="D97" i="17"/>
  <c r="E97" i="17"/>
  <c r="F97" i="17"/>
  <c r="G97" i="17"/>
  <c r="N97" i="17" s="1"/>
  <c r="J97" i="17"/>
  <c r="M97" i="17" s="1"/>
  <c r="D98" i="17"/>
  <c r="E98" i="17"/>
  <c r="F98" i="17"/>
  <c r="G98" i="17"/>
  <c r="N98" i="17" s="1"/>
  <c r="J98" i="17"/>
  <c r="M98" i="17" s="1"/>
  <c r="D99" i="17"/>
  <c r="E99" i="17"/>
  <c r="F99" i="17"/>
  <c r="G99" i="17"/>
  <c r="N99" i="17" s="1"/>
  <c r="J99" i="17"/>
  <c r="M99" i="17" s="1"/>
  <c r="D100" i="17"/>
  <c r="E100" i="17"/>
  <c r="F100" i="17"/>
  <c r="G100" i="17"/>
  <c r="N100" i="17" s="1"/>
  <c r="J100" i="17"/>
  <c r="M100" i="17" s="1"/>
  <c r="D101" i="17"/>
  <c r="E101" i="17"/>
  <c r="F101" i="17"/>
  <c r="G101" i="17"/>
  <c r="N101" i="17" s="1"/>
  <c r="J101" i="17"/>
  <c r="M101" i="17" s="1"/>
  <c r="D102" i="17"/>
  <c r="E102" i="17"/>
  <c r="F102" i="17"/>
  <c r="G102" i="17"/>
  <c r="N102" i="17" s="1"/>
  <c r="J102" i="17"/>
  <c r="M102" i="17" s="1"/>
  <c r="D103" i="17"/>
  <c r="E103" i="17"/>
  <c r="F103" i="17"/>
  <c r="G103" i="17"/>
  <c r="N103" i="17" s="1"/>
  <c r="J103" i="17"/>
  <c r="M103" i="17" s="1"/>
  <c r="D104" i="17"/>
  <c r="E104" i="17"/>
  <c r="F104" i="17"/>
  <c r="G104" i="17"/>
  <c r="N104" i="17" s="1"/>
  <c r="J104" i="17"/>
  <c r="M104" i="17" s="1"/>
  <c r="D105" i="17"/>
  <c r="E105" i="17"/>
  <c r="F105" i="17"/>
  <c r="G105" i="17"/>
  <c r="N105" i="17" s="1"/>
  <c r="J105" i="17"/>
  <c r="M105" i="17" s="1"/>
  <c r="D106" i="17"/>
  <c r="E106" i="17"/>
  <c r="F106" i="17"/>
  <c r="G106" i="17"/>
  <c r="N106" i="17" s="1"/>
  <c r="J106" i="17"/>
  <c r="M106" i="17" s="1"/>
  <c r="D107" i="17"/>
  <c r="E107" i="17"/>
  <c r="F107" i="17"/>
  <c r="G107" i="17"/>
  <c r="N107" i="17" s="1"/>
  <c r="J107" i="17"/>
  <c r="M107" i="17" s="1"/>
  <c r="D108" i="17"/>
  <c r="E108" i="17"/>
  <c r="F108" i="17"/>
  <c r="G108" i="17"/>
  <c r="N108" i="17" s="1"/>
  <c r="J108" i="17"/>
  <c r="M108" i="17" s="1"/>
  <c r="D109" i="17"/>
  <c r="E109" i="17"/>
  <c r="F109" i="17"/>
  <c r="G109" i="17"/>
  <c r="N109" i="17" s="1"/>
  <c r="J109" i="17"/>
  <c r="M109" i="17" s="1"/>
  <c r="D110" i="17"/>
  <c r="E110" i="17"/>
  <c r="F110" i="17"/>
  <c r="G110" i="17"/>
  <c r="N110" i="17" s="1"/>
  <c r="J110" i="17"/>
  <c r="M110" i="17" s="1"/>
  <c r="D111" i="17"/>
  <c r="E111" i="17"/>
  <c r="F111" i="17"/>
  <c r="G111" i="17"/>
  <c r="N111" i="17" s="1"/>
  <c r="J111" i="17"/>
  <c r="M111" i="17" s="1"/>
  <c r="D112" i="17"/>
  <c r="E112" i="17"/>
  <c r="F112" i="17"/>
  <c r="G112" i="17"/>
  <c r="N112" i="17" s="1"/>
  <c r="J112" i="17"/>
  <c r="M112" i="17" s="1"/>
  <c r="D113" i="17"/>
  <c r="E113" i="17"/>
  <c r="F113" i="17"/>
  <c r="G113" i="17"/>
  <c r="N113" i="17" s="1"/>
  <c r="J113" i="17"/>
  <c r="M113" i="17" s="1"/>
  <c r="D114" i="17"/>
  <c r="E114" i="17"/>
  <c r="F114" i="17"/>
  <c r="G114" i="17"/>
  <c r="N114" i="17" s="1"/>
  <c r="J114" i="17"/>
  <c r="M114" i="17" s="1"/>
  <c r="D115" i="17"/>
  <c r="E115" i="17"/>
  <c r="F115" i="17"/>
  <c r="G115" i="17"/>
  <c r="N115" i="17" s="1"/>
  <c r="J115" i="17"/>
  <c r="M115" i="17" s="1"/>
  <c r="D116" i="17"/>
  <c r="E116" i="17"/>
  <c r="F116" i="17"/>
  <c r="G116" i="17"/>
  <c r="N116" i="17" s="1"/>
  <c r="J116" i="17"/>
  <c r="M116" i="17" s="1"/>
  <c r="D117" i="17"/>
  <c r="E117" i="17"/>
  <c r="F117" i="17"/>
  <c r="G117" i="17"/>
  <c r="N117" i="17" s="1"/>
  <c r="J117" i="17"/>
  <c r="M117" i="17" s="1"/>
  <c r="D118" i="17"/>
  <c r="E118" i="17"/>
  <c r="F118" i="17"/>
  <c r="G118" i="17"/>
  <c r="N118" i="17" s="1"/>
  <c r="J118" i="17"/>
  <c r="M118" i="17" s="1"/>
  <c r="D119" i="17"/>
  <c r="E119" i="17"/>
  <c r="F119" i="17"/>
  <c r="G119" i="17"/>
  <c r="N119" i="17" s="1"/>
  <c r="J119" i="17"/>
  <c r="M119" i="17" s="1"/>
  <c r="D120" i="17"/>
  <c r="E120" i="17"/>
  <c r="F120" i="17"/>
  <c r="G120" i="17"/>
  <c r="N120" i="17" s="1"/>
  <c r="J120" i="17"/>
  <c r="M120" i="17" s="1"/>
  <c r="D121" i="17"/>
  <c r="E121" i="17"/>
  <c r="F121" i="17"/>
  <c r="G121" i="17"/>
  <c r="N121" i="17" s="1"/>
  <c r="J121" i="17"/>
  <c r="M121" i="17" s="1"/>
  <c r="D122" i="17"/>
  <c r="E122" i="17"/>
  <c r="F122" i="17"/>
  <c r="G122" i="17"/>
  <c r="N122" i="17" s="1"/>
  <c r="J122" i="17"/>
  <c r="M122" i="17" s="1"/>
  <c r="D123" i="17"/>
  <c r="E123" i="17"/>
  <c r="F123" i="17"/>
  <c r="G123" i="17"/>
  <c r="N123" i="17" s="1"/>
  <c r="J123" i="17"/>
  <c r="M123" i="17" s="1"/>
  <c r="D124" i="17"/>
  <c r="E124" i="17"/>
  <c r="F124" i="17"/>
  <c r="G124" i="17"/>
  <c r="N124" i="17" s="1"/>
  <c r="J124" i="17"/>
  <c r="M124" i="17" s="1"/>
  <c r="D125" i="17"/>
  <c r="E125" i="17"/>
  <c r="F125" i="17"/>
  <c r="G125" i="17"/>
  <c r="N125" i="17" s="1"/>
  <c r="J125" i="17"/>
  <c r="M125" i="17" s="1"/>
  <c r="D126" i="17"/>
  <c r="E126" i="17"/>
  <c r="F126" i="17"/>
  <c r="G126" i="17"/>
  <c r="N126" i="17" s="1"/>
  <c r="J126" i="17"/>
  <c r="M126" i="17" s="1"/>
  <c r="D127" i="17"/>
  <c r="E127" i="17"/>
  <c r="F127" i="17"/>
  <c r="G127" i="17"/>
  <c r="N127" i="17" s="1"/>
  <c r="J127" i="17"/>
  <c r="M127" i="17" s="1"/>
  <c r="D128" i="17"/>
  <c r="E128" i="17"/>
  <c r="F128" i="17"/>
  <c r="G128" i="17"/>
  <c r="N128" i="17" s="1"/>
  <c r="J128" i="17"/>
  <c r="M128" i="17" s="1"/>
  <c r="D129" i="17"/>
  <c r="E129" i="17"/>
  <c r="F129" i="17"/>
  <c r="G129" i="17"/>
  <c r="N129" i="17" s="1"/>
  <c r="J129" i="17"/>
  <c r="M129" i="17" s="1"/>
  <c r="D130" i="17"/>
  <c r="E130" i="17"/>
  <c r="F130" i="17"/>
  <c r="G130" i="17"/>
  <c r="N130" i="17" s="1"/>
  <c r="J130" i="17"/>
  <c r="M130" i="17" s="1"/>
  <c r="D131" i="17"/>
  <c r="E131" i="17"/>
  <c r="F131" i="17"/>
  <c r="G131" i="17"/>
  <c r="N131" i="17" s="1"/>
  <c r="J131" i="17"/>
  <c r="M131" i="17" s="1"/>
  <c r="D132" i="17"/>
  <c r="E132" i="17"/>
  <c r="F132" i="17"/>
  <c r="G132" i="17"/>
  <c r="N132" i="17" s="1"/>
  <c r="J132" i="17"/>
  <c r="M132" i="17" s="1"/>
  <c r="D133" i="17"/>
  <c r="E133" i="17"/>
  <c r="F133" i="17"/>
  <c r="G133" i="17"/>
  <c r="N133" i="17" s="1"/>
  <c r="J133" i="17"/>
  <c r="M133" i="17" s="1"/>
  <c r="D134" i="17"/>
  <c r="E134" i="17"/>
  <c r="F134" i="17"/>
  <c r="G134" i="17"/>
  <c r="N134" i="17" s="1"/>
  <c r="J134" i="17"/>
  <c r="M134" i="17" s="1"/>
  <c r="D135" i="17"/>
  <c r="E135" i="17"/>
  <c r="F135" i="17"/>
  <c r="G135" i="17"/>
  <c r="N135" i="17" s="1"/>
  <c r="J135" i="17"/>
  <c r="M135" i="17" s="1"/>
  <c r="D136" i="17"/>
  <c r="E136" i="17"/>
  <c r="F136" i="17"/>
  <c r="G136" i="17"/>
  <c r="N136" i="17" s="1"/>
  <c r="J136" i="17"/>
  <c r="M136" i="17" s="1"/>
  <c r="D137" i="17"/>
  <c r="E137" i="17"/>
  <c r="F137" i="17"/>
  <c r="G137" i="17"/>
  <c r="N137" i="17" s="1"/>
  <c r="J137" i="17"/>
  <c r="M137" i="17" s="1"/>
  <c r="D138" i="17"/>
  <c r="E138" i="17"/>
  <c r="F138" i="17"/>
  <c r="G138" i="17"/>
  <c r="N138" i="17" s="1"/>
  <c r="J138" i="17"/>
  <c r="M138" i="17" s="1"/>
  <c r="D139" i="17"/>
  <c r="E139" i="17"/>
  <c r="F139" i="17"/>
  <c r="G139" i="17"/>
  <c r="N139" i="17" s="1"/>
  <c r="J139" i="17"/>
  <c r="M139" i="17" s="1"/>
  <c r="D140" i="17"/>
  <c r="E140" i="17"/>
  <c r="F140" i="17"/>
  <c r="G140" i="17"/>
  <c r="N140" i="17" s="1"/>
  <c r="J140" i="17"/>
  <c r="M140" i="17" s="1"/>
  <c r="D141" i="17"/>
  <c r="E141" i="17"/>
  <c r="F141" i="17"/>
  <c r="G141" i="17"/>
  <c r="N141" i="17" s="1"/>
  <c r="J141" i="17"/>
  <c r="M141" i="17" s="1"/>
  <c r="D142" i="17"/>
  <c r="E142" i="17"/>
  <c r="F142" i="17"/>
  <c r="G142" i="17"/>
  <c r="N142" i="17" s="1"/>
  <c r="J142" i="17"/>
  <c r="M142" i="17" s="1"/>
  <c r="D143" i="17"/>
  <c r="E143" i="17"/>
  <c r="F143" i="17"/>
  <c r="G143" i="17"/>
  <c r="N143" i="17" s="1"/>
  <c r="J143" i="17"/>
  <c r="M143" i="17" s="1"/>
  <c r="D144" i="17"/>
  <c r="E144" i="17"/>
  <c r="F144" i="17"/>
  <c r="G144" i="17"/>
  <c r="N144" i="17" s="1"/>
  <c r="J144" i="17"/>
  <c r="M144" i="17" s="1"/>
  <c r="D145" i="17"/>
  <c r="E145" i="17"/>
  <c r="F145" i="17"/>
  <c r="G145" i="17"/>
  <c r="N145" i="17" s="1"/>
  <c r="J145" i="17"/>
  <c r="M145" i="17" s="1"/>
  <c r="D146" i="17"/>
  <c r="E146" i="17"/>
  <c r="F146" i="17"/>
  <c r="G146" i="17"/>
  <c r="N146" i="17" s="1"/>
  <c r="J146" i="17"/>
  <c r="M146" i="17" s="1"/>
  <c r="D147" i="17"/>
  <c r="E147" i="17"/>
  <c r="F147" i="17"/>
  <c r="G147" i="17"/>
  <c r="N147" i="17" s="1"/>
  <c r="J147" i="17"/>
  <c r="M147" i="17" s="1"/>
  <c r="D148" i="17"/>
  <c r="E148" i="17"/>
  <c r="F148" i="17"/>
  <c r="G148" i="17"/>
  <c r="N148" i="17" s="1"/>
  <c r="J148" i="17"/>
  <c r="M148" i="17" s="1"/>
  <c r="D149" i="17"/>
  <c r="E149" i="17"/>
  <c r="F149" i="17"/>
  <c r="G149" i="17"/>
  <c r="N149" i="17" s="1"/>
  <c r="J149" i="17"/>
  <c r="M149" i="17" s="1"/>
  <c r="D150" i="17"/>
  <c r="E150" i="17"/>
  <c r="F150" i="17"/>
  <c r="G150" i="17"/>
  <c r="N150" i="17" s="1"/>
  <c r="J150" i="17"/>
  <c r="M150" i="17" s="1"/>
  <c r="D151" i="17"/>
  <c r="E151" i="17"/>
  <c r="F151" i="17"/>
  <c r="G151" i="17"/>
  <c r="N151" i="17" s="1"/>
  <c r="J151" i="17"/>
  <c r="M151" i="17" s="1"/>
  <c r="D152" i="17"/>
  <c r="E152" i="17"/>
  <c r="F152" i="17"/>
  <c r="G152" i="17"/>
  <c r="N152" i="17" s="1"/>
  <c r="J152" i="17"/>
  <c r="M152" i="17" s="1"/>
  <c r="D153" i="17"/>
  <c r="E153" i="17"/>
  <c r="F153" i="17"/>
  <c r="G153" i="17"/>
  <c r="N153" i="17" s="1"/>
  <c r="J153" i="17"/>
  <c r="M153" i="17" s="1"/>
  <c r="D154" i="17"/>
  <c r="E154" i="17"/>
  <c r="F154" i="17"/>
  <c r="G154" i="17"/>
  <c r="N154" i="17" s="1"/>
  <c r="J154" i="17"/>
  <c r="M154" i="17" s="1"/>
  <c r="D155" i="17"/>
  <c r="E155" i="17"/>
  <c r="F155" i="17"/>
  <c r="G155" i="17"/>
  <c r="N155" i="17" s="1"/>
  <c r="J155" i="17"/>
  <c r="M155" i="17" s="1"/>
  <c r="D156" i="17"/>
  <c r="E156" i="17"/>
  <c r="F156" i="17"/>
  <c r="G156" i="17"/>
  <c r="N156" i="17" s="1"/>
  <c r="J156" i="17"/>
  <c r="M156" i="17" s="1"/>
  <c r="D157" i="17"/>
  <c r="E157" i="17"/>
  <c r="F157" i="17"/>
  <c r="G157" i="17"/>
  <c r="N157" i="17" s="1"/>
  <c r="J157" i="17"/>
  <c r="M157" i="17" s="1"/>
  <c r="D158" i="17"/>
  <c r="E158" i="17"/>
  <c r="F158" i="17"/>
  <c r="G158" i="17"/>
  <c r="N158" i="17" s="1"/>
  <c r="J158" i="17"/>
  <c r="M158" i="17" s="1"/>
  <c r="D159" i="17"/>
  <c r="E159" i="17"/>
  <c r="F159" i="17"/>
  <c r="G159" i="17"/>
  <c r="N159" i="17" s="1"/>
  <c r="J159" i="17"/>
  <c r="M159" i="17" s="1"/>
  <c r="D160" i="17"/>
  <c r="E160" i="17"/>
  <c r="F160" i="17"/>
  <c r="G160" i="17"/>
  <c r="N160" i="17" s="1"/>
  <c r="J160" i="17"/>
  <c r="M160" i="17" s="1"/>
  <c r="D161" i="17"/>
  <c r="E161" i="17"/>
  <c r="F161" i="17"/>
  <c r="G161" i="17"/>
  <c r="N161" i="17" s="1"/>
  <c r="J161" i="17"/>
  <c r="M161" i="17" s="1"/>
  <c r="D162" i="17"/>
  <c r="E162" i="17"/>
  <c r="F162" i="17"/>
  <c r="G162" i="17"/>
  <c r="N162" i="17" s="1"/>
  <c r="J162" i="17"/>
  <c r="M162" i="17" s="1"/>
  <c r="D163" i="17"/>
  <c r="E163" i="17"/>
  <c r="F163" i="17"/>
  <c r="G163" i="17"/>
  <c r="N163" i="17" s="1"/>
  <c r="J163" i="17"/>
  <c r="M163" i="17" s="1"/>
  <c r="D164" i="17"/>
  <c r="E164" i="17"/>
  <c r="F164" i="17"/>
  <c r="G164" i="17"/>
  <c r="N164" i="17" s="1"/>
  <c r="J164" i="17"/>
  <c r="M164" i="17" s="1"/>
  <c r="D165" i="17"/>
  <c r="E165" i="17"/>
  <c r="F165" i="17"/>
  <c r="G165" i="17"/>
  <c r="N165" i="17" s="1"/>
  <c r="J165" i="17"/>
  <c r="M165" i="17" s="1"/>
  <c r="D166" i="17"/>
  <c r="E166" i="17"/>
  <c r="F166" i="17"/>
  <c r="G166" i="17"/>
  <c r="N166" i="17" s="1"/>
  <c r="J166" i="17"/>
  <c r="M166" i="17" s="1"/>
  <c r="D167" i="17"/>
  <c r="E167" i="17"/>
  <c r="F167" i="17"/>
  <c r="G167" i="17"/>
  <c r="N167" i="17" s="1"/>
  <c r="J167" i="17"/>
  <c r="M167" i="17" s="1"/>
  <c r="D168" i="17"/>
  <c r="E168" i="17"/>
  <c r="F168" i="17"/>
  <c r="G168" i="17"/>
  <c r="N168" i="17" s="1"/>
  <c r="J168" i="17"/>
  <c r="M168" i="17" s="1"/>
  <c r="D169" i="17"/>
  <c r="E169" i="17"/>
  <c r="F169" i="17"/>
  <c r="G169" i="17"/>
  <c r="N169" i="17" s="1"/>
  <c r="J169" i="17"/>
  <c r="M169" i="17" s="1"/>
  <c r="D170" i="17"/>
  <c r="E170" i="17"/>
  <c r="F170" i="17"/>
  <c r="G170" i="17"/>
  <c r="N170" i="17" s="1"/>
  <c r="J170" i="17"/>
  <c r="M170" i="17" s="1"/>
  <c r="D171" i="17"/>
  <c r="E171" i="17"/>
  <c r="F171" i="17"/>
  <c r="G171" i="17"/>
  <c r="N171" i="17" s="1"/>
  <c r="J171" i="17"/>
  <c r="M171" i="17" s="1"/>
  <c r="D172" i="17"/>
  <c r="E172" i="17"/>
  <c r="F172" i="17"/>
  <c r="G172" i="17"/>
  <c r="N172" i="17" s="1"/>
  <c r="J172" i="17"/>
  <c r="M172" i="17" s="1"/>
  <c r="D173" i="17"/>
  <c r="E173" i="17"/>
  <c r="F173" i="17"/>
  <c r="G173" i="17"/>
  <c r="N173" i="17" s="1"/>
  <c r="J173" i="17"/>
  <c r="M173" i="17" s="1"/>
  <c r="D174" i="17"/>
  <c r="E174" i="17"/>
  <c r="F174" i="17"/>
  <c r="G174" i="17"/>
  <c r="N174" i="17" s="1"/>
  <c r="J174" i="17"/>
  <c r="M174" i="17" s="1"/>
  <c r="D175" i="17"/>
  <c r="E175" i="17"/>
  <c r="F175" i="17"/>
  <c r="G175" i="17"/>
  <c r="N175" i="17" s="1"/>
  <c r="J175" i="17"/>
  <c r="M175" i="17" s="1"/>
  <c r="D176" i="17"/>
  <c r="E176" i="17"/>
  <c r="F176" i="17"/>
  <c r="G176" i="17"/>
  <c r="N176" i="17" s="1"/>
  <c r="J176" i="17"/>
  <c r="M176" i="17" s="1"/>
  <c r="D177" i="17"/>
  <c r="E177" i="17"/>
  <c r="F177" i="17"/>
  <c r="G177" i="17"/>
  <c r="N177" i="17" s="1"/>
  <c r="J177" i="17"/>
  <c r="M177" i="17" s="1"/>
  <c r="D178" i="17"/>
  <c r="E178" i="17"/>
  <c r="F178" i="17"/>
  <c r="G178" i="17"/>
  <c r="N178" i="17" s="1"/>
  <c r="J178" i="17"/>
  <c r="M178" i="17" s="1"/>
  <c r="D179" i="17"/>
  <c r="E179" i="17"/>
  <c r="F179" i="17"/>
  <c r="G179" i="17"/>
  <c r="N179" i="17" s="1"/>
  <c r="J179" i="17"/>
  <c r="M179" i="17" s="1"/>
  <c r="D180" i="17"/>
  <c r="E180" i="17"/>
  <c r="F180" i="17"/>
  <c r="G180" i="17"/>
  <c r="N180" i="17" s="1"/>
  <c r="J180" i="17"/>
  <c r="M180" i="17" s="1"/>
  <c r="D181" i="17"/>
  <c r="E181" i="17"/>
  <c r="F181" i="17"/>
  <c r="G181" i="17"/>
  <c r="N181" i="17" s="1"/>
  <c r="J181" i="17"/>
  <c r="M181" i="17" s="1"/>
  <c r="D182" i="17"/>
  <c r="E182" i="17"/>
  <c r="F182" i="17"/>
  <c r="G182" i="17"/>
  <c r="N182" i="17" s="1"/>
  <c r="J182" i="17"/>
  <c r="M182" i="17" s="1"/>
  <c r="D183" i="17"/>
  <c r="E183" i="17"/>
  <c r="F183" i="17"/>
  <c r="G183" i="17"/>
  <c r="N183" i="17" s="1"/>
  <c r="J183" i="17"/>
  <c r="M183" i="17" s="1"/>
  <c r="D184" i="17"/>
  <c r="E184" i="17"/>
  <c r="F184" i="17"/>
  <c r="G184" i="17"/>
  <c r="N184" i="17" s="1"/>
  <c r="J184" i="17"/>
  <c r="M184" i="17" s="1"/>
  <c r="D185" i="17"/>
  <c r="E185" i="17"/>
  <c r="F185" i="17"/>
  <c r="G185" i="17"/>
  <c r="N185" i="17" s="1"/>
  <c r="J185" i="17"/>
  <c r="M185" i="17" s="1"/>
  <c r="D186" i="17"/>
  <c r="E186" i="17"/>
  <c r="F186" i="17"/>
  <c r="G186" i="17"/>
  <c r="N186" i="17" s="1"/>
  <c r="J186" i="17"/>
  <c r="M186" i="17" s="1"/>
  <c r="D187" i="17"/>
  <c r="E187" i="17"/>
  <c r="F187" i="17"/>
  <c r="G187" i="17"/>
  <c r="N187" i="17" s="1"/>
  <c r="J187" i="17"/>
  <c r="M187" i="17" s="1"/>
  <c r="D188" i="17"/>
  <c r="E188" i="17"/>
  <c r="F188" i="17"/>
  <c r="G188" i="17"/>
  <c r="N188" i="17" s="1"/>
  <c r="J188" i="17"/>
  <c r="M188" i="17" s="1"/>
  <c r="D189" i="17"/>
  <c r="E189" i="17"/>
  <c r="F189" i="17"/>
  <c r="G189" i="17"/>
  <c r="N189" i="17" s="1"/>
  <c r="J189" i="17"/>
  <c r="M189" i="17" s="1"/>
  <c r="D190" i="17"/>
  <c r="E190" i="17"/>
  <c r="F190" i="17"/>
  <c r="G190" i="17"/>
  <c r="N190" i="17" s="1"/>
  <c r="J190" i="17"/>
  <c r="M190" i="17" s="1"/>
  <c r="D191" i="17"/>
  <c r="E191" i="17"/>
  <c r="F191" i="17"/>
  <c r="G191" i="17"/>
  <c r="N191" i="17" s="1"/>
  <c r="J191" i="17"/>
  <c r="M191" i="17" s="1"/>
  <c r="D192" i="17"/>
  <c r="E192" i="17"/>
  <c r="F192" i="17"/>
  <c r="G192" i="17"/>
  <c r="N192" i="17" s="1"/>
  <c r="J192" i="17"/>
  <c r="M192" i="17" s="1"/>
  <c r="D193" i="17"/>
  <c r="E193" i="17"/>
  <c r="F193" i="17"/>
  <c r="G193" i="17"/>
  <c r="N193" i="17" s="1"/>
  <c r="J193" i="17"/>
  <c r="M193" i="17" s="1"/>
  <c r="D194" i="17"/>
  <c r="E194" i="17"/>
  <c r="F194" i="17"/>
  <c r="G194" i="17"/>
  <c r="N194" i="17" s="1"/>
  <c r="J194" i="17"/>
  <c r="M194" i="17" s="1"/>
  <c r="D195" i="17"/>
  <c r="E195" i="17"/>
  <c r="F195" i="17"/>
  <c r="G195" i="17"/>
  <c r="N195" i="17" s="1"/>
  <c r="J195" i="17"/>
  <c r="M195" i="17" s="1"/>
  <c r="D196" i="17"/>
  <c r="E196" i="17"/>
  <c r="F196" i="17"/>
  <c r="G196" i="17"/>
  <c r="N196" i="17" s="1"/>
  <c r="J196" i="17"/>
  <c r="M196" i="17" s="1"/>
  <c r="D197" i="17"/>
  <c r="E197" i="17"/>
  <c r="F197" i="17"/>
  <c r="G197" i="17"/>
  <c r="N197" i="17" s="1"/>
  <c r="J197" i="17"/>
  <c r="M197" i="17" s="1"/>
  <c r="D198" i="17"/>
  <c r="E198" i="17"/>
  <c r="F198" i="17"/>
  <c r="G198" i="17"/>
  <c r="N198" i="17" s="1"/>
  <c r="J198" i="17"/>
  <c r="M198" i="17" s="1"/>
  <c r="D199" i="17"/>
  <c r="E199" i="17"/>
  <c r="F199" i="17"/>
  <c r="G199" i="17"/>
  <c r="N199" i="17" s="1"/>
  <c r="J199" i="17"/>
  <c r="M199" i="17" s="1"/>
  <c r="D200" i="17"/>
  <c r="E200" i="17"/>
  <c r="F200" i="17"/>
  <c r="G200" i="17"/>
  <c r="N200" i="17" s="1"/>
  <c r="J200" i="17"/>
  <c r="M200" i="17" s="1"/>
  <c r="D201" i="17"/>
  <c r="E201" i="17"/>
  <c r="F201" i="17"/>
  <c r="G201" i="17"/>
  <c r="N201" i="17" s="1"/>
  <c r="J201" i="17"/>
  <c r="M201" i="17" s="1"/>
  <c r="D202" i="17"/>
  <c r="E202" i="17"/>
  <c r="F202" i="17"/>
  <c r="G202" i="17"/>
  <c r="N202" i="17" s="1"/>
  <c r="J202" i="17"/>
  <c r="M202" i="17" s="1"/>
  <c r="D203" i="17"/>
  <c r="E203" i="17"/>
  <c r="F203" i="17"/>
  <c r="G203" i="17"/>
  <c r="N203" i="17" s="1"/>
  <c r="J203" i="17"/>
  <c r="M203" i="17" s="1"/>
  <c r="D204" i="17"/>
  <c r="E204" i="17"/>
  <c r="F204" i="17"/>
  <c r="G204" i="17"/>
  <c r="N204" i="17" s="1"/>
  <c r="J204" i="17"/>
  <c r="M204" i="17" s="1"/>
  <c r="D205" i="17"/>
  <c r="E205" i="17"/>
  <c r="F205" i="17"/>
  <c r="G205" i="17"/>
  <c r="N205" i="17" s="1"/>
  <c r="J205" i="17"/>
  <c r="M205" i="17" s="1"/>
  <c r="D206" i="17"/>
  <c r="E206" i="17"/>
  <c r="F206" i="17"/>
  <c r="G206" i="17"/>
  <c r="N206" i="17" s="1"/>
  <c r="J206" i="17"/>
  <c r="M206" i="17" s="1"/>
  <c r="D207" i="17"/>
  <c r="E207" i="17"/>
  <c r="F207" i="17"/>
  <c r="G207" i="17"/>
  <c r="N207" i="17" s="1"/>
  <c r="J207" i="17"/>
  <c r="M207" i="17" s="1"/>
  <c r="D208" i="17"/>
  <c r="E208" i="17"/>
  <c r="F208" i="17"/>
  <c r="G208" i="17"/>
  <c r="N208" i="17" s="1"/>
  <c r="J208" i="17"/>
  <c r="M208" i="17" s="1"/>
  <c r="D209" i="17"/>
  <c r="E209" i="17"/>
  <c r="F209" i="17"/>
  <c r="G209" i="17"/>
  <c r="N209" i="17" s="1"/>
  <c r="J209" i="17"/>
  <c r="M209" i="17" s="1"/>
  <c r="D210" i="17"/>
  <c r="E210" i="17"/>
  <c r="F210" i="17"/>
  <c r="G210" i="17"/>
  <c r="N210" i="17" s="1"/>
  <c r="J210" i="17"/>
  <c r="M210" i="17" s="1"/>
  <c r="D211" i="17"/>
  <c r="E211" i="17"/>
  <c r="F211" i="17"/>
  <c r="G211" i="17"/>
  <c r="N211" i="17" s="1"/>
  <c r="J211" i="17"/>
  <c r="M211" i="17" s="1"/>
  <c r="D212" i="17"/>
  <c r="E212" i="17"/>
  <c r="F212" i="17"/>
  <c r="G212" i="17"/>
  <c r="N212" i="17" s="1"/>
  <c r="J212" i="17"/>
  <c r="M212" i="17" s="1"/>
  <c r="D213" i="17"/>
  <c r="E213" i="17"/>
  <c r="F213" i="17"/>
  <c r="G213" i="17"/>
  <c r="N213" i="17" s="1"/>
  <c r="J213" i="17"/>
  <c r="M213" i="17" s="1"/>
  <c r="D214" i="17"/>
  <c r="E214" i="17"/>
  <c r="F214" i="17"/>
  <c r="G214" i="17"/>
  <c r="N214" i="17" s="1"/>
  <c r="J214" i="17"/>
  <c r="M214" i="17" s="1"/>
  <c r="D215" i="17"/>
  <c r="E215" i="17"/>
  <c r="F215" i="17"/>
  <c r="G215" i="17"/>
  <c r="N215" i="17" s="1"/>
  <c r="J215" i="17"/>
  <c r="M215" i="17" s="1"/>
  <c r="D216" i="17"/>
  <c r="E216" i="17"/>
  <c r="F216" i="17"/>
  <c r="G216" i="17"/>
  <c r="N216" i="17" s="1"/>
  <c r="J216" i="17"/>
  <c r="M216" i="17" s="1"/>
  <c r="D217" i="17"/>
  <c r="E217" i="17"/>
  <c r="F217" i="17"/>
  <c r="G217" i="17"/>
  <c r="N217" i="17" s="1"/>
  <c r="J217" i="17"/>
  <c r="M217" i="17" s="1"/>
  <c r="D218" i="17"/>
  <c r="E218" i="17"/>
  <c r="F218" i="17"/>
  <c r="G218" i="17"/>
  <c r="N218" i="17" s="1"/>
  <c r="J218" i="17"/>
  <c r="M218" i="17" s="1"/>
  <c r="D219" i="17"/>
  <c r="E219" i="17"/>
  <c r="F219" i="17"/>
  <c r="G219" i="17"/>
  <c r="N219" i="17" s="1"/>
  <c r="J219" i="17"/>
  <c r="M219" i="17" s="1"/>
  <c r="D220" i="17"/>
  <c r="E220" i="17"/>
  <c r="F220" i="17"/>
  <c r="G220" i="17"/>
  <c r="N220" i="17" s="1"/>
  <c r="J220" i="17"/>
  <c r="M220" i="17" s="1"/>
  <c r="D221" i="17"/>
  <c r="E221" i="17"/>
  <c r="F221" i="17"/>
  <c r="G221" i="17"/>
  <c r="N221" i="17" s="1"/>
  <c r="J221" i="17"/>
  <c r="M221" i="17" s="1"/>
  <c r="D222" i="17"/>
  <c r="E222" i="17"/>
  <c r="F222" i="17"/>
  <c r="G222" i="17"/>
  <c r="N222" i="17" s="1"/>
  <c r="J222" i="17"/>
  <c r="M222" i="17" s="1"/>
  <c r="D223" i="17"/>
  <c r="E223" i="17"/>
  <c r="F223" i="17"/>
  <c r="G223" i="17"/>
  <c r="N223" i="17" s="1"/>
  <c r="J223" i="17"/>
  <c r="M223" i="17" s="1"/>
  <c r="D224" i="17"/>
  <c r="E224" i="17"/>
  <c r="F224" i="17"/>
  <c r="G224" i="17"/>
  <c r="N224" i="17" s="1"/>
  <c r="J224" i="17"/>
  <c r="M224" i="17" s="1"/>
  <c r="D225" i="17"/>
  <c r="E225" i="17"/>
  <c r="F225" i="17"/>
  <c r="G225" i="17"/>
  <c r="N225" i="17" s="1"/>
  <c r="J225" i="17"/>
  <c r="M225" i="17" s="1"/>
  <c r="D226" i="17"/>
  <c r="E226" i="17"/>
  <c r="F226" i="17"/>
  <c r="G226" i="17"/>
  <c r="N226" i="17" s="1"/>
  <c r="J226" i="17"/>
  <c r="M226" i="17" s="1"/>
  <c r="D227" i="17"/>
  <c r="E227" i="17"/>
  <c r="F227" i="17"/>
  <c r="G227" i="17"/>
  <c r="N227" i="17" s="1"/>
  <c r="J227" i="17"/>
  <c r="M227" i="17" s="1"/>
  <c r="D228" i="17"/>
  <c r="E228" i="17"/>
  <c r="F228" i="17"/>
  <c r="G228" i="17"/>
  <c r="N228" i="17" s="1"/>
  <c r="J228" i="17"/>
  <c r="M228" i="17" s="1"/>
  <c r="D229" i="17"/>
  <c r="E229" i="17"/>
  <c r="F229" i="17"/>
  <c r="G229" i="17"/>
  <c r="N229" i="17" s="1"/>
  <c r="J229" i="17"/>
  <c r="M229" i="17" s="1"/>
  <c r="D230" i="17"/>
  <c r="E230" i="17"/>
  <c r="F230" i="17"/>
  <c r="G230" i="17"/>
  <c r="N230" i="17" s="1"/>
  <c r="J230" i="17"/>
  <c r="M230" i="17" s="1"/>
  <c r="D231" i="17"/>
  <c r="E231" i="17"/>
  <c r="F231" i="17"/>
  <c r="G231" i="17"/>
  <c r="N231" i="17" s="1"/>
  <c r="J231" i="17"/>
  <c r="M231" i="17" s="1"/>
  <c r="D232" i="17"/>
  <c r="E232" i="17"/>
  <c r="F232" i="17"/>
  <c r="G232" i="17"/>
  <c r="N232" i="17" s="1"/>
  <c r="J232" i="17"/>
  <c r="M232" i="17" s="1"/>
  <c r="D233" i="17"/>
  <c r="E233" i="17"/>
  <c r="F233" i="17"/>
  <c r="G233" i="17"/>
  <c r="N233" i="17" s="1"/>
  <c r="J233" i="17"/>
  <c r="M233" i="17" s="1"/>
  <c r="D234" i="17"/>
  <c r="E234" i="17"/>
  <c r="F234" i="17"/>
  <c r="G234" i="17"/>
  <c r="N234" i="17" s="1"/>
  <c r="J234" i="17"/>
  <c r="M234" i="17" s="1"/>
  <c r="D235" i="17"/>
  <c r="E235" i="17"/>
  <c r="F235" i="17"/>
  <c r="G235" i="17"/>
  <c r="N235" i="17" s="1"/>
  <c r="J235" i="17"/>
  <c r="M235" i="17" s="1"/>
  <c r="D236" i="17"/>
  <c r="E236" i="17"/>
  <c r="F236" i="17"/>
  <c r="G236" i="17"/>
  <c r="N236" i="17" s="1"/>
  <c r="J236" i="17"/>
  <c r="M236" i="17" s="1"/>
  <c r="D237" i="17"/>
  <c r="E237" i="17"/>
  <c r="F237" i="17"/>
  <c r="G237" i="17"/>
  <c r="N237" i="17" s="1"/>
  <c r="J237" i="17"/>
  <c r="M237" i="17" s="1"/>
  <c r="D238" i="17"/>
  <c r="E238" i="17"/>
  <c r="F238" i="17"/>
  <c r="G238" i="17"/>
  <c r="N238" i="17" s="1"/>
  <c r="J238" i="17"/>
  <c r="M238" i="17" s="1"/>
  <c r="D239" i="17"/>
  <c r="E239" i="17"/>
  <c r="F239" i="17"/>
  <c r="G239" i="17"/>
  <c r="N239" i="17" s="1"/>
  <c r="J239" i="17"/>
  <c r="M239" i="17" s="1"/>
  <c r="D240" i="17"/>
  <c r="E240" i="17"/>
  <c r="F240" i="17"/>
  <c r="G240" i="17"/>
  <c r="N240" i="17" s="1"/>
  <c r="J240" i="17"/>
  <c r="M240" i="17" s="1"/>
  <c r="D241" i="17"/>
  <c r="E241" i="17"/>
  <c r="F241" i="17"/>
  <c r="G241" i="17"/>
  <c r="N241" i="17" s="1"/>
  <c r="J241" i="17"/>
  <c r="M241" i="17" s="1"/>
  <c r="D242" i="17"/>
  <c r="E242" i="17"/>
  <c r="F242" i="17"/>
  <c r="G242" i="17"/>
  <c r="N242" i="17" s="1"/>
  <c r="J242" i="17"/>
  <c r="M242" i="17" s="1"/>
  <c r="D243" i="17"/>
  <c r="E243" i="17"/>
  <c r="F243" i="17"/>
  <c r="G243" i="17"/>
  <c r="N243" i="17" s="1"/>
  <c r="J243" i="17"/>
  <c r="M243" i="17" s="1"/>
  <c r="D244" i="17"/>
  <c r="E244" i="17"/>
  <c r="F244" i="17"/>
  <c r="G244" i="17"/>
  <c r="N244" i="17" s="1"/>
  <c r="J244" i="17"/>
  <c r="M244" i="17" s="1"/>
  <c r="D245" i="17"/>
  <c r="E245" i="17"/>
  <c r="F245" i="17"/>
  <c r="G245" i="17"/>
  <c r="N245" i="17" s="1"/>
  <c r="J245" i="17"/>
  <c r="M245" i="17" s="1"/>
  <c r="D246" i="17"/>
  <c r="E246" i="17"/>
  <c r="F246" i="17"/>
  <c r="G246" i="17"/>
  <c r="N246" i="17" s="1"/>
  <c r="J246" i="17"/>
  <c r="M246" i="17" s="1"/>
  <c r="D247" i="17"/>
  <c r="E247" i="17"/>
  <c r="F247" i="17"/>
  <c r="G247" i="17"/>
  <c r="N247" i="17" s="1"/>
  <c r="J247" i="17"/>
  <c r="M247" i="17" s="1"/>
  <c r="D248" i="17"/>
  <c r="E248" i="17"/>
  <c r="F248" i="17"/>
  <c r="G248" i="17"/>
  <c r="N248" i="17" s="1"/>
  <c r="J248" i="17"/>
  <c r="M248" i="17" s="1"/>
  <c r="D249" i="17"/>
  <c r="E249" i="17"/>
  <c r="F249" i="17"/>
  <c r="G249" i="17"/>
  <c r="N249" i="17" s="1"/>
  <c r="J249" i="17"/>
  <c r="M249" i="17" s="1"/>
  <c r="D250" i="17"/>
  <c r="E250" i="17"/>
  <c r="F250" i="17"/>
  <c r="G250" i="17"/>
  <c r="N250" i="17" s="1"/>
  <c r="J250" i="17"/>
  <c r="M250" i="17" s="1"/>
  <c r="D251" i="17"/>
  <c r="E251" i="17"/>
  <c r="F251" i="17"/>
  <c r="G251" i="17"/>
  <c r="N251" i="17" s="1"/>
  <c r="J251" i="17"/>
  <c r="M251" i="17" s="1"/>
  <c r="D252" i="17"/>
  <c r="E252" i="17"/>
  <c r="F252" i="17"/>
  <c r="G252" i="17"/>
  <c r="N252" i="17" s="1"/>
  <c r="J252" i="17"/>
  <c r="M252" i="17" s="1"/>
  <c r="D253" i="17"/>
  <c r="E253" i="17"/>
  <c r="F253" i="17"/>
  <c r="G253" i="17"/>
  <c r="N253" i="17" s="1"/>
  <c r="J253" i="17"/>
  <c r="M253" i="17" s="1"/>
  <c r="D254" i="17"/>
  <c r="E254" i="17"/>
  <c r="F254" i="17"/>
  <c r="G254" i="17"/>
  <c r="N254" i="17" s="1"/>
  <c r="J254" i="17"/>
  <c r="M254" i="17" s="1"/>
  <c r="D255" i="17"/>
  <c r="E255" i="17"/>
  <c r="F255" i="17"/>
  <c r="G255" i="17"/>
  <c r="N255" i="17" s="1"/>
  <c r="J255" i="17"/>
  <c r="M255" i="17" s="1"/>
  <c r="D256" i="17"/>
  <c r="E256" i="17"/>
  <c r="F256" i="17"/>
  <c r="G256" i="17"/>
  <c r="N256" i="17" s="1"/>
  <c r="J256" i="17"/>
  <c r="M256" i="17" s="1"/>
  <c r="D257" i="17"/>
  <c r="E257" i="17"/>
  <c r="F257" i="17"/>
  <c r="G257" i="17"/>
  <c r="N257" i="17" s="1"/>
  <c r="J257" i="17"/>
  <c r="M257" i="17" s="1"/>
  <c r="D258" i="17"/>
  <c r="E258" i="17"/>
  <c r="F258" i="17"/>
  <c r="G258" i="17"/>
  <c r="N258" i="17" s="1"/>
  <c r="J258" i="17"/>
  <c r="M258" i="17" s="1"/>
  <c r="D259" i="17"/>
  <c r="E259" i="17"/>
  <c r="F259" i="17"/>
  <c r="G259" i="17"/>
  <c r="N259" i="17" s="1"/>
  <c r="J259" i="17"/>
  <c r="M259" i="17" s="1"/>
  <c r="D260" i="17"/>
  <c r="E260" i="17"/>
  <c r="F260" i="17"/>
  <c r="G260" i="17"/>
  <c r="N260" i="17" s="1"/>
  <c r="J260" i="17"/>
  <c r="M260" i="17" s="1"/>
  <c r="D261" i="17"/>
  <c r="E261" i="17"/>
  <c r="F261" i="17"/>
  <c r="G261" i="17"/>
  <c r="N261" i="17" s="1"/>
  <c r="J261" i="17"/>
  <c r="M261" i="17" s="1"/>
  <c r="D262" i="17"/>
  <c r="E262" i="17"/>
  <c r="F262" i="17"/>
  <c r="G262" i="17"/>
  <c r="N262" i="17" s="1"/>
  <c r="J262" i="17"/>
  <c r="M262" i="17" s="1"/>
  <c r="D263" i="17"/>
  <c r="E263" i="17"/>
  <c r="F263" i="17"/>
  <c r="G263" i="17"/>
  <c r="N263" i="17" s="1"/>
  <c r="J263" i="17"/>
  <c r="M263" i="17" s="1"/>
  <c r="D264" i="17"/>
  <c r="E264" i="17"/>
  <c r="F264" i="17"/>
  <c r="G264" i="17"/>
  <c r="N264" i="17" s="1"/>
  <c r="J264" i="17"/>
  <c r="M264" i="17" s="1"/>
  <c r="D265" i="17"/>
  <c r="E265" i="17"/>
  <c r="F265" i="17"/>
  <c r="G265" i="17"/>
  <c r="N265" i="17" s="1"/>
  <c r="J265" i="17"/>
  <c r="M265" i="17" s="1"/>
  <c r="D266" i="17"/>
  <c r="E266" i="17"/>
  <c r="F266" i="17"/>
  <c r="G266" i="17"/>
  <c r="N266" i="17" s="1"/>
  <c r="J266" i="17"/>
  <c r="M266" i="17" s="1"/>
  <c r="D267" i="17"/>
  <c r="E267" i="17"/>
  <c r="F267" i="17"/>
  <c r="G267" i="17"/>
  <c r="N267" i="17" s="1"/>
  <c r="J267" i="17"/>
  <c r="M267" i="17" s="1"/>
  <c r="D268" i="17"/>
  <c r="E268" i="17"/>
  <c r="F268" i="17"/>
  <c r="G268" i="17"/>
  <c r="N268" i="17" s="1"/>
  <c r="J268" i="17"/>
  <c r="M268" i="17" s="1"/>
  <c r="D269" i="17"/>
  <c r="E269" i="17"/>
  <c r="F269" i="17"/>
  <c r="G269" i="17"/>
  <c r="N269" i="17" s="1"/>
  <c r="J269" i="17"/>
  <c r="M269" i="17" s="1"/>
  <c r="D270" i="17"/>
  <c r="E270" i="17"/>
  <c r="F270" i="17"/>
  <c r="G270" i="17"/>
  <c r="N270" i="17" s="1"/>
  <c r="J270" i="17"/>
  <c r="M270" i="17" s="1"/>
  <c r="D271" i="17"/>
  <c r="E271" i="17"/>
  <c r="F271" i="17"/>
  <c r="G271" i="17"/>
  <c r="N271" i="17" s="1"/>
  <c r="J271" i="17"/>
  <c r="M271" i="17" s="1"/>
  <c r="D272" i="17"/>
  <c r="E272" i="17"/>
  <c r="F272" i="17"/>
  <c r="G272" i="17"/>
  <c r="N272" i="17" s="1"/>
  <c r="J272" i="17"/>
  <c r="M272" i="17" s="1"/>
  <c r="D273" i="17"/>
  <c r="E273" i="17"/>
  <c r="F273" i="17"/>
  <c r="G273" i="17"/>
  <c r="N273" i="17" s="1"/>
  <c r="J273" i="17"/>
  <c r="M273" i="17" s="1"/>
  <c r="D274" i="17"/>
  <c r="E274" i="17"/>
  <c r="F274" i="17"/>
  <c r="G274" i="17"/>
  <c r="N274" i="17" s="1"/>
  <c r="J274" i="17"/>
  <c r="M274" i="17" s="1"/>
  <c r="D275" i="17"/>
  <c r="E275" i="17"/>
  <c r="F275" i="17"/>
  <c r="G275" i="17"/>
  <c r="N275" i="17" s="1"/>
  <c r="J275" i="17"/>
  <c r="M275" i="17" s="1"/>
  <c r="D276" i="17"/>
  <c r="E276" i="17"/>
  <c r="F276" i="17"/>
  <c r="G276" i="17"/>
  <c r="N276" i="17" s="1"/>
  <c r="J276" i="17"/>
  <c r="M276" i="17" s="1"/>
  <c r="D277" i="17"/>
  <c r="E277" i="17"/>
  <c r="F277" i="17"/>
  <c r="G277" i="17"/>
  <c r="N277" i="17" s="1"/>
  <c r="J277" i="17"/>
  <c r="M277" i="17" s="1"/>
  <c r="D278" i="17"/>
  <c r="E278" i="17"/>
  <c r="F278" i="17"/>
  <c r="G278" i="17"/>
  <c r="N278" i="17" s="1"/>
  <c r="J278" i="17"/>
  <c r="M278" i="17" s="1"/>
  <c r="D279" i="17"/>
  <c r="E279" i="17"/>
  <c r="F279" i="17"/>
  <c r="G279" i="17"/>
  <c r="N279" i="17" s="1"/>
  <c r="J279" i="17"/>
  <c r="M279" i="17" s="1"/>
  <c r="D280" i="17"/>
  <c r="E280" i="17"/>
  <c r="F280" i="17"/>
  <c r="G280" i="17"/>
  <c r="N280" i="17" s="1"/>
  <c r="J280" i="17"/>
  <c r="M280" i="17" s="1"/>
  <c r="D281" i="17"/>
  <c r="E281" i="17"/>
  <c r="F281" i="17"/>
  <c r="G281" i="17"/>
  <c r="N281" i="17" s="1"/>
  <c r="J281" i="17"/>
  <c r="M281" i="17" s="1"/>
  <c r="D282" i="17"/>
  <c r="E282" i="17"/>
  <c r="F282" i="17"/>
  <c r="G282" i="17"/>
  <c r="N282" i="17" s="1"/>
  <c r="J282" i="17"/>
  <c r="M282" i="17" s="1"/>
  <c r="D283" i="17"/>
  <c r="E283" i="17"/>
  <c r="F283" i="17"/>
  <c r="G283" i="17"/>
  <c r="N283" i="17" s="1"/>
  <c r="J283" i="17"/>
  <c r="M283" i="17" s="1"/>
  <c r="D284" i="17"/>
  <c r="E284" i="17"/>
  <c r="F284" i="17"/>
  <c r="G284" i="17"/>
  <c r="N284" i="17" s="1"/>
  <c r="J284" i="17"/>
  <c r="M284" i="17" s="1"/>
  <c r="D285" i="17"/>
  <c r="E285" i="17"/>
  <c r="F285" i="17"/>
  <c r="G285" i="17"/>
  <c r="N285" i="17" s="1"/>
  <c r="J285" i="17"/>
  <c r="M285" i="17" s="1"/>
  <c r="D286" i="17"/>
  <c r="E286" i="17"/>
  <c r="F286" i="17"/>
  <c r="G286" i="17"/>
  <c r="N286" i="17" s="1"/>
  <c r="J286" i="17"/>
  <c r="M286" i="17" s="1"/>
  <c r="D287" i="17"/>
  <c r="E287" i="17"/>
  <c r="F287" i="17"/>
  <c r="G287" i="17"/>
  <c r="N287" i="17" s="1"/>
  <c r="J287" i="17"/>
  <c r="M287" i="17" s="1"/>
  <c r="D288" i="17"/>
  <c r="E288" i="17"/>
  <c r="F288" i="17"/>
  <c r="G288" i="17"/>
  <c r="N288" i="17" s="1"/>
  <c r="J288" i="17"/>
  <c r="M288" i="17" s="1"/>
  <c r="D289" i="17"/>
  <c r="E289" i="17"/>
  <c r="F289" i="17"/>
  <c r="G289" i="17"/>
  <c r="N289" i="17" s="1"/>
  <c r="J289" i="17"/>
  <c r="M289" i="17" s="1"/>
  <c r="D290" i="17"/>
  <c r="E290" i="17"/>
  <c r="F290" i="17"/>
  <c r="G290" i="17"/>
  <c r="N290" i="17" s="1"/>
  <c r="J290" i="17"/>
  <c r="M290" i="17" s="1"/>
  <c r="D291" i="17"/>
  <c r="E291" i="17"/>
  <c r="F291" i="17"/>
  <c r="G291" i="17"/>
  <c r="N291" i="17" s="1"/>
  <c r="J291" i="17"/>
  <c r="M291" i="17" s="1"/>
  <c r="D292" i="17"/>
  <c r="E292" i="17"/>
  <c r="F292" i="17"/>
  <c r="G292" i="17"/>
  <c r="N292" i="17" s="1"/>
  <c r="J292" i="17"/>
  <c r="M292" i="17" s="1"/>
  <c r="D293" i="17"/>
  <c r="E293" i="17"/>
  <c r="F293" i="17"/>
  <c r="G293" i="17"/>
  <c r="N293" i="17" s="1"/>
  <c r="J293" i="17"/>
  <c r="M293" i="17" s="1"/>
  <c r="D294" i="17"/>
  <c r="E294" i="17"/>
  <c r="F294" i="17"/>
  <c r="G294" i="17"/>
  <c r="N294" i="17" s="1"/>
  <c r="J294" i="17"/>
  <c r="M294" i="17" s="1"/>
  <c r="D295" i="17"/>
  <c r="E295" i="17"/>
  <c r="F295" i="17"/>
  <c r="G295" i="17"/>
  <c r="N295" i="17" s="1"/>
  <c r="J295" i="17"/>
  <c r="M295" i="17" s="1"/>
  <c r="D296" i="17"/>
  <c r="E296" i="17"/>
  <c r="F296" i="17"/>
  <c r="G296" i="17"/>
  <c r="N296" i="17" s="1"/>
  <c r="J296" i="17"/>
  <c r="M296" i="17" s="1"/>
  <c r="D297" i="17"/>
  <c r="E297" i="17"/>
  <c r="F297" i="17"/>
  <c r="G297" i="17"/>
  <c r="N297" i="17" s="1"/>
  <c r="J297" i="17"/>
  <c r="M297" i="17" s="1"/>
  <c r="D298" i="17"/>
  <c r="E298" i="17"/>
  <c r="F298" i="17"/>
  <c r="G298" i="17"/>
  <c r="N298" i="17" s="1"/>
  <c r="J298" i="17"/>
  <c r="M298" i="17" s="1"/>
  <c r="D299" i="17"/>
  <c r="E299" i="17"/>
  <c r="F299" i="17"/>
  <c r="G299" i="17"/>
  <c r="N299" i="17" s="1"/>
  <c r="J299" i="17"/>
  <c r="M299" i="17" s="1"/>
  <c r="D300" i="17"/>
  <c r="E300" i="17"/>
  <c r="F300" i="17"/>
  <c r="G300" i="17"/>
  <c r="N300" i="17" s="1"/>
  <c r="J300" i="17"/>
  <c r="M300" i="17" s="1"/>
  <c r="D301" i="17"/>
  <c r="E301" i="17"/>
  <c r="F301" i="17"/>
  <c r="G301" i="17"/>
  <c r="N301" i="17" s="1"/>
  <c r="J301" i="17"/>
  <c r="M301" i="17" s="1"/>
  <c r="D302" i="17"/>
  <c r="E302" i="17"/>
  <c r="F302" i="17"/>
  <c r="G302" i="17"/>
  <c r="N302" i="17" s="1"/>
  <c r="J302" i="17"/>
  <c r="M302" i="17" s="1"/>
  <c r="D303" i="17"/>
  <c r="E303" i="17"/>
  <c r="F303" i="17"/>
  <c r="G303" i="17"/>
  <c r="N303" i="17" s="1"/>
  <c r="J303" i="17"/>
  <c r="M303" i="17" s="1"/>
  <c r="D304" i="17"/>
  <c r="E304" i="17"/>
  <c r="F304" i="17"/>
  <c r="G304" i="17"/>
  <c r="N304" i="17" s="1"/>
  <c r="J304" i="17"/>
  <c r="M304" i="17" s="1"/>
  <c r="D305" i="17"/>
  <c r="E305" i="17"/>
  <c r="F305" i="17"/>
  <c r="G305" i="17"/>
  <c r="N305" i="17" s="1"/>
  <c r="J305" i="17"/>
  <c r="M305" i="17" s="1"/>
  <c r="D306" i="17"/>
  <c r="E306" i="17"/>
  <c r="F306" i="17"/>
  <c r="G306" i="17"/>
  <c r="N306" i="17" s="1"/>
  <c r="J306" i="17"/>
  <c r="M306" i="17" s="1"/>
  <c r="D307" i="17"/>
  <c r="E307" i="17"/>
  <c r="F307" i="17"/>
  <c r="G307" i="17"/>
  <c r="N307" i="17" s="1"/>
  <c r="J307" i="17"/>
  <c r="M307" i="17" s="1"/>
  <c r="D308" i="17"/>
  <c r="E308" i="17"/>
  <c r="F308" i="17"/>
  <c r="G308" i="17"/>
  <c r="N308" i="17" s="1"/>
  <c r="J308" i="17"/>
  <c r="M308" i="17" s="1"/>
  <c r="D309" i="17"/>
  <c r="E309" i="17"/>
  <c r="F309" i="17"/>
  <c r="G309" i="17"/>
  <c r="N309" i="17" s="1"/>
  <c r="J309" i="17"/>
  <c r="M309" i="17" s="1"/>
  <c r="D310" i="17"/>
  <c r="E310" i="17"/>
  <c r="F310" i="17"/>
  <c r="G310" i="17"/>
  <c r="N310" i="17" s="1"/>
  <c r="J310" i="17"/>
  <c r="M310" i="17" s="1"/>
  <c r="D311" i="17"/>
  <c r="E311" i="17"/>
  <c r="F311" i="17"/>
  <c r="G311" i="17"/>
  <c r="N311" i="17" s="1"/>
  <c r="J311" i="17"/>
  <c r="M311" i="17" s="1"/>
  <c r="D312" i="17"/>
  <c r="E312" i="17"/>
  <c r="F312" i="17"/>
  <c r="G312" i="17"/>
  <c r="N312" i="17" s="1"/>
  <c r="J312" i="17"/>
  <c r="M312" i="17" s="1"/>
  <c r="D313" i="17"/>
  <c r="E313" i="17"/>
  <c r="F313" i="17"/>
  <c r="G313" i="17"/>
  <c r="N313" i="17" s="1"/>
  <c r="J313" i="17"/>
  <c r="M313" i="17" s="1"/>
  <c r="D314" i="17"/>
  <c r="E314" i="17"/>
  <c r="F314" i="17"/>
  <c r="G314" i="17"/>
  <c r="N314" i="17" s="1"/>
  <c r="J314" i="17"/>
  <c r="M314" i="17" s="1"/>
  <c r="D315" i="17"/>
  <c r="E315" i="17"/>
  <c r="F315" i="17"/>
  <c r="G315" i="17"/>
  <c r="N315" i="17" s="1"/>
  <c r="J315" i="17"/>
  <c r="M315" i="17" s="1"/>
  <c r="D316" i="17"/>
  <c r="E316" i="17"/>
  <c r="F316" i="17"/>
  <c r="G316" i="17"/>
  <c r="N316" i="17" s="1"/>
  <c r="J316" i="17"/>
  <c r="M316" i="17" s="1"/>
  <c r="D317" i="17"/>
  <c r="E317" i="17"/>
  <c r="F317" i="17"/>
  <c r="G317" i="17"/>
  <c r="N317" i="17" s="1"/>
  <c r="J317" i="17"/>
  <c r="M317" i="17" s="1"/>
  <c r="D318" i="17"/>
  <c r="E318" i="17"/>
  <c r="F318" i="17"/>
  <c r="G318" i="17"/>
  <c r="N318" i="17" s="1"/>
  <c r="J318" i="17"/>
  <c r="M318" i="17" s="1"/>
  <c r="D319" i="17"/>
  <c r="E319" i="17"/>
  <c r="F319" i="17"/>
  <c r="G319" i="17"/>
  <c r="N319" i="17" s="1"/>
  <c r="J319" i="17"/>
  <c r="M319" i="17" s="1"/>
  <c r="D320" i="17"/>
  <c r="E320" i="17"/>
  <c r="F320" i="17"/>
  <c r="G320" i="17"/>
  <c r="N320" i="17" s="1"/>
  <c r="J320" i="17"/>
  <c r="M320" i="17" s="1"/>
  <c r="D321" i="17"/>
  <c r="E321" i="17"/>
  <c r="F321" i="17"/>
  <c r="G321" i="17"/>
  <c r="N321" i="17" s="1"/>
  <c r="J321" i="17"/>
  <c r="M321" i="17" s="1"/>
  <c r="D322" i="17"/>
  <c r="E322" i="17"/>
  <c r="F322" i="17"/>
  <c r="G322" i="17"/>
  <c r="N322" i="17" s="1"/>
  <c r="J322" i="17"/>
  <c r="M322" i="17" s="1"/>
  <c r="D323" i="17"/>
  <c r="E323" i="17"/>
  <c r="F323" i="17"/>
  <c r="G323" i="17"/>
  <c r="N323" i="17" s="1"/>
  <c r="J323" i="17"/>
  <c r="M323" i="17" s="1"/>
  <c r="D324" i="17"/>
  <c r="E324" i="17"/>
  <c r="F324" i="17"/>
  <c r="G324" i="17"/>
  <c r="N324" i="17" s="1"/>
  <c r="J324" i="17"/>
  <c r="M324" i="17" s="1"/>
  <c r="D325" i="17"/>
  <c r="E325" i="17"/>
  <c r="F325" i="17"/>
  <c r="G325" i="17"/>
  <c r="N325" i="17" s="1"/>
  <c r="J325" i="17"/>
  <c r="M325" i="17" s="1"/>
  <c r="D326" i="17"/>
  <c r="E326" i="17"/>
  <c r="F326" i="17"/>
  <c r="G326" i="17"/>
  <c r="N326" i="17" s="1"/>
  <c r="J326" i="17"/>
  <c r="M326" i="17" s="1"/>
  <c r="D327" i="17"/>
  <c r="E327" i="17"/>
  <c r="F327" i="17"/>
  <c r="G327" i="17"/>
  <c r="N327" i="17" s="1"/>
  <c r="J327" i="17"/>
  <c r="M327" i="17" s="1"/>
  <c r="D328" i="17"/>
  <c r="E328" i="17"/>
  <c r="F328" i="17"/>
  <c r="G328" i="17"/>
  <c r="N328" i="17" s="1"/>
  <c r="J328" i="17"/>
  <c r="M328" i="17" s="1"/>
  <c r="D329" i="17"/>
  <c r="E329" i="17"/>
  <c r="F329" i="17"/>
  <c r="G329" i="17"/>
  <c r="N329" i="17" s="1"/>
  <c r="J329" i="17"/>
  <c r="M329" i="17" s="1"/>
  <c r="D330" i="17"/>
  <c r="E330" i="17"/>
  <c r="F330" i="17"/>
  <c r="G330" i="17"/>
  <c r="N330" i="17" s="1"/>
  <c r="J330" i="17"/>
  <c r="M330" i="17" s="1"/>
  <c r="D331" i="17"/>
  <c r="E331" i="17"/>
  <c r="F331" i="17"/>
  <c r="G331" i="17"/>
  <c r="N331" i="17" s="1"/>
  <c r="J331" i="17"/>
  <c r="M331" i="17" s="1"/>
  <c r="D332" i="17"/>
  <c r="E332" i="17"/>
  <c r="F332" i="17"/>
  <c r="G332" i="17"/>
  <c r="N332" i="17" s="1"/>
  <c r="J332" i="17"/>
  <c r="M332" i="17" s="1"/>
  <c r="D333" i="17"/>
  <c r="E333" i="17"/>
  <c r="F333" i="17"/>
  <c r="G333" i="17"/>
  <c r="N333" i="17" s="1"/>
  <c r="J333" i="17"/>
  <c r="M333" i="17" s="1"/>
  <c r="D334" i="17"/>
  <c r="E334" i="17"/>
  <c r="F334" i="17"/>
  <c r="G334" i="17"/>
  <c r="N334" i="17" s="1"/>
  <c r="J334" i="17"/>
  <c r="M334" i="17" s="1"/>
  <c r="D335" i="17"/>
  <c r="E335" i="17"/>
  <c r="F335" i="17"/>
  <c r="G335" i="17"/>
  <c r="N335" i="17" s="1"/>
  <c r="J335" i="17"/>
  <c r="M335" i="17" s="1"/>
  <c r="D336" i="17"/>
  <c r="E336" i="17"/>
  <c r="F336" i="17"/>
  <c r="G336" i="17"/>
  <c r="N336" i="17" s="1"/>
  <c r="J336" i="17"/>
  <c r="M336" i="17" s="1"/>
  <c r="D337" i="17"/>
  <c r="E337" i="17"/>
  <c r="F337" i="17"/>
  <c r="G337" i="17"/>
  <c r="N337" i="17" s="1"/>
  <c r="J337" i="17"/>
  <c r="M337" i="17" s="1"/>
  <c r="D338" i="17"/>
  <c r="E338" i="17"/>
  <c r="F338" i="17"/>
  <c r="G338" i="17"/>
  <c r="N338" i="17" s="1"/>
  <c r="J338" i="17"/>
  <c r="M338" i="17" s="1"/>
  <c r="D339" i="17"/>
  <c r="E339" i="17"/>
  <c r="F339" i="17"/>
  <c r="G339" i="17"/>
  <c r="N339" i="17" s="1"/>
  <c r="J339" i="17"/>
  <c r="M339" i="17" s="1"/>
  <c r="D340" i="17"/>
  <c r="E340" i="17"/>
  <c r="F340" i="17"/>
  <c r="G340" i="17"/>
  <c r="N340" i="17" s="1"/>
  <c r="J340" i="17"/>
  <c r="M340" i="17" s="1"/>
  <c r="D341" i="17"/>
  <c r="E341" i="17"/>
  <c r="F341" i="17"/>
  <c r="G341" i="17"/>
  <c r="N341" i="17" s="1"/>
  <c r="J341" i="17"/>
  <c r="M341" i="17" s="1"/>
  <c r="D342" i="17"/>
  <c r="E342" i="17"/>
  <c r="F342" i="17"/>
  <c r="G342" i="17"/>
  <c r="N342" i="17" s="1"/>
  <c r="J342" i="17"/>
  <c r="M342" i="17" s="1"/>
  <c r="D343" i="17"/>
  <c r="E343" i="17"/>
  <c r="F343" i="17"/>
  <c r="G343" i="17"/>
  <c r="N343" i="17" s="1"/>
  <c r="J343" i="17"/>
  <c r="M343" i="17" s="1"/>
  <c r="D344" i="17"/>
  <c r="E344" i="17"/>
  <c r="F344" i="17"/>
  <c r="G344" i="17"/>
  <c r="N344" i="17" s="1"/>
  <c r="J344" i="17"/>
  <c r="M344" i="17" s="1"/>
  <c r="D345" i="17"/>
  <c r="E345" i="17"/>
  <c r="F345" i="17"/>
  <c r="G345" i="17"/>
  <c r="N345" i="17" s="1"/>
  <c r="J345" i="17"/>
  <c r="M345" i="17" s="1"/>
  <c r="D346" i="17"/>
  <c r="E346" i="17"/>
  <c r="F346" i="17"/>
  <c r="G346" i="17"/>
  <c r="N346" i="17" s="1"/>
  <c r="J346" i="17"/>
  <c r="M346" i="17" s="1"/>
  <c r="D347" i="17"/>
  <c r="E347" i="17"/>
  <c r="F347" i="17"/>
  <c r="G347" i="17"/>
  <c r="N347" i="17" s="1"/>
  <c r="J347" i="17"/>
  <c r="M347" i="17" s="1"/>
  <c r="D348" i="17"/>
  <c r="E348" i="17"/>
  <c r="F348" i="17"/>
  <c r="G348" i="17"/>
  <c r="N348" i="17" s="1"/>
  <c r="J348" i="17"/>
  <c r="M348" i="17" s="1"/>
  <c r="D349" i="17"/>
  <c r="E349" i="17"/>
  <c r="F349" i="17"/>
  <c r="G349" i="17"/>
  <c r="N349" i="17" s="1"/>
  <c r="J349" i="17"/>
  <c r="M349" i="17" s="1"/>
  <c r="D350" i="17"/>
  <c r="E350" i="17"/>
  <c r="F350" i="17"/>
  <c r="G350" i="17"/>
  <c r="N350" i="17" s="1"/>
  <c r="J350" i="17"/>
  <c r="M350" i="17" s="1"/>
  <c r="D351" i="17"/>
  <c r="E351" i="17"/>
  <c r="F351" i="17"/>
  <c r="G351" i="17"/>
  <c r="N351" i="17" s="1"/>
  <c r="J351" i="17"/>
  <c r="M351" i="17" s="1"/>
  <c r="D352" i="17"/>
  <c r="E352" i="17"/>
  <c r="F352" i="17"/>
  <c r="G352" i="17"/>
  <c r="N352" i="17" s="1"/>
  <c r="J352" i="17"/>
  <c r="M352" i="17" s="1"/>
  <c r="D353" i="17"/>
  <c r="E353" i="17"/>
  <c r="F353" i="17"/>
  <c r="G353" i="17"/>
  <c r="N353" i="17" s="1"/>
  <c r="J353" i="17"/>
  <c r="M353" i="17" s="1"/>
  <c r="D354" i="17"/>
  <c r="E354" i="17"/>
  <c r="F354" i="17"/>
  <c r="G354" i="17"/>
  <c r="N354" i="17" s="1"/>
  <c r="J354" i="17"/>
  <c r="M354" i="17" s="1"/>
  <c r="D355" i="17"/>
  <c r="E355" i="17"/>
  <c r="F355" i="17"/>
  <c r="G355" i="17"/>
  <c r="N355" i="17" s="1"/>
  <c r="J355" i="17"/>
  <c r="M355" i="17" s="1"/>
  <c r="D356" i="17"/>
  <c r="E356" i="17"/>
  <c r="F356" i="17"/>
  <c r="G356" i="17"/>
  <c r="N356" i="17" s="1"/>
  <c r="J356" i="17"/>
  <c r="M356" i="17" s="1"/>
  <c r="D357" i="17"/>
  <c r="E357" i="17"/>
  <c r="F357" i="17"/>
  <c r="G357" i="17"/>
  <c r="N357" i="17" s="1"/>
  <c r="J357" i="17"/>
  <c r="M357" i="17" s="1"/>
  <c r="D358" i="17"/>
  <c r="E358" i="17"/>
  <c r="F358" i="17"/>
  <c r="G358" i="17"/>
  <c r="N358" i="17" s="1"/>
  <c r="J358" i="17"/>
  <c r="M358" i="17" s="1"/>
  <c r="D359" i="17"/>
  <c r="E359" i="17"/>
  <c r="F359" i="17"/>
  <c r="G359" i="17"/>
  <c r="N359" i="17" s="1"/>
  <c r="J359" i="17"/>
  <c r="M359" i="17" s="1"/>
  <c r="D360" i="17"/>
  <c r="E360" i="17"/>
  <c r="F360" i="17"/>
  <c r="G360" i="17"/>
  <c r="N360" i="17" s="1"/>
  <c r="J360" i="17"/>
  <c r="M360" i="17" s="1"/>
  <c r="D361" i="17"/>
  <c r="E361" i="17"/>
  <c r="F361" i="17"/>
  <c r="G361" i="17"/>
  <c r="N361" i="17" s="1"/>
  <c r="J361" i="17"/>
  <c r="M361" i="17" s="1"/>
  <c r="D362" i="17"/>
  <c r="E362" i="17"/>
  <c r="F362" i="17"/>
  <c r="G362" i="17"/>
  <c r="N362" i="17" s="1"/>
  <c r="J362" i="17"/>
  <c r="M362" i="17" s="1"/>
  <c r="D363" i="17"/>
  <c r="E363" i="17"/>
  <c r="F363" i="17"/>
  <c r="G363" i="17"/>
  <c r="N363" i="17" s="1"/>
  <c r="J363" i="17"/>
  <c r="M363" i="17" s="1"/>
  <c r="D364" i="17"/>
  <c r="E364" i="17"/>
  <c r="F364" i="17"/>
  <c r="G364" i="17"/>
  <c r="N364" i="17" s="1"/>
  <c r="J364" i="17"/>
  <c r="M364" i="17" s="1"/>
  <c r="D365" i="17"/>
  <c r="E365" i="17"/>
  <c r="F365" i="17"/>
  <c r="G365" i="17"/>
  <c r="N365" i="17" s="1"/>
  <c r="J365" i="17"/>
  <c r="M365" i="17" s="1"/>
  <c r="D366" i="17"/>
  <c r="E366" i="17"/>
  <c r="F366" i="17"/>
  <c r="G366" i="17"/>
  <c r="N366" i="17" s="1"/>
  <c r="J366" i="17"/>
  <c r="M366" i="17" s="1"/>
  <c r="D367" i="17"/>
  <c r="E367" i="17"/>
  <c r="F367" i="17"/>
  <c r="G367" i="17"/>
  <c r="N367" i="17" s="1"/>
  <c r="J367" i="17"/>
  <c r="M367" i="17" s="1"/>
  <c r="D368" i="17"/>
  <c r="E368" i="17"/>
  <c r="F368" i="17"/>
  <c r="G368" i="17"/>
  <c r="N368" i="17" s="1"/>
  <c r="J368" i="17"/>
  <c r="M368" i="17" s="1"/>
  <c r="D369" i="17"/>
  <c r="E369" i="17"/>
  <c r="F369" i="17"/>
  <c r="G369" i="17"/>
  <c r="N369" i="17" s="1"/>
  <c r="J369" i="17"/>
  <c r="M369" i="17" s="1"/>
  <c r="D370" i="17"/>
  <c r="E370" i="17"/>
  <c r="F370" i="17"/>
  <c r="G370" i="17"/>
  <c r="N370" i="17" s="1"/>
  <c r="J370" i="17"/>
  <c r="M370" i="17" s="1"/>
  <c r="D371" i="17"/>
  <c r="E371" i="17"/>
  <c r="F371" i="17"/>
  <c r="G371" i="17"/>
  <c r="N371" i="17" s="1"/>
  <c r="J371" i="17"/>
  <c r="M371" i="17" s="1"/>
  <c r="D372" i="17"/>
  <c r="E372" i="17"/>
  <c r="F372" i="17"/>
  <c r="G372" i="17"/>
  <c r="N372" i="17" s="1"/>
  <c r="J372" i="17"/>
  <c r="M372" i="17" s="1"/>
  <c r="D373" i="17"/>
  <c r="E373" i="17"/>
  <c r="F373" i="17"/>
  <c r="G373" i="17"/>
  <c r="N373" i="17" s="1"/>
  <c r="J373" i="17"/>
  <c r="M373" i="17" s="1"/>
  <c r="D374" i="17"/>
  <c r="E374" i="17"/>
  <c r="F374" i="17"/>
  <c r="G374" i="17"/>
  <c r="N374" i="17" s="1"/>
  <c r="J374" i="17"/>
  <c r="M374" i="17" s="1"/>
  <c r="D375" i="17"/>
  <c r="E375" i="17"/>
  <c r="F375" i="17"/>
  <c r="G375" i="17"/>
  <c r="N375" i="17" s="1"/>
  <c r="J375" i="17"/>
  <c r="M375" i="17" s="1"/>
  <c r="D376" i="17"/>
  <c r="E376" i="17"/>
  <c r="F376" i="17"/>
  <c r="G376" i="17"/>
  <c r="N376" i="17" s="1"/>
  <c r="J376" i="17"/>
  <c r="M376" i="17" s="1"/>
  <c r="D377" i="17"/>
  <c r="E377" i="17"/>
  <c r="F377" i="17"/>
  <c r="G377" i="17"/>
  <c r="N377" i="17" s="1"/>
  <c r="J377" i="17"/>
  <c r="M377" i="17" s="1"/>
  <c r="D378" i="17"/>
  <c r="E378" i="17"/>
  <c r="F378" i="17"/>
  <c r="G378" i="17"/>
  <c r="N378" i="17" s="1"/>
  <c r="J378" i="17"/>
  <c r="M378" i="17" s="1"/>
  <c r="D379" i="17"/>
  <c r="E379" i="17"/>
  <c r="F379" i="17"/>
  <c r="G379" i="17"/>
  <c r="N379" i="17" s="1"/>
  <c r="J379" i="17"/>
  <c r="M379" i="17" s="1"/>
  <c r="D380" i="17"/>
  <c r="E380" i="17"/>
  <c r="F380" i="17"/>
  <c r="G380" i="17"/>
  <c r="N380" i="17" s="1"/>
  <c r="J380" i="17"/>
  <c r="M380" i="17" s="1"/>
  <c r="D381" i="17"/>
  <c r="E381" i="17"/>
  <c r="F381" i="17"/>
  <c r="G381" i="17"/>
  <c r="N381" i="17" s="1"/>
  <c r="J381" i="17"/>
  <c r="M381" i="17" s="1"/>
  <c r="D382" i="17"/>
  <c r="E382" i="17"/>
  <c r="F382" i="17"/>
  <c r="G382" i="17"/>
  <c r="N382" i="17" s="1"/>
  <c r="J382" i="17"/>
  <c r="M382" i="17" s="1"/>
  <c r="D383" i="17"/>
  <c r="E383" i="17"/>
  <c r="F383" i="17"/>
  <c r="G383" i="17"/>
  <c r="N383" i="17" s="1"/>
  <c r="J383" i="17"/>
  <c r="M383" i="17" s="1"/>
  <c r="D384" i="17"/>
  <c r="E384" i="17"/>
  <c r="F384" i="17"/>
  <c r="G384" i="17"/>
  <c r="N384" i="17" s="1"/>
  <c r="J384" i="17"/>
  <c r="M384" i="17" s="1"/>
  <c r="D385" i="17"/>
  <c r="E385" i="17"/>
  <c r="F385" i="17"/>
  <c r="G385" i="17"/>
  <c r="N385" i="17" s="1"/>
  <c r="J385" i="17"/>
  <c r="M385" i="17" s="1"/>
  <c r="D386" i="17"/>
  <c r="E386" i="17"/>
  <c r="F386" i="17"/>
  <c r="G386" i="17"/>
  <c r="N386" i="17" s="1"/>
  <c r="J386" i="17"/>
  <c r="M386" i="17" s="1"/>
  <c r="D387" i="17"/>
  <c r="E387" i="17"/>
  <c r="F387" i="17"/>
  <c r="G387" i="17"/>
  <c r="N387" i="17" s="1"/>
  <c r="J387" i="17"/>
  <c r="M387" i="17" s="1"/>
  <c r="D388" i="17"/>
  <c r="E388" i="17"/>
  <c r="F388" i="17"/>
  <c r="G388" i="17"/>
  <c r="N388" i="17" s="1"/>
  <c r="J388" i="17"/>
  <c r="M388" i="17" s="1"/>
  <c r="D389" i="17"/>
  <c r="E389" i="17"/>
  <c r="F389" i="17"/>
  <c r="G389" i="17"/>
  <c r="N389" i="17" s="1"/>
  <c r="J389" i="17"/>
  <c r="M389" i="17" s="1"/>
  <c r="D390" i="17"/>
  <c r="E390" i="17"/>
  <c r="F390" i="17"/>
  <c r="G390" i="17"/>
  <c r="N390" i="17" s="1"/>
  <c r="J390" i="17"/>
  <c r="M390" i="17" s="1"/>
  <c r="D391" i="17"/>
  <c r="E391" i="17"/>
  <c r="F391" i="17"/>
  <c r="G391" i="17"/>
  <c r="N391" i="17" s="1"/>
  <c r="J391" i="17"/>
  <c r="M391" i="17" s="1"/>
  <c r="D392" i="17"/>
  <c r="E392" i="17"/>
  <c r="F392" i="17"/>
  <c r="G392" i="17"/>
  <c r="N392" i="17" s="1"/>
  <c r="J392" i="17"/>
  <c r="M392" i="17" s="1"/>
  <c r="D393" i="17"/>
  <c r="E393" i="17"/>
  <c r="F393" i="17"/>
  <c r="G393" i="17"/>
  <c r="N393" i="17" s="1"/>
  <c r="J393" i="17"/>
  <c r="M393" i="17" s="1"/>
  <c r="C392" i="17" l="1"/>
  <c r="C116" i="17"/>
  <c r="C389" i="17"/>
  <c r="C38" i="17"/>
  <c r="C319" i="17"/>
  <c r="C210" i="17"/>
  <c r="C66" i="17"/>
  <c r="C248" i="17"/>
  <c r="C190" i="17"/>
  <c r="C158" i="17"/>
  <c r="C142" i="17"/>
  <c r="C276" i="17"/>
  <c r="C167" i="17"/>
  <c r="C79" i="17"/>
  <c r="C390" i="17"/>
  <c r="C382" i="17"/>
  <c r="C245" i="17"/>
  <c r="C259" i="17"/>
  <c r="C34" i="17"/>
  <c r="C161" i="17"/>
  <c r="C145" i="17"/>
  <c r="C279" i="17"/>
  <c r="C322" i="17"/>
  <c r="C300" i="17"/>
  <c r="C270" i="17"/>
  <c r="C58" i="17"/>
  <c r="C364" i="17"/>
  <c r="C295" i="17"/>
  <c r="C200" i="17"/>
  <c r="C192" i="17"/>
  <c r="C168" i="17"/>
  <c r="C53" i="17"/>
  <c r="C195" i="17"/>
  <c r="C187" i="17"/>
  <c r="C163" i="17"/>
  <c r="C155" i="17"/>
  <c r="C70" i="17"/>
  <c r="C340" i="17"/>
  <c r="C252" i="17"/>
  <c r="C376" i="17"/>
  <c r="C368" i="17"/>
  <c r="C212" i="17"/>
  <c r="C272" i="17"/>
  <c r="C180" i="17"/>
  <c r="C140" i="17"/>
  <c r="C76" i="17"/>
  <c r="C352" i="17"/>
  <c r="C335" i="17"/>
  <c r="C288" i="17"/>
  <c r="C164" i="17"/>
  <c r="C391" i="17"/>
  <c r="C344" i="17"/>
  <c r="C338" i="17"/>
  <c r="C257" i="17"/>
  <c r="C235" i="17"/>
  <c r="C208" i="17"/>
  <c r="C148" i="17"/>
  <c r="C154" i="17"/>
  <c r="C151" i="17"/>
  <c r="C121" i="17"/>
  <c r="C284" i="17"/>
  <c r="C135" i="17"/>
  <c r="C132" i="17"/>
  <c r="C81" i="17"/>
  <c r="C234" i="17"/>
  <c r="C166" i="17"/>
  <c r="C152" i="17"/>
  <c r="C122" i="17"/>
  <c r="C191" i="17"/>
  <c r="C109" i="17"/>
  <c r="C82" i="17"/>
  <c r="C367" i="17"/>
  <c r="C256" i="17"/>
  <c r="C250" i="17"/>
  <c r="C219" i="17"/>
  <c r="C388" i="17"/>
  <c r="C378" i="17"/>
  <c r="C278" i="17"/>
  <c r="C244" i="17"/>
  <c r="C236" i="17"/>
  <c r="C147" i="17"/>
  <c r="C384" i="17"/>
  <c r="C296" i="17"/>
  <c r="C211" i="17"/>
  <c r="C205" i="17"/>
  <c r="C136" i="17"/>
  <c r="C65" i="17"/>
  <c r="C220" i="17"/>
  <c r="C179" i="17"/>
  <c r="C379" i="17"/>
  <c r="C371" i="17"/>
  <c r="C282" i="17"/>
  <c r="C215" i="17"/>
  <c r="C197" i="17"/>
  <c r="C171" i="17"/>
  <c r="C127" i="17"/>
  <c r="C46" i="17"/>
  <c r="C183" i="17"/>
  <c r="C134" i="17"/>
  <c r="C105" i="17"/>
  <c r="C387" i="17"/>
  <c r="C111" i="17"/>
  <c r="C316" i="17"/>
  <c r="C204" i="17"/>
  <c r="C156" i="17"/>
  <c r="C117" i="17"/>
  <c r="C61" i="17"/>
  <c r="C50" i="17"/>
  <c r="C47" i="17"/>
  <c r="C246" i="17"/>
  <c r="C242" i="17"/>
  <c r="C239" i="17"/>
  <c r="C233" i="17"/>
  <c r="C218" i="17"/>
  <c r="C206" i="17"/>
  <c r="C203" i="17"/>
  <c r="C184" i="17"/>
  <c r="C153" i="17"/>
  <c r="C149" i="17"/>
  <c r="C118" i="17"/>
  <c r="C106" i="17"/>
  <c r="C72" i="17"/>
  <c r="C68" i="17"/>
  <c r="C64" i="17"/>
  <c r="C312" i="17"/>
  <c r="C290" i="17"/>
  <c r="C264" i="17"/>
  <c r="C237" i="17"/>
  <c r="C228" i="17"/>
  <c r="C225" i="17"/>
  <c r="C188" i="17"/>
  <c r="C175" i="17"/>
  <c r="C160" i="17"/>
  <c r="C139" i="17"/>
  <c r="C131" i="17"/>
  <c r="C124" i="17"/>
  <c r="C95" i="17"/>
  <c r="C42" i="17"/>
  <c r="C350" i="17"/>
  <c r="C346" i="17"/>
  <c r="C302" i="17"/>
  <c r="C262" i="17"/>
  <c r="C216" i="17"/>
  <c r="C207" i="17"/>
  <c r="C201" i="17"/>
  <c r="C172" i="17"/>
  <c r="C169" i="17"/>
  <c r="C165" i="17"/>
  <c r="C150" i="17"/>
  <c r="C128" i="17"/>
  <c r="C110" i="17"/>
  <c r="C101" i="17"/>
  <c r="C80" i="17"/>
  <c r="C69" i="17"/>
  <c r="BV101" i="1"/>
  <c r="C372" i="17"/>
  <c r="C327" i="17"/>
  <c r="C306" i="17"/>
  <c r="C294" i="17"/>
  <c r="C254" i="17"/>
  <c r="C251" i="17"/>
  <c r="C238" i="17"/>
  <c r="C223" i="17"/>
  <c r="C143" i="17"/>
  <c r="C133" i="17"/>
  <c r="F25" i="1"/>
  <c r="S22" i="1" s="1"/>
  <c r="C375" i="17"/>
  <c r="C255" i="17"/>
  <c r="C229" i="17"/>
  <c r="C202" i="17"/>
  <c r="C186" i="17"/>
  <c r="C176" i="17"/>
  <c r="C173" i="17"/>
  <c r="C170" i="17"/>
  <c r="C137" i="17"/>
  <c r="C129" i="17"/>
  <c r="C126" i="17"/>
  <c r="C102" i="17"/>
  <c r="C93" i="17"/>
  <c r="C90" i="17"/>
  <c r="C84" i="17"/>
  <c r="C74" i="17"/>
  <c r="C43" i="17"/>
  <c r="C40" i="17"/>
  <c r="C393" i="17"/>
  <c r="C266" i="17"/>
  <c r="C227" i="17"/>
  <c r="C224" i="17"/>
  <c r="C196" i="17"/>
  <c r="C193" i="17"/>
  <c r="C174" i="17"/>
  <c r="C159" i="17"/>
  <c r="C144" i="17"/>
  <c r="C141" i="17"/>
  <c r="C138" i="17"/>
  <c r="C130" i="17"/>
  <c r="C123" i="17"/>
  <c r="C100" i="17"/>
  <c r="C94" i="17"/>
  <c r="C85" i="17"/>
  <c r="C75" i="17"/>
  <c r="C54" i="17"/>
  <c r="C51" i="17"/>
  <c r="C48" i="17"/>
  <c r="C35" i="17"/>
  <c r="C380" i="17"/>
  <c r="C303" i="17"/>
  <c r="C103" i="17"/>
  <c r="C67" i="17"/>
  <c r="C320" i="17"/>
  <c r="C280" i="17"/>
  <c r="C274" i="17"/>
  <c r="C374" i="17"/>
  <c r="C370" i="17"/>
  <c r="C359" i="17"/>
  <c r="C336" i="17"/>
  <c r="C332" i="17"/>
  <c r="C324" i="17"/>
  <c r="C310" i="17"/>
  <c r="C304" i="17"/>
  <c r="C298" i="17"/>
  <c r="C292" i="17"/>
  <c r="C287" i="17"/>
  <c r="C258" i="17"/>
  <c r="C247" i="17"/>
  <c r="C241" i="17"/>
  <c r="C221" i="17"/>
  <c r="C217" i="17"/>
  <c r="C214" i="17"/>
  <c r="C189" i="17"/>
  <c r="C185" i="17"/>
  <c r="C182" i="17"/>
  <c r="C177" i="17"/>
  <c r="C120" i="17"/>
  <c r="C107" i="17"/>
  <c r="C104" i="17"/>
  <c r="C91" i="17"/>
  <c r="C77" i="17"/>
  <c r="C60" i="17"/>
  <c r="C55" i="17"/>
  <c r="C41" i="17"/>
  <c r="C358" i="17"/>
  <c r="C213" i="17"/>
  <c r="C83" i="17"/>
  <c r="C366" i="17"/>
  <c r="C328" i="17"/>
  <c r="C231" i="17"/>
  <c r="C113" i="17"/>
  <c r="C97" i="17"/>
  <c r="C45" i="17"/>
  <c r="C383" i="17"/>
  <c r="C311" i="17"/>
  <c r="C253" i="17"/>
  <c r="C232" i="17"/>
  <c r="C178" i="17"/>
  <c r="C162" i="17"/>
  <c r="C157" i="17"/>
  <c r="C146" i="17"/>
  <c r="C125" i="17"/>
  <c r="C114" i="17"/>
  <c r="C98" i="17"/>
  <c r="C88" i="17"/>
  <c r="C56" i="17"/>
  <c r="C37" i="17"/>
  <c r="C209" i="17"/>
  <c r="C181" i="17"/>
  <c r="C49" i="17"/>
  <c r="C362" i="17"/>
  <c r="C268" i="17"/>
  <c r="C348" i="17"/>
  <c r="C271" i="17"/>
  <c r="C222" i="17"/>
  <c r="C108" i="17"/>
  <c r="C92" i="17"/>
  <c r="C78" i="17"/>
  <c r="C73" i="17"/>
  <c r="C52" i="17"/>
  <c r="C286" i="17"/>
  <c r="C263" i="17"/>
  <c r="C199" i="17"/>
  <c r="C87" i="17"/>
  <c r="C63" i="17"/>
  <c r="C59" i="17"/>
  <c r="C385" i="17"/>
  <c r="C360" i="17"/>
  <c r="C356" i="17"/>
  <c r="C334" i="17"/>
  <c r="C330" i="17"/>
  <c r="C326" i="17"/>
  <c r="C318" i="17"/>
  <c r="C260" i="17"/>
  <c r="C249" i="17"/>
  <c r="C243" i="17"/>
  <c r="C354" i="17"/>
  <c r="C343" i="17"/>
  <c r="C314" i="17"/>
  <c r="C308" i="17"/>
  <c r="C119" i="17"/>
  <c r="C71" i="17"/>
  <c r="C351" i="17"/>
  <c r="C386" i="17"/>
  <c r="C342" i="17"/>
  <c r="C261" i="17"/>
  <c r="C240" i="17"/>
  <c r="C230" i="17"/>
  <c r="C226" i="17"/>
  <c r="C198" i="17"/>
  <c r="C194" i="17"/>
  <c r="C115" i="17"/>
  <c r="C112" i="17"/>
  <c r="C99" i="17"/>
  <c r="C96" i="17"/>
  <c r="C89" i="17"/>
  <c r="C86" i="17"/>
  <c r="C62" i="17"/>
  <c r="C57" i="17"/>
  <c r="C44" i="17"/>
  <c r="C39" i="17"/>
  <c r="C36" i="17"/>
  <c r="C363" i="17"/>
  <c r="C355" i="17"/>
  <c r="C347" i="17"/>
  <c r="C339" i="17"/>
  <c r="C331" i="17"/>
  <c r="C323" i="17"/>
  <c r="C315" i="17"/>
  <c r="C307" i="17"/>
  <c r="C299" i="17"/>
  <c r="C291" i="17"/>
  <c r="C283" i="17"/>
  <c r="C275" i="17"/>
  <c r="C267" i="17"/>
  <c r="C381" i="17"/>
  <c r="C373" i="17"/>
  <c r="C365" i="17"/>
  <c r="C357" i="17"/>
  <c r="C349" i="17"/>
  <c r="C341" i="17"/>
  <c r="C333" i="17"/>
  <c r="C325" i="17"/>
  <c r="C317" i="17"/>
  <c r="C309" i="17"/>
  <c r="C301" i="17"/>
  <c r="C293" i="17"/>
  <c r="C285" i="17"/>
  <c r="C277" i="17"/>
  <c r="C269" i="17"/>
  <c r="C377" i="17"/>
  <c r="C369" i="17"/>
  <c r="C361" i="17"/>
  <c r="C353" i="17"/>
  <c r="C345" i="17"/>
  <c r="C337" i="17"/>
  <c r="C329" i="17"/>
  <c r="C321" i="17"/>
  <c r="C313" i="17"/>
  <c r="C305" i="17"/>
  <c r="C297" i="17"/>
  <c r="C289" i="17"/>
  <c r="C281" i="17"/>
  <c r="C273" i="17"/>
  <c r="C265" i="17"/>
  <c r="F23" i="18"/>
  <c r="N37" i="17"/>
  <c r="N28" i="17" s="1"/>
  <c r="I39" i="18" s="1"/>
  <c r="F26" i="18"/>
  <c r="F11" i="18"/>
  <c r="GR101" i="1"/>
  <c r="M34" i="17"/>
  <c r="M28" i="17" s="1"/>
  <c r="J25" i="17"/>
  <c r="F13" i="18" s="1"/>
  <c r="F29" i="1"/>
  <c r="F15" i="16" l="1"/>
  <c r="E35" i="16" s="1"/>
  <c r="F35" i="16" s="1"/>
  <c r="G15" i="16" s="1"/>
  <c r="F22" i="18"/>
  <c r="F27" i="18"/>
  <c r="E25" i="17"/>
  <c r="E13" i="17" s="1"/>
  <c r="CM101" i="1" l="1"/>
  <c r="B23" i="16"/>
  <c r="C23" i="16" s="1"/>
  <c r="CL101" i="1"/>
  <c r="CK101" i="1" l="1"/>
  <c r="B5" i="16"/>
  <c r="F35" i="17"/>
  <c r="U20" i="21"/>
  <c r="GQ101" i="1" l="1"/>
  <c r="D14" i="21"/>
  <c r="S16" i="21"/>
  <c r="D18" i="21"/>
  <c r="M18" i="21"/>
  <c r="N18" i="21"/>
  <c r="S18" i="21"/>
  <c r="W19" i="21"/>
  <c r="W20" i="21"/>
  <c r="M21" i="21"/>
  <c r="M22" i="21"/>
  <c r="D23" i="21"/>
  <c r="E23" i="21"/>
  <c r="J23" i="21"/>
  <c r="L23" i="21"/>
  <c r="M23" i="21"/>
  <c r="N23" i="21"/>
  <c r="P23" i="21"/>
  <c r="S23" i="21"/>
  <c r="W23" i="21"/>
  <c r="D24" i="21"/>
  <c r="E24" i="21"/>
  <c r="F24" i="21"/>
  <c r="G24" i="21"/>
  <c r="J24" i="21"/>
  <c r="L24" i="21"/>
  <c r="M24" i="21"/>
  <c r="N24" i="21"/>
  <c r="P24" i="21"/>
  <c r="S24" i="21"/>
  <c r="W24" i="21"/>
  <c r="D25" i="21"/>
  <c r="E25" i="21"/>
  <c r="F25" i="21"/>
  <c r="G25" i="21"/>
  <c r="J25" i="21"/>
  <c r="L25" i="21"/>
  <c r="M25" i="21"/>
  <c r="N25" i="21"/>
  <c r="P25" i="21"/>
  <c r="S25" i="21"/>
  <c r="W25" i="21"/>
  <c r="D26" i="21"/>
  <c r="E26" i="21"/>
  <c r="F26" i="21"/>
  <c r="G26" i="21"/>
  <c r="J26" i="21"/>
  <c r="L26" i="21"/>
  <c r="M26" i="21"/>
  <c r="N26" i="21"/>
  <c r="P26" i="21"/>
  <c r="S26" i="21"/>
  <c r="W26" i="21"/>
  <c r="D27" i="21"/>
  <c r="E27" i="21"/>
  <c r="F27" i="21"/>
  <c r="G27" i="21"/>
  <c r="J27" i="21"/>
  <c r="L27" i="21"/>
  <c r="M27" i="21"/>
  <c r="N27" i="21"/>
  <c r="P27" i="21"/>
  <c r="S27" i="21"/>
  <c r="W27" i="21"/>
  <c r="D28" i="21"/>
  <c r="E28" i="21"/>
  <c r="F28" i="21"/>
  <c r="G28" i="21"/>
  <c r="J28" i="21"/>
  <c r="L28" i="21"/>
  <c r="M28" i="21"/>
  <c r="N28" i="21"/>
  <c r="P28" i="21"/>
  <c r="S28" i="21"/>
  <c r="W28" i="21"/>
  <c r="D29" i="21"/>
  <c r="E29" i="21"/>
  <c r="F29" i="21"/>
  <c r="G29" i="21"/>
  <c r="J29" i="21"/>
  <c r="L29" i="21"/>
  <c r="M29" i="21"/>
  <c r="N29" i="21"/>
  <c r="P29" i="21"/>
  <c r="S29" i="21"/>
  <c r="W29" i="21"/>
  <c r="D30" i="21"/>
  <c r="E30" i="21"/>
  <c r="F30" i="21"/>
  <c r="G30" i="21"/>
  <c r="J30" i="21"/>
  <c r="L30" i="21"/>
  <c r="M30" i="21"/>
  <c r="N30" i="21"/>
  <c r="P30" i="21"/>
  <c r="S30" i="21"/>
  <c r="W30" i="21"/>
  <c r="D31" i="21"/>
  <c r="E31" i="21"/>
  <c r="F31" i="21"/>
  <c r="G31" i="21"/>
  <c r="J31" i="21"/>
  <c r="L31" i="21"/>
  <c r="M31" i="21"/>
  <c r="N31" i="21"/>
  <c r="P31" i="21"/>
  <c r="S31" i="21"/>
  <c r="W31" i="21"/>
  <c r="D32" i="21"/>
  <c r="E32" i="21"/>
  <c r="F32" i="21"/>
  <c r="G32" i="21"/>
  <c r="J32" i="21"/>
  <c r="L32" i="21"/>
  <c r="M32" i="21"/>
  <c r="N32" i="21"/>
  <c r="P32" i="21"/>
  <c r="S32" i="21"/>
  <c r="W32" i="21"/>
  <c r="D33" i="21"/>
  <c r="E33" i="21"/>
  <c r="F33" i="21"/>
  <c r="G33" i="21"/>
  <c r="J33" i="21"/>
  <c r="L33" i="21"/>
  <c r="M33" i="21"/>
  <c r="N33" i="21"/>
  <c r="P33" i="21"/>
  <c r="S33" i="21"/>
  <c r="W33" i="21"/>
  <c r="D34" i="21"/>
  <c r="E34" i="21"/>
  <c r="F34" i="21"/>
  <c r="G34" i="21"/>
  <c r="J34" i="21"/>
  <c r="L34" i="21"/>
  <c r="M34" i="21"/>
  <c r="N34" i="21"/>
  <c r="P34" i="21"/>
  <c r="S34" i="21"/>
  <c r="W34" i="21"/>
  <c r="D35" i="21"/>
  <c r="E35" i="21"/>
  <c r="F35" i="21"/>
  <c r="G35" i="21"/>
  <c r="J35" i="21"/>
  <c r="L35" i="21"/>
  <c r="M35" i="21"/>
  <c r="N35" i="21"/>
  <c r="P35" i="21"/>
  <c r="S35" i="21"/>
  <c r="W35" i="21"/>
  <c r="D36" i="21"/>
  <c r="E36" i="21"/>
  <c r="F36" i="21"/>
  <c r="G36" i="21"/>
  <c r="J36" i="21"/>
  <c r="L36" i="21"/>
  <c r="M36" i="21"/>
  <c r="N36" i="21"/>
  <c r="P36" i="21"/>
  <c r="S36" i="21"/>
  <c r="W36" i="21"/>
  <c r="D37" i="21"/>
  <c r="E37" i="21"/>
  <c r="F37" i="21"/>
  <c r="G37" i="21"/>
  <c r="J37" i="21"/>
  <c r="L37" i="21"/>
  <c r="M37" i="21"/>
  <c r="N37" i="21"/>
  <c r="P37" i="21"/>
  <c r="S37" i="21"/>
  <c r="W37" i="21"/>
  <c r="D38" i="21"/>
  <c r="E38" i="21"/>
  <c r="F38" i="21"/>
  <c r="G38" i="21"/>
  <c r="J38" i="21"/>
  <c r="L38" i="21"/>
  <c r="M38" i="21"/>
  <c r="N38" i="21"/>
  <c r="P38" i="21"/>
  <c r="S38" i="21"/>
  <c r="W38" i="21"/>
  <c r="D39" i="21"/>
  <c r="E39" i="21"/>
  <c r="F39" i="21"/>
  <c r="G39" i="21"/>
  <c r="J39" i="21"/>
  <c r="L39" i="21"/>
  <c r="M39" i="21"/>
  <c r="N39" i="21"/>
  <c r="P39" i="21"/>
  <c r="S39" i="21"/>
  <c r="W39" i="21"/>
  <c r="D40" i="21"/>
  <c r="E40" i="21"/>
  <c r="F40" i="21"/>
  <c r="G40" i="21"/>
  <c r="J40" i="21"/>
  <c r="L40" i="21"/>
  <c r="M40" i="21"/>
  <c r="N40" i="21"/>
  <c r="P40" i="21"/>
  <c r="S40" i="21"/>
  <c r="W40" i="21"/>
  <c r="D41" i="21"/>
  <c r="E41" i="21"/>
  <c r="F41" i="21"/>
  <c r="G41" i="21"/>
  <c r="J41" i="21"/>
  <c r="L41" i="21"/>
  <c r="M41" i="21"/>
  <c r="N41" i="21"/>
  <c r="P41" i="21"/>
  <c r="S41" i="21"/>
  <c r="W41" i="21"/>
  <c r="D42" i="21"/>
  <c r="E42" i="21"/>
  <c r="F42" i="21"/>
  <c r="G42" i="21"/>
  <c r="J42" i="21"/>
  <c r="L42" i="21"/>
  <c r="M42" i="21"/>
  <c r="N42" i="21"/>
  <c r="P42" i="21"/>
  <c r="S42" i="21"/>
  <c r="W42" i="21"/>
  <c r="D43" i="21"/>
  <c r="E43" i="21"/>
  <c r="F43" i="21"/>
  <c r="G43" i="21"/>
  <c r="J43" i="21"/>
  <c r="L43" i="21"/>
  <c r="M43" i="21"/>
  <c r="N43" i="21"/>
  <c r="P43" i="21"/>
  <c r="S43" i="21"/>
  <c r="W43" i="21"/>
  <c r="D44" i="21"/>
  <c r="E44" i="21"/>
  <c r="F44" i="21"/>
  <c r="G44" i="21"/>
  <c r="J44" i="21"/>
  <c r="L44" i="21"/>
  <c r="M44" i="21"/>
  <c r="N44" i="21"/>
  <c r="P44" i="21"/>
  <c r="S44" i="21"/>
  <c r="W44" i="21"/>
  <c r="D45" i="21"/>
  <c r="E45" i="21"/>
  <c r="F45" i="21"/>
  <c r="G45" i="21"/>
  <c r="J45" i="21"/>
  <c r="L45" i="21"/>
  <c r="M45" i="21"/>
  <c r="N45" i="21"/>
  <c r="P45" i="21"/>
  <c r="S45" i="21"/>
  <c r="W45" i="21"/>
  <c r="D46" i="21"/>
  <c r="E46" i="21"/>
  <c r="F46" i="21"/>
  <c r="G46" i="21"/>
  <c r="J46" i="21"/>
  <c r="L46" i="21"/>
  <c r="M46" i="21"/>
  <c r="N46" i="21"/>
  <c r="P46" i="21"/>
  <c r="S46" i="21"/>
  <c r="W46" i="21"/>
  <c r="D47" i="21"/>
  <c r="E47" i="21"/>
  <c r="F47" i="21"/>
  <c r="G47" i="21"/>
  <c r="J47" i="21"/>
  <c r="L47" i="21"/>
  <c r="M47" i="21"/>
  <c r="N47" i="21"/>
  <c r="P47" i="21"/>
  <c r="S47" i="21"/>
  <c r="W47" i="21"/>
  <c r="D48" i="21"/>
  <c r="E48" i="21"/>
  <c r="F48" i="21"/>
  <c r="G48" i="21"/>
  <c r="J48" i="21"/>
  <c r="L48" i="21"/>
  <c r="M48" i="21"/>
  <c r="N48" i="21"/>
  <c r="P48" i="21"/>
  <c r="S48" i="21"/>
  <c r="W48" i="21"/>
  <c r="D49" i="21"/>
  <c r="E49" i="21"/>
  <c r="F49" i="21"/>
  <c r="G49" i="21"/>
  <c r="J49" i="21"/>
  <c r="L49" i="21"/>
  <c r="M49" i="21"/>
  <c r="N49" i="21"/>
  <c r="P49" i="21"/>
  <c r="S49" i="21"/>
  <c r="W49" i="21"/>
  <c r="D50" i="21"/>
  <c r="E50" i="21"/>
  <c r="F50" i="21"/>
  <c r="G50" i="21"/>
  <c r="J50" i="21"/>
  <c r="L50" i="21"/>
  <c r="M50" i="21"/>
  <c r="N50" i="21"/>
  <c r="P50" i="21"/>
  <c r="S50" i="21"/>
  <c r="W50" i="21"/>
  <c r="D51" i="21"/>
  <c r="E51" i="21"/>
  <c r="F51" i="21"/>
  <c r="G51" i="21"/>
  <c r="J51" i="21"/>
  <c r="L51" i="21"/>
  <c r="M51" i="21"/>
  <c r="N51" i="21"/>
  <c r="P51" i="21"/>
  <c r="S51" i="21"/>
  <c r="W51" i="21"/>
  <c r="D52" i="21"/>
  <c r="E52" i="21"/>
  <c r="F52" i="21"/>
  <c r="G52" i="21"/>
  <c r="J52" i="21"/>
  <c r="L52" i="21"/>
  <c r="M52" i="21"/>
  <c r="N52" i="21"/>
  <c r="P52" i="21"/>
  <c r="S52" i="21"/>
  <c r="W52" i="21"/>
  <c r="D53" i="21"/>
  <c r="E53" i="21"/>
  <c r="F53" i="21"/>
  <c r="G53" i="21"/>
  <c r="J53" i="21"/>
  <c r="L53" i="21"/>
  <c r="M53" i="21"/>
  <c r="N53" i="21"/>
  <c r="P53" i="21"/>
  <c r="S53" i="21"/>
  <c r="W53" i="21"/>
  <c r="D54" i="21"/>
  <c r="E54" i="21"/>
  <c r="F54" i="21"/>
  <c r="G54" i="21"/>
  <c r="J54" i="21"/>
  <c r="L54" i="21"/>
  <c r="M54" i="21"/>
  <c r="N54" i="21"/>
  <c r="P54" i="21"/>
  <c r="S54" i="21"/>
  <c r="W54" i="21"/>
  <c r="D55" i="21"/>
  <c r="E55" i="21"/>
  <c r="F55" i="21"/>
  <c r="G55" i="21"/>
  <c r="J55" i="21"/>
  <c r="L55" i="21"/>
  <c r="M55" i="21"/>
  <c r="N55" i="21"/>
  <c r="P55" i="21"/>
  <c r="S55" i="21"/>
  <c r="W55" i="21"/>
  <c r="D56" i="21"/>
  <c r="E56" i="21"/>
  <c r="F56" i="21"/>
  <c r="G56" i="21"/>
  <c r="J56" i="21"/>
  <c r="L56" i="21"/>
  <c r="M56" i="21"/>
  <c r="N56" i="21"/>
  <c r="P56" i="21"/>
  <c r="S56" i="21"/>
  <c r="W56" i="21"/>
  <c r="D57" i="21"/>
  <c r="E57" i="21"/>
  <c r="F57" i="21"/>
  <c r="G57" i="21"/>
  <c r="J57" i="21"/>
  <c r="L57" i="21"/>
  <c r="M57" i="21"/>
  <c r="N57" i="21"/>
  <c r="P57" i="21"/>
  <c r="S57" i="21"/>
  <c r="W57" i="21"/>
  <c r="D58" i="21"/>
  <c r="E58" i="21"/>
  <c r="F58" i="21"/>
  <c r="G58" i="21"/>
  <c r="J58" i="21"/>
  <c r="L58" i="21"/>
  <c r="M58" i="21"/>
  <c r="N58" i="21"/>
  <c r="P58" i="21"/>
  <c r="S58" i="21"/>
  <c r="W58" i="21"/>
  <c r="D59" i="21"/>
  <c r="E59" i="21"/>
  <c r="F59" i="21"/>
  <c r="G59" i="21"/>
  <c r="J59" i="21"/>
  <c r="L59" i="21"/>
  <c r="M59" i="21"/>
  <c r="N59" i="21"/>
  <c r="P59" i="21"/>
  <c r="S59" i="21"/>
  <c r="W59" i="21"/>
  <c r="D60" i="21"/>
  <c r="E60" i="21"/>
  <c r="F60" i="21"/>
  <c r="G60" i="21"/>
  <c r="J60" i="21"/>
  <c r="L60" i="21"/>
  <c r="M60" i="21"/>
  <c r="N60" i="21"/>
  <c r="P60" i="21"/>
  <c r="S60" i="21"/>
  <c r="W60" i="21"/>
  <c r="D61" i="21"/>
  <c r="E61" i="21"/>
  <c r="F61" i="21"/>
  <c r="G61" i="21"/>
  <c r="J61" i="21"/>
  <c r="L61" i="21"/>
  <c r="M61" i="21"/>
  <c r="N61" i="21"/>
  <c r="P61" i="21"/>
  <c r="S61" i="21"/>
  <c r="W61" i="21"/>
  <c r="D62" i="21"/>
  <c r="E62" i="21"/>
  <c r="F62" i="21"/>
  <c r="G62" i="21"/>
  <c r="J62" i="21"/>
  <c r="L62" i="21"/>
  <c r="M62" i="21"/>
  <c r="N62" i="21"/>
  <c r="P62" i="21"/>
  <c r="S62" i="21"/>
  <c r="W62" i="21"/>
  <c r="D63" i="21"/>
  <c r="E63" i="21"/>
  <c r="F63" i="21"/>
  <c r="G63" i="21"/>
  <c r="J63" i="21"/>
  <c r="L63" i="21"/>
  <c r="M63" i="21"/>
  <c r="N63" i="21"/>
  <c r="P63" i="21"/>
  <c r="S63" i="21"/>
  <c r="W63" i="21"/>
  <c r="D64" i="21"/>
  <c r="E64" i="21"/>
  <c r="F64" i="21"/>
  <c r="G64" i="21"/>
  <c r="J64" i="21"/>
  <c r="L64" i="21"/>
  <c r="M64" i="21"/>
  <c r="N64" i="21"/>
  <c r="P64" i="21"/>
  <c r="S64" i="21"/>
  <c r="W64" i="21"/>
  <c r="D65" i="21"/>
  <c r="E65" i="21"/>
  <c r="F65" i="21"/>
  <c r="G65" i="21"/>
  <c r="J65" i="21"/>
  <c r="L65" i="21"/>
  <c r="M65" i="21"/>
  <c r="N65" i="21"/>
  <c r="P65" i="21"/>
  <c r="S65" i="21"/>
  <c r="W65" i="21"/>
  <c r="D66" i="21"/>
  <c r="E66" i="21"/>
  <c r="F66" i="21"/>
  <c r="G66" i="21"/>
  <c r="J66" i="21"/>
  <c r="L66" i="21"/>
  <c r="M66" i="21"/>
  <c r="N66" i="21"/>
  <c r="P66" i="21"/>
  <c r="S66" i="21"/>
  <c r="W66" i="21"/>
  <c r="D67" i="21"/>
  <c r="E67" i="21"/>
  <c r="F67" i="21"/>
  <c r="G67" i="21"/>
  <c r="J67" i="21"/>
  <c r="L67" i="21"/>
  <c r="M67" i="21"/>
  <c r="N67" i="21"/>
  <c r="P67" i="21"/>
  <c r="S67" i="21"/>
  <c r="W67" i="21"/>
  <c r="D68" i="21"/>
  <c r="E68" i="21"/>
  <c r="F68" i="21"/>
  <c r="G68" i="21"/>
  <c r="J68" i="21"/>
  <c r="L68" i="21"/>
  <c r="M68" i="21"/>
  <c r="N68" i="21"/>
  <c r="P68" i="21"/>
  <c r="S68" i="21"/>
  <c r="W68" i="21"/>
  <c r="D69" i="21"/>
  <c r="E69" i="21"/>
  <c r="F69" i="21"/>
  <c r="G69" i="21"/>
  <c r="J69" i="21"/>
  <c r="L69" i="21"/>
  <c r="M69" i="21"/>
  <c r="N69" i="21"/>
  <c r="P69" i="21"/>
  <c r="S69" i="21"/>
  <c r="W69" i="21"/>
  <c r="D70" i="21"/>
  <c r="E70" i="21"/>
  <c r="F70" i="21"/>
  <c r="G70" i="21"/>
  <c r="J70" i="21"/>
  <c r="L70" i="21"/>
  <c r="M70" i="21"/>
  <c r="N70" i="21"/>
  <c r="P70" i="21"/>
  <c r="S70" i="21"/>
  <c r="W70" i="21"/>
  <c r="D71" i="21"/>
  <c r="E71" i="21"/>
  <c r="F71" i="21"/>
  <c r="G71" i="21"/>
  <c r="J71" i="21"/>
  <c r="L71" i="21"/>
  <c r="M71" i="21"/>
  <c r="N71" i="21"/>
  <c r="P71" i="21"/>
  <c r="S71" i="21"/>
  <c r="W71" i="21"/>
  <c r="D72" i="21"/>
  <c r="E72" i="21"/>
  <c r="F72" i="21"/>
  <c r="G72" i="21"/>
  <c r="J72" i="21"/>
  <c r="L72" i="21"/>
  <c r="M72" i="21"/>
  <c r="N72" i="21"/>
  <c r="P72" i="21"/>
  <c r="S72" i="21"/>
  <c r="W72" i="21"/>
  <c r="D73" i="21"/>
  <c r="E73" i="21"/>
  <c r="F73" i="21"/>
  <c r="G73" i="21"/>
  <c r="J73" i="21"/>
  <c r="L73" i="21"/>
  <c r="M73" i="21"/>
  <c r="N73" i="21"/>
  <c r="P73" i="21"/>
  <c r="S73" i="21"/>
  <c r="W73" i="21"/>
  <c r="D74" i="21"/>
  <c r="E74" i="21"/>
  <c r="F74" i="21"/>
  <c r="G74" i="21"/>
  <c r="J74" i="21"/>
  <c r="L74" i="21"/>
  <c r="M74" i="21"/>
  <c r="N74" i="21"/>
  <c r="P74" i="21"/>
  <c r="S74" i="21"/>
  <c r="W74" i="21"/>
  <c r="D75" i="21"/>
  <c r="E75" i="21"/>
  <c r="F75" i="21"/>
  <c r="G75" i="21"/>
  <c r="J75" i="21"/>
  <c r="L75" i="21"/>
  <c r="M75" i="21"/>
  <c r="N75" i="21"/>
  <c r="P75" i="21"/>
  <c r="S75" i="21"/>
  <c r="W75" i="21"/>
  <c r="D76" i="21"/>
  <c r="E76" i="21"/>
  <c r="F76" i="21"/>
  <c r="G76" i="21"/>
  <c r="J76" i="21"/>
  <c r="L76" i="21"/>
  <c r="M76" i="21"/>
  <c r="N76" i="21"/>
  <c r="P76" i="21"/>
  <c r="S76" i="21"/>
  <c r="W76" i="21"/>
  <c r="D77" i="21"/>
  <c r="E77" i="21"/>
  <c r="F77" i="21"/>
  <c r="G77" i="21"/>
  <c r="J77" i="21"/>
  <c r="L77" i="21"/>
  <c r="M77" i="21"/>
  <c r="N77" i="21"/>
  <c r="P77" i="21"/>
  <c r="S77" i="21"/>
  <c r="W77" i="21"/>
  <c r="D78" i="21"/>
  <c r="E78" i="21"/>
  <c r="F78" i="21"/>
  <c r="G78" i="21"/>
  <c r="J78" i="21"/>
  <c r="L78" i="21"/>
  <c r="M78" i="21"/>
  <c r="N78" i="21"/>
  <c r="P78" i="21"/>
  <c r="S78" i="21"/>
  <c r="W78" i="21"/>
  <c r="D79" i="21"/>
  <c r="E79" i="21"/>
  <c r="F79" i="21"/>
  <c r="G79" i="21"/>
  <c r="J79" i="21"/>
  <c r="L79" i="21"/>
  <c r="M79" i="21"/>
  <c r="N79" i="21"/>
  <c r="P79" i="21"/>
  <c r="S79" i="21"/>
  <c r="W79" i="21"/>
  <c r="D80" i="21"/>
  <c r="E80" i="21"/>
  <c r="F80" i="21"/>
  <c r="G80" i="21"/>
  <c r="J80" i="21"/>
  <c r="L80" i="21"/>
  <c r="M80" i="21"/>
  <c r="N80" i="21"/>
  <c r="P80" i="21"/>
  <c r="S80" i="21"/>
  <c r="W80" i="21"/>
  <c r="D81" i="21"/>
  <c r="E81" i="21"/>
  <c r="F81" i="21"/>
  <c r="G81" i="21"/>
  <c r="J81" i="21"/>
  <c r="L81" i="21"/>
  <c r="M81" i="21"/>
  <c r="N81" i="21"/>
  <c r="P81" i="21"/>
  <c r="S81" i="21"/>
  <c r="W81" i="21"/>
  <c r="D82" i="21"/>
  <c r="E82" i="21"/>
  <c r="F82" i="21"/>
  <c r="G82" i="21"/>
  <c r="J82" i="21"/>
  <c r="L82" i="21"/>
  <c r="M82" i="21"/>
  <c r="N82" i="21"/>
  <c r="P82" i="21"/>
  <c r="S82" i="21"/>
  <c r="W82" i="21"/>
  <c r="D83" i="21"/>
  <c r="E83" i="21"/>
  <c r="F83" i="21"/>
  <c r="G83" i="21"/>
  <c r="J83" i="21"/>
  <c r="L83" i="21"/>
  <c r="M83" i="21"/>
  <c r="N83" i="21"/>
  <c r="P83" i="21"/>
  <c r="S83" i="21"/>
  <c r="W83" i="21"/>
  <c r="D84" i="21"/>
  <c r="E84" i="21"/>
  <c r="F84" i="21"/>
  <c r="G84" i="21"/>
  <c r="J84" i="21"/>
  <c r="L84" i="21"/>
  <c r="M84" i="21"/>
  <c r="N84" i="21"/>
  <c r="P84" i="21"/>
  <c r="S84" i="21"/>
  <c r="W84" i="21"/>
  <c r="D85" i="21"/>
  <c r="E85" i="21"/>
  <c r="F85" i="21"/>
  <c r="G85" i="21"/>
  <c r="J85" i="21"/>
  <c r="L85" i="21"/>
  <c r="M85" i="21"/>
  <c r="N85" i="21"/>
  <c r="P85" i="21"/>
  <c r="S85" i="21"/>
  <c r="W85" i="21"/>
  <c r="D86" i="21"/>
  <c r="E86" i="21"/>
  <c r="F86" i="21"/>
  <c r="G86" i="21"/>
  <c r="J86" i="21"/>
  <c r="L86" i="21"/>
  <c r="M86" i="21"/>
  <c r="N86" i="21"/>
  <c r="P86" i="21"/>
  <c r="S86" i="21"/>
  <c r="W86" i="21"/>
  <c r="D87" i="21"/>
  <c r="E87" i="21"/>
  <c r="F87" i="21"/>
  <c r="G87" i="21"/>
  <c r="J87" i="21"/>
  <c r="L87" i="21"/>
  <c r="M87" i="21"/>
  <c r="N87" i="21"/>
  <c r="P87" i="21"/>
  <c r="S87" i="21"/>
  <c r="W87" i="21"/>
  <c r="D88" i="21"/>
  <c r="E88" i="21"/>
  <c r="F88" i="21"/>
  <c r="G88" i="21"/>
  <c r="J88" i="21"/>
  <c r="L88" i="21"/>
  <c r="M88" i="21"/>
  <c r="N88" i="21"/>
  <c r="P88" i="21"/>
  <c r="S88" i="21"/>
  <c r="W88" i="21"/>
  <c r="D89" i="21"/>
  <c r="E89" i="21"/>
  <c r="F89" i="21"/>
  <c r="G89" i="21"/>
  <c r="J89" i="21"/>
  <c r="L89" i="21"/>
  <c r="M89" i="21"/>
  <c r="N89" i="21"/>
  <c r="P89" i="21"/>
  <c r="S89" i="21"/>
  <c r="W89" i="21"/>
  <c r="D90" i="21"/>
  <c r="E90" i="21"/>
  <c r="F90" i="21"/>
  <c r="G90" i="21"/>
  <c r="J90" i="21"/>
  <c r="L90" i="21"/>
  <c r="M90" i="21"/>
  <c r="N90" i="21"/>
  <c r="P90" i="21"/>
  <c r="S90" i="21"/>
  <c r="W90" i="21"/>
  <c r="D91" i="21"/>
  <c r="E91" i="21"/>
  <c r="F91" i="21"/>
  <c r="G91" i="21"/>
  <c r="J91" i="21"/>
  <c r="L91" i="21"/>
  <c r="M91" i="21"/>
  <c r="N91" i="21"/>
  <c r="P91" i="21"/>
  <c r="S91" i="21"/>
  <c r="W91" i="21"/>
  <c r="D92" i="21"/>
  <c r="E92" i="21"/>
  <c r="F92" i="21"/>
  <c r="G92" i="21"/>
  <c r="J92" i="21"/>
  <c r="L92" i="21"/>
  <c r="M92" i="21"/>
  <c r="N92" i="21"/>
  <c r="P92" i="21"/>
  <c r="S92" i="21"/>
  <c r="W92" i="21"/>
  <c r="D93" i="21"/>
  <c r="E93" i="21"/>
  <c r="F93" i="21"/>
  <c r="G93" i="21"/>
  <c r="J93" i="21"/>
  <c r="L93" i="21"/>
  <c r="M93" i="21"/>
  <c r="N93" i="21"/>
  <c r="P93" i="21"/>
  <c r="S93" i="21"/>
  <c r="W93" i="21"/>
  <c r="D94" i="21"/>
  <c r="E94" i="21"/>
  <c r="F94" i="21"/>
  <c r="G94" i="21"/>
  <c r="J94" i="21"/>
  <c r="L94" i="21"/>
  <c r="M94" i="21"/>
  <c r="N94" i="21"/>
  <c r="P94" i="21"/>
  <c r="S94" i="21"/>
  <c r="W94" i="21"/>
  <c r="D95" i="21"/>
  <c r="E95" i="21"/>
  <c r="F95" i="21"/>
  <c r="G95" i="21"/>
  <c r="J95" i="21"/>
  <c r="L95" i="21"/>
  <c r="M95" i="21"/>
  <c r="N95" i="21"/>
  <c r="P95" i="21"/>
  <c r="S95" i="21"/>
  <c r="W95" i="21"/>
  <c r="D96" i="21"/>
  <c r="E96" i="21"/>
  <c r="F96" i="21"/>
  <c r="G96" i="21"/>
  <c r="J96" i="21"/>
  <c r="L96" i="21"/>
  <c r="M96" i="21"/>
  <c r="N96" i="21"/>
  <c r="P96" i="21"/>
  <c r="S96" i="21"/>
  <c r="W96" i="21"/>
  <c r="D97" i="21"/>
  <c r="E97" i="21"/>
  <c r="F97" i="21"/>
  <c r="G97" i="21"/>
  <c r="J97" i="21"/>
  <c r="L97" i="21"/>
  <c r="M97" i="21"/>
  <c r="N97" i="21"/>
  <c r="P97" i="21"/>
  <c r="S97" i="21"/>
  <c r="W97" i="21"/>
  <c r="D98" i="21"/>
  <c r="E98" i="21"/>
  <c r="F98" i="21"/>
  <c r="G98" i="21"/>
  <c r="J98" i="21"/>
  <c r="L98" i="21"/>
  <c r="M98" i="21"/>
  <c r="N98" i="21"/>
  <c r="P98" i="21"/>
  <c r="S98" i="21"/>
  <c r="W98" i="21"/>
  <c r="D99" i="21"/>
  <c r="E99" i="21"/>
  <c r="F99" i="21"/>
  <c r="G99" i="21"/>
  <c r="J99" i="21"/>
  <c r="L99" i="21"/>
  <c r="M99" i="21"/>
  <c r="N99" i="21"/>
  <c r="P99" i="21"/>
  <c r="S99" i="21"/>
  <c r="W99" i="21"/>
  <c r="D100" i="21"/>
  <c r="E100" i="21"/>
  <c r="F100" i="21"/>
  <c r="G100" i="21"/>
  <c r="J100" i="21"/>
  <c r="L100" i="21"/>
  <c r="M100" i="21"/>
  <c r="N100" i="21"/>
  <c r="P100" i="21"/>
  <c r="S100" i="21"/>
  <c r="W100" i="21"/>
  <c r="D101" i="21"/>
  <c r="E101" i="21"/>
  <c r="F101" i="21"/>
  <c r="G101" i="21"/>
  <c r="J101" i="21"/>
  <c r="L101" i="21"/>
  <c r="M101" i="21"/>
  <c r="N101" i="21"/>
  <c r="P101" i="21"/>
  <c r="S101" i="21"/>
  <c r="W101" i="21"/>
  <c r="D102" i="21"/>
  <c r="E102" i="21"/>
  <c r="F102" i="21"/>
  <c r="G102" i="21"/>
  <c r="J102" i="21"/>
  <c r="L102" i="21"/>
  <c r="M102" i="21"/>
  <c r="N102" i="21"/>
  <c r="P102" i="21"/>
  <c r="S102" i="21"/>
  <c r="W102" i="21"/>
  <c r="D103" i="21"/>
  <c r="E103" i="21"/>
  <c r="F103" i="21"/>
  <c r="G103" i="21"/>
  <c r="J103" i="21"/>
  <c r="L103" i="21"/>
  <c r="M103" i="21"/>
  <c r="N103" i="21"/>
  <c r="P103" i="21"/>
  <c r="S103" i="21"/>
  <c r="W103" i="21"/>
  <c r="D104" i="21"/>
  <c r="E104" i="21"/>
  <c r="F104" i="21"/>
  <c r="G104" i="21"/>
  <c r="J104" i="21"/>
  <c r="L104" i="21"/>
  <c r="M104" i="21"/>
  <c r="N104" i="21"/>
  <c r="P104" i="21"/>
  <c r="S104" i="21"/>
  <c r="W104" i="21"/>
  <c r="D105" i="21"/>
  <c r="E105" i="21"/>
  <c r="F105" i="21"/>
  <c r="G105" i="21"/>
  <c r="J105" i="21"/>
  <c r="L105" i="21"/>
  <c r="M105" i="21"/>
  <c r="N105" i="21"/>
  <c r="P105" i="21"/>
  <c r="S105" i="21"/>
  <c r="W105" i="21"/>
  <c r="D106" i="21"/>
  <c r="E106" i="21"/>
  <c r="F106" i="21"/>
  <c r="G106" i="21"/>
  <c r="J106" i="21"/>
  <c r="L106" i="21"/>
  <c r="M106" i="21"/>
  <c r="N106" i="21"/>
  <c r="P106" i="21"/>
  <c r="S106" i="21"/>
  <c r="W106" i="21"/>
  <c r="D107" i="21"/>
  <c r="E107" i="21"/>
  <c r="F107" i="21"/>
  <c r="G107" i="21"/>
  <c r="J107" i="21"/>
  <c r="L107" i="21"/>
  <c r="M107" i="21"/>
  <c r="N107" i="21"/>
  <c r="P107" i="21"/>
  <c r="S107" i="21"/>
  <c r="W107" i="21"/>
  <c r="D108" i="21"/>
  <c r="E108" i="21"/>
  <c r="F108" i="21"/>
  <c r="G108" i="21"/>
  <c r="J108" i="21"/>
  <c r="L108" i="21"/>
  <c r="M108" i="21"/>
  <c r="N108" i="21"/>
  <c r="P108" i="21"/>
  <c r="S108" i="21"/>
  <c r="W108" i="21"/>
  <c r="D109" i="21"/>
  <c r="E109" i="21"/>
  <c r="F109" i="21"/>
  <c r="G109" i="21"/>
  <c r="J109" i="21"/>
  <c r="L109" i="21"/>
  <c r="M109" i="21"/>
  <c r="N109" i="21"/>
  <c r="P109" i="21"/>
  <c r="S109" i="21"/>
  <c r="W109" i="21"/>
  <c r="D110" i="21"/>
  <c r="E110" i="21"/>
  <c r="F110" i="21"/>
  <c r="G110" i="21"/>
  <c r="J110" i="21"/>
  <c r="L110" i="21"/>
  <c r="M110" i="21"/>
  <c r="N110" i="21"/>
  <c r="P110" i="21"/>
  <c r="S110" i="21"/>
  <c r="W110" i="21"/>
  <c r="D111" i="21"/>
  <c r="E111" i="21"/>
  <c r="F111" i="21"/>
  <c r="G111" i="21"/>
  <c r="J111" i="21"/>
  <c r="L111" i="21"/>
  <c r="M111" i="21"/>
  <c r="N111" i="21"/>
  <c r="P111" i="21"/>
  <c r="S111" i="21"/>
  <c r="W111" i="21"/>
  <c r="D112" i="21"/>
  <c r="E112" i="21"/>
  <c r="F112" i="21"/>
  <c r="G112" i="21"/>
  <c r="J112" i="21"/>
  <c r="L112" i="21"/>
  <c r="M112" i="21"/>
  <c r="N112" i="21"/>
  <c r="P112" i="21"/>
  <c r="S112" i="21"/>
  <c r="W112" i="21"/>
  <c r="D113" i="21"/>
  <c r="E113" i="21"/>
  <c r="F113" i="21"/>
  <c r="G113" i="21"/>
  <c r="J113" i="21"/>
  <c r="L113" i="21"/>
  <c r="M113" i="21"/>
  <c r="N113" i="21"/>
  <c r="P113" i="21"/>
  <c r="S113" i="21"/>
  <c r="W113" i="21"/>
  <c r="D114" i="21"/>
  <c r="E114" i="21"/>
  <c r="F114" i="21"/>
  <c r="G114" i="21"/>
  <c r="J114" i="21"/>
  <c r="L114" i="21"/>
  <c r="M114" i="21"/>
  <c r="N114" i="21"/>
  <c r="P114" i="21"/>
  <c r="S114" i="21"/>
  <c r="W114" i="21"/>
  <c r="D115" i="21"/>
  <c r="E115" i="21"/>
  <c r="F115" i="21"/>
  <c r="G115" i="21"/>
  <c r="J115" i="21"/>
  <c r="L115" i="21"/>
  <c r="M115" i="21"/>
  <c r="N115" i="21"/>
  <c r="P115" i="21"/>
  <c r="S115" i="21"/>
  <c r="W115" i="21"/>
  <c r="D116" i="21"/>
  <c r="E116" i="21"/>
  <c r="F116" i="21"/>
  <c r="G116" i="21"/>
  <c r="J116" i="21"/>
  <c r="L116" i="21"/>
  <c r="M116" i="21"/>
  <c r="N116" i="21"/>
  <c r="P116" i="21"/>
  <c r="S116" i="21"/>
  <c r="W116" i="21"/>
  <c r="D117" i="21"/>
  <c r="E117" i="21"/>
  <c r="F117" i="21"/>
  <c r="G117" i="21"/>
  <c r="J117" i="21"/>
  <c r="L117" i="21"/>
  <c r="M117" i="21"/>
  <c r="N117" i="21"/>
  <c r="P117" i="21"/>
  <c r="S117" i="21"/>
  <c r="W117" i="21"/>
  <c r="D118" i="21"/>
  <c r="E118" i="21"/>
  <c r="F118" i="21"/>
  <c r="G118" i="21"/>
  <c r="J118" i="21"/>
  <c r="L118" i="21"/>
  <c r="M118" i="21"/>
  <c r="N118" i="21"/>
  <c r="P118" i="21"/>
  <c r="S118" i="21"/>
  <c r="W118" i="21"/>
  <c r="D119" i="21"/>
  <c r="E119" i="21"/>
  <c r="F119" i="21"/>
  <c r="G119" i="21"/>
  <c r="J119" i="21"/>
  <c r="L119" i="21"/>
  <c r="M119" i="21"/>
  <c r="N119" i="21"/>
  <c r="P119" i="21"/>
  <c r="S119" i="21"/>
  <c r="W119" i="21"/>
  <c r="D120" i="21"/>
  <c r="E120" i="21"/>
  <c r="F120" i="21"/>
  <c r="G120" i="21"/>
  <c r="J120" i="21"/>
  <c r="L120" i="21"/>
  <c r="M120" i="21"/>
  <c r="N120" i="21"/>
  <c r="P120" i="21"/>
  <c r="S120" i="21"/>
  <c r="W120" i="21"/>
  <c r="D121" i="21"/>
  <c r="E121" i="21"/>
  <c r="F121" i="21"/>
  <c r="G121" i="21"/>
  <c r="J121" i="21"/>
  <c r="L121" i="21"/>
  <c r="M121" i="21"/>
  <c r="N121" i="21"/>
  <c r="P121" i="21"/>
  <c r="S121" i="21"/>
  <c r="W121" i="21"/>
  <c r="D122" i="21"/>
  <c r="E122" i="21"/>
  <c r="F122" i="21"/>
  <c r="G122" i="21"/>
  <c r="J122" i="21"/>
  <c r="L122" i="21"/>
  <c r="M122" i="21"/>
  <c r="N122" i="21"/>
  <c r="P122" i="21"/>
  <c r="S122" i="21"/>
  <c r="W122" i="21"/>
  <c r="D123" i="21"/>
  <c r="E123" i="21"/>
  <c r="F123" i="21"/>
  <c r="G123" i="21"/>
  <c r="J123" i="21"/>
  <c r="L123" i="21"/>
  <c r="M123" i="21"/>
  <c r="N123" i="21"/>
  <c r="P123" i="21"/>
  <c r="S123" i="21"/>
  <c r="W123" i="21"/>
  <c r="D124" i="21"/>
  <c r="E124" i="21"/>
  <c r="F124" i="21"/>
  <c r="G124" i="21"/>
  <c r="J124" i="21"/>
  <c r="L124" i="21"/>
  <c r="M124" i="21"/>
  <c r="N124" i="21"/>
  <c r="P124" i="21"/>
  <c r="S124" i="21"/>
  <c r="W124" i="21"/>
  <c r="D125" i="21"/>
  <c r="E125" i="21"/>
  <c r="F125" i="21"/>
  <c r="G125" i="21"/>
  <c r="J125" i="21"/>
  <c r="L125" i="21"/>
  <c r="M125" i="21"/>
  <c r="N125" i="21"/>
  <c r="P125" i="21"/>
  <c r="S125" i="21"/>
  <c r="W125" i="21"/>
  <c r="D126" i="21"/>
  <c r="E126" i="21"/>
  <c r="F126" i="21"/>
  <c r="G126" i="21"/>
  <c r="J126" i="21"/>
  <c r="L126" i="21"/>
  <c r="M126" i="21"/>
  <c r="N126" i="21"/>
  <c r="P126" i="21"/>
  <c r="S126" i="21"/>
  <c r="W126" i="21"/>
  <c r="D127" i="21"/>
  <c r="E127" i="21"/>
  <c r="F127" i="21"/>
  <c r="G127" i="21"/>
  <c r="J127" i="21"/>
  <c r="L127" i="21"/>
  <c r="M127" i="21"/>
  <c r="N127" i="21"/>
  <c r="P127" i="21"/>
  <c r="S127" i="21"/>
  <c r="W127" i="21"/>
  <c r="D128" i="21"/>
  <c r="E128" i="21"/>
  <c r="F128" i="21"/>
  <c r="G128" i="21"/>
  <c r="J128" i="21"/>
  <c r="L128" i="21"/>
  <c r="M128" i="21"/>
  <c r="N128" i="21"/>
  <c r="P128" i="21"/>
  <c r="S128" i="21"/>
  <c r="W128" i="21"/>
  <c r="D129" i="21"/>
  <c r="E129" i="21"/>
  <c r="F129" i="21"/>
  <c r="G129" i="21"/>
  <c r="J129" i="21"/>
  <c r="L129" i="21"/>
  <c r="M129" i="21"/>
  <c r="N129" i="21"/>
  <c r="P129" i="21"/>
  <c r="S129" i="21"/>
  <c r="W129" i="21"/>
  <c r="D130" i="21"/>
  <c r="E130" i="21"/>
  <c r="F130" i="21"/>
  <c r="G130" i="21"/>
  <c r="J130" i="21"/>
  <c r="L130" i="21"/>
  <c r="M130" i="21"/>
  <c r="N130" i="21"/>
  <c r="P130" i="21"/>
  <c r="S130" i="21"/>
  <c r="W130" i="21"/>
  <c r="D131" i="21"/>
  <c r="E131" i="21"/>
  <c r="F131" i="21"/>
  <c r="G131" i="21"/>
  <c r="J131" i="21"/>
  <c r="L131" i="21"/>
  <c r="M131" i="21"/>
  <c r="N131" i="21"/>
  <c r="P131" i="21"/>
  <c r="S131" i="21"/>
  <c r="W131" i="21"/>
  <c r="D132" i="21"/>
  <c r="E132" i="21"/>
  <c r="F132" i="21"/>
  <c r="G132" i="21"/>
  <c r="J132" i="21"/>
  <c r="L132" i="21"/>
  <c r="M132" i="21"/>
  <c r="N132" i="21"/>
  <c r="P132" i="21"/>
  <c r="S132" i="21"/>
  <c r="W132" i="21"/>
  <c r="D133" i="21"/>
  <c r="E133" i="21"/>
  <c r="F133" i="21"/>
  <c r="G133" i="21"/>
  <c r="J133" i="21"/>
  <c r="L133" i="21"/>
  <c r="M133" i="21"/>
  <c r="N133" i="21"/>
  <c r="P133" i="21"/>
  <c r="S133" i="21"/>
  <c r="W133" i="21"/>
  <c r="D134" i="21"/>
  <c r="E134" i="21"/>
  <c r="F134" i="21"/>
  <c r="G134" i="21"/>
  <c r="J134" i="21"/>
  <c r="L134" i="21"/>
  <c r="M134" i="21"/>
  <c r="N134" i="21"/>
  <c r="P134" i="21"/>
  <c r="S134" i="21"/>
  <c r="W134" i="21"/>
  <c r="D135" i="21"/>
  <c r="E135" i="21"/>
  <c r="F135" i="21"/>
  <c r="G135" i="21"/>
  <c r="J135" i="21"/>
  <c r="L135" i="21"/>
  <c r="M135" i="21"/>
  <c r="N135" i="21"/>
  <c r="P135" i="21"/>
  <c r="S135" i="21"/>
  <c r="W135" i="21"/>
  <c r="D136" i="21"/>
  <c r="E136" i="21"/>
  <c r="F136" i="21"/>
  <c r="G136" i="21"/>
  <c r="J136" i="21"/>
  <c r="L136" i="21"/>
  <c r="M136" i="21"/>
  <c r="N136" i="21"/>
  <c r="P136" i="21"/>
  <c r="S136" i="21"/>
  <c r="W136" i="21"/>
  <c r="D137" i="21"/>
  <c r="E137" i="21"/>
  <c r="F137" i="21"/>
  <c r="G137" i="21"/>
  <c r="J137" i="21"/>
  <c r="L137" i="21"/>
  <c r="M137" i="21"/>
  <c r="N137" i="21"/>
  <c r="P137" i="21"/>
  <c r="S137" i="21"/>
  <c r="W137" i="21"/>
  <c r="D138" i="21"/>
  <c r="E138" i="21"/>
  <c r="F138" i="21"/>
  <c r="G138" i="21"/>
  <c r="J138" i="21"/>
  <c r="L138" i="21"/>
  <c r="M138" i="21"/>
  <c r="N138" i="21"/>
  <c r="P138" i="21"/>
  <c r="S138" i="21"/>
  <c r="W138" i="21"/>
  <c r="D139" i="21"/>
  <c r="E139" i="21"/>
  <c r="F139" i="21"/>
  <c r="G139" i="21"/>
  <c r="J139" i="21"/>
  <c r="L139" i="21"/>
  <c r="M139" i="21"/>
  <c r="N139" i="21"/>
  <c r="P139" i="21"/>
  <c r="S139" i="21"/>
  <c r="W139" i="21"/>
  <c r="D140" i="21"/>
  <c r="E140" i="21"/>
  <c r="F140" i="21"/>
  <c r="G140" i="21"/>
  <c r="J140" i="21"/>
  <c r="L140" i="21"/>
  <c r="M140" i="21"/>
  <c r="N140" i="21"/>
  <c r="P140" i="21"/>
  <c r="S140" i="21"/>
  <c r="W140" i="21"/>
  <c r="D141" i="21"/>
  <c r="E141" i="21"/>
  <c r="F141" i="21"/>
  <c r="G141" i="21"/>
  <c r="J141" i="21"/>
  <c r="L141" i="21"/>
  <c r="M141" i="21"/>
  <c r="N141" i="21"/>
  <c r="P141" i="21"/>
  <c r="S141" i="21"/>
  <c r="W141" i="21"/>
  <c r="D142" i="21"/>
  <c r="E142" i="21"/>
  <c r="F142" i="21"/>
  <c r="G142" i="21"/>
  <c r="J142" i="21"/>
  <c r="L142" i="21"/>
  <c r="M142" i="21"/>
  <c r="N142" i="21"/>
  <c r="P142" i="21"/>
  <c r="S142" i="21"/>
  <c r="W142" i="21"/>
  <c r="D143" i="21"/>
  <c r="E143" i="21"/>
  <c r="F143" i="21"/>
  <c r="G143" i="21"/>
  <c r="J143" i="21"/>
  <c r="L143" i="21"/>
  <c r="M143" i="21"/>
  <c r="N143" i="21"/>
  <c r="P143" i="21"/>
  <c r="S143" i="21"/>
  <c r="W143" i="21"/>
  <c r="D144" i="21"/>
  <c r="E144" i="21"/>
  <c r="F144" i="21"/>
  <c r="G144" i="21"/>
  <c r="J144" i="21"/>
  <c r="L144" i="21"/>
  <c r="M144" i="21"/>
  <c r="N144" i="21"/>
  <c r="P144" i="21"/>
  <c r="S144" i="21"/>
  <c r="W144" i="21"/>
  <c r="D145" i="21"/>
  <c r="E145" i="21"/>
  <c r="F145" i="21"/>
  <c r="G145" i="21"/>
  <c r="J145" i="21"/>
  <c r="L145" i="21"/>
  <c r="M145" i="21"/>
  <c r="N145" i="21"/>
  <c r="P145" i="21"/>
  <c r="S145" i="21"/>
  <c r="W145" i="21"/>
  <c r="D146" i="21"/>
  <c r="E146" i="21"/>
  <c r="F146" i="21"/>
  <c r="G146" i="21"/>
  <c r="J146" i="21"/>
  <c r="L146" i="21"/>
  <c r="M146" i="21"/>
  <c r="N146" i="21"/>
  <c r="P146" i="21"/>
  <c r="S146" i="21"/>
  <c r="W146" i="21"/>
  <c r="D147" i="21"/>
  <c r="E147" i="21"/>
  <c r="F147" i="21"/>
  <c r="G147" i="21"/>
  <c r="J147" i="21"/>
  <c r="L147" i="21"/>
  <c r="M147" i="21"/>
  <c r="N147" i="21"/>
  <c r="P147" i="21"/>
  <c r="S147" i="21"/>
  <c r="W147" i="21"/>
  <c r="D148" i="21"/>
  <c r="E148" i="21"/>
  <c r="F148" i="21"/>
  <c r="G148" i="21"/>
  <c r="J148" i="21"/>
  <c r="L148" i="21"/>
  <c r="M148" i="21"/>
  <c r="N148" i="21"/>
  <c r="P148" i="21"/>
  <c r="S148" i="21"/>
  <c r="W148" i="21"/>
  <c r="D149" i="21"/>
  <c r="E149" i="21"/>
  <c r="F149" i="21"/>
  <c r="G149" i="21"/>
  <c r="J149" i="21"/>
  <c r="L149" i="21"/>
  <c r="M149" i="21"/>
  <c r="N149" i="21"/>
  <c r="P149" i="21"/>
  <c r="S149" i="21"/>
  <c r="W149" i="21"/>
  <c r="D150" i="21"/>
  <c r="E150" i="21"/>
  <c r="F150" i="21"/>
  <c r="G150" i="21"/>
  <c r="J150" i="21"/>
  <c r="L150" i="21"/>
  <c r="M150" i="21"/>
  <c r="N150" i="21"/>
  <c r="P150" i="21"/>
  <c r="S150" i="21"/>
  <c r="W150" i="21"/>
  <c r="D151" i="21"/>
  <c r="E151" i="21"/>
  <c r="F151" i="21"/>
  <c r="G151" i="21"/>
  <c r="J151" i="21"/>
  <c r="L151" i="21"/>
  <c r="M151" i="21"/>
  <c r="N151" i="21"/>
  <c r="P151" i="21"/>
  <c r="S151" i="21"/>
  <c r="W151" i="21"/>
  <c r="D152" i="21"/>
  <c r="E152" i="21"/>
  <c r="F152" i="21"/>
  <c r="G152" i="21"/>
  <c r="J152" i="21"/>
  <c r="L152" i="21"/>
  <c r="M152" i="21"/>
  <c r="N152" i="21"/>
  <c r="P152" i="21"/>
  <c r="S152" i="21"/>
  <c r="W152" i="21"/>
  <c r="D153" i="21"/>
  <c r="E153" i="21"/>
  <c r="F153" i="21"/>
  <c r="G153" i="21"/>
  <c r="J153" i="21"/>
  <c r="L153" i="21"/>
  <c r="M153" i="21"/>
  <c r="N153" i="21"/>
  <c r="P153" i="21"/>
  <c r="S153" i="21"/>
  <c r="W153" i="21"/>
  <c r="D154" i="21"/>
  <c r="E154" i="21"/>
  <c r="F154" i="21"/>
  <c r="G154" i="21"/>
  <c r="J154" i="21"/>
  <c r="L154" i="21"/>
  <c r="M154" i="21"/>
  <c r="N154" i="21"/>
  <c r="P154" i="21"/>
  <c r="S154" i="21"/>
  <c r="W154" i="21"/>
  <c r="D155" i="21"/>
  <c r="E155" i="21"/>
  <c r="F155" i="21"/>
  <c r="G155" i="21"/>
  <c r="J155" i="21"/>
  <c r="L155" i="21"/>
  <c r="M155" i="21"/>
  <c r="N155" i="21"/>
  <c r="P155" i="21"/>
  <c r="S155" i="21"/>
  <c r="W155" i="21"/>
  <c r="D156" i="21"/>
  <c r="E156" i="21"/>
  <c r="F156" i="21"/>
  <c r="G156" i="21"/>
  <c r="J156" i="21"/>
  <c r="L156" i="21"/>
  <c r="M156" i="21"/>
  <c r="N156" i="21"/>
  <c r="P156" i="21"/>
  <c r="S156" i="21"/>
  <c r="W156" i="21"/>
  <c r="D157" i="21"/>
  <c r="E157" i="21"/>
  <c r="F157" i="21"/>
  <c r="G157" i="21"/>
  <c r="J157" i="21"/>
  <c r="L157" i="21"/>
  <c r="M157" i="21"/>
  <c r="N157" i="21"/>
  <c r="P157" i="21"/>
  <c r="S157" i="21"/>
  <c r="W157" i="21"/>
  <c r="D158" i="21"/>
  <c r="E158" i="21"/>
  <c r="F158" i="21"/>
  <c r="G158" i="21"/>
  <c r="J158" i="21"/>
  <c r="L158" i="21"/>
  <c r="M158" i="21"/>
  <c r="N158" i="21"/>
  <c r="P158" i="21"/>
  <c r="S158" i="21"/>
  <c r="W158" i="21"/>
  <c r="D159" i="21"/>
  <c r="E159" i="21"/>
  <c r="F159" i="21"/>
  <c r="G159" i="21"/>
  <c r="J159" i="21"/>
  <c r="L159" i="21"/>
  <c r="M159" i="21"/>
  <c r="N159" i="21"/>
  <c r="P159" i="21"/>
  <c r="S159" i="21"/>
  <c r="W159" i="21"/>
  <c r="D160" i="21"/>
  <c r="E160" i="21"/>
  <c r="F160" i="21"/>
  <c r="G160" i="21"/>
  <c r="J160" i="21"/>
  <c r="L160" i="21"/>
  <c r="M160" i="21"/>
  <c r="N160" i="21"/>
  <c r="P160" i="21"/>
  <c r="S160" i="21"/>
  <c r="W160" i="21"/>
  <c r="D161" i="21"/>
  <c r="E161" i="21"/>
  <c r="F161" i="21"/>
  <c r="G161" i="21"/>
  <c r="J161" i="21"/>
  <c r="L161" i="21"/>
  <c r="M161" i="21"/>
  <c r="N161" i="21"/>
  <c r="P161" i="21"/>
  <c r="S161" i="21"/>
  <c r="W161" i="21"/>
  <c r="D162" i="21"/>
  <c r="E162" i="21"/>
  <c r="F162" i="21"/>
  <c r="G162" i="21"/>
  <c r="J162" i="21"/>
  <c r="L162" i="21"/>
  <c r="M162" i="21"/>
  <c r="N162" i="21"/>
  <c r="P162" i="21"/>
  <c r="S162" i="21"/>
  <c r="W162" i="21"/>
  <c r="D163" i="21"/>
  <c r="E163" i="21"/>
  <c r="F163" i="21"/>
  <c r="G163" i="21"/>
  <c r="J163" i="21"/>
  <c r="L163" i="21"/>
  <c r="M163" i="21"/>
  <c r="N163" i="21"/>
  <c r="P163" i="21"/>
  <c r="S163" i="21"/>
  <c r="W163" i="21"/>
  <c r="D164" i="21"/>
  <c r="E164" i="21"/>
  <c r="F164" i="21"/>
  <c r="G164" i="21"/>
  <c r="J164" i="21"/>
  <c r="L164" i="21"/>
  <c r="M164" i="21"/>
  <c r="N164" i="21"/>
  <c r="P164" i="21"/>
  <c r="S164" i="21"/>
  <c r="W164" i="21"/>
  <c r="D165" i="21"/>
  <c r="E165" i="21"/>
  <c r="F165" i="21"/>
  <c r="G165" i="21"/>
  <c r="J165" i="21"/>
  <c r="L165" i="21"/>
  <c r="M165" i="21"/>
  <c r="N165" i="21"/>
  <c r="P165" i="21"/>
  <c r="S165" i="21"/>
  <c r="W165" i="21"/>
  <c r="D166" i="21"/>
  <c r="E166" i="21"/>
  <c r="F166" i="21"/>
  <c r="G166" i="21"/>
  <c r="J166" i="21"/>
  <c r="L166" i="21"/>
  <c r="M166" i="21"/>
  <c r="N166" i="21"/>
  <c r="P166" i="21"/>
  <c r="S166" i="21"/>
  <c r="W166" i="21"/>
  <c r="D167" i="21"/>
  <c r="E167" i="21"/>
  <c r="F167" i="21"/>
  <c r="G167" i="21"/>
  <c r="J167" i="21"/>
  <c r="L167" i="21"/>
  <c r="M167" i="21"/>
  <c r="N167" i="21"/>
  <c r="P167" i="21"/>
  <c r="S167" i="21"/>
  <c r="W167" i="21"/>
  <c r="D168" i="21"/>
  <c r="E168" i="21"/>
  <c r="F168" i="21"/>
  <c r="G168" i="21"/>
  <c r="J168" i="21"/>
  <c r="L168" i="21"/>
  <c r="M168" i="21"/>
  <c r="N168" i="21"/>
  <c r="P168" i="21"/>
  <c r="S168" i="21"/>
  <c r="W168" i="21"/>
  <c r="D169" i="21"/>
  <c r="E169" i="21"/>
  <c r="F169" i="21"/>
  <c r="G169" i="21"/>
  <c r="J169" i="21"/>
  <c r="L169" i="21"/>
  <c r="M169" i="21"/>
  <c r="N169" i="21"/>
  <c r="P169" i="21"/>
  <c r="S169" i="21"/>
  <c r="W169" i="21"/>
  <c r="D170" i="21"/>
  <c r="E170" i="21"/>
  <c r="F170" i="21"/>
  <c r="G170" i="21"/>
  <c r="J170" i="21"/>
  <c r="L170" i="21"/>
  <c r="M170" i="21"/>
  <c r="N170" i="21"/>
  <c r="P170" i="21"/>
  <c r="S170" i="21"/>
  <c r="W170" i="21"/>
  <c r="D171" i="21"/>
  <c r="E171" i="21"/>
  <c r="F171" i="21"/>
  <c r="G171" i="21"/>
  <c r="J171" i="21"/>
  <c r="L171" i="21"/>
  <c r="M171" i="21"/>
  <c r="N171" i="21"/>
  <c r="P171" i="21"/>
  <c r="S171" i="21"/>
  <c r="W171" i="21"/>
  <c r="D172" i="21"/>
  <c r="E172" i="21"/>
  <c r="F172" i="21"/>
  <c r="G172" i="21"/>
  <c r="J172" i="21"/>
  <c r="L172" i="21"/>
  <c r="M172" i="21"/>
  <c r="N172" i="21"/>
  <c r="P172" i="21"/>
  <c r="S172" i="21"/>
  <c r="W172" i="21"/>
  <c r="D173" i="21"/>
  <c r="E173" i="21"/>
  <c r="F173" i="21"/>
  <c r="G173" i="21"/>
  <c r="J173" i="21"/>
  <c r="L173" i="21"/>
  <c r="M173" i="21"/>
  <c r="N173" i="21"/>
  <c r="P173" i="21"/>
  <c r="S173" i="21"/>
  <c r="W173" i="21"/>
  <c r="D174" i="21"/>
  <c r="E174" i="21"/>
  <c r="F174" i="21"/>
  <c r="G174" i="21"/>
  <c r="J174" i="21"/>
  <c r="L174" i="21"/>
  <c r="M174" i="21"/>
  <c r="N174" i="21"/>
  <c r="P174" i="21"/>
  <c r="S174" i="21"/>
  <c r="W174" i="21"/>
  <c r="D175" i="21"/>
  <c r="E175" i="21"/>
  <c r="F175" i="21"/>
  <c r="G175" i="21"/>
  <c r="J175" i="21"/>
  <c r="L175" i="21"/>
  <c r="M175" i="21"/>
  <c r="N175" i="21"/>
  <c r="P175" i="21"/>
  <c r="S175" i="21"/>
  <c r="W175" i="21"/>
  <c r="D176" i="21"/>
  <c r="E176" i="21"/>
  <c r="F176" i="21"/>
  <c r="G176" i="21"/>
  <c r="J176" i="21"/>
  <c r="L176" i="21"/>
  <c r="M176" i="21"/>
  <c r="N176" i="21"/>
  <c r="P176" i="21"/>
  <c r="S176" i="21"/>
  <c r="W176" i="21"/>
  <c r="D177" i="21"/>
  <c r="E177" i="21"/>
  <c r="F177" i="21"/>
  <c r="G177" i="21"/>
  <c r="J177" i="21"/>
  <c r="L177" i="21"/>
  <c r="M177" i="21"/>
  <c r="N177" i="21"/>
  <c r="P177" i="21"/>
  <c r="S177" i="21"/>
  <c r="W177" i="21"/>
  <c r="D178" i="21"/>
  <c r="E178" i="21"/>
  <c r="F178" i="21"/>
  <c r="G178" i="21"/>
  <c r="J178" i="21"/>
  <c r="L178" i="21"/>
  <c r="M178" i="21"/>
  <c r="N178" i="21"/>
  <c r="P178" i="21"/>
  <c r="S178" i="21"/>
  <c r="W178" i="21"/>
  <c r="D179" i="21"/>
  <c r="E179" i="21"/>
  <c r="F179" i="21"/>
  <c r="G179" i="21"/>
  <c r="J179" i="21"/>
  <c r="L179" i="21"/>
  <c r="M179" i="21"/>
  <c r="N179" i="21"/>
  <c r="P179" i="21"/>
  <c r="S179" i="21"/>
  <c r="W179" i="21"/>
  <c r="D180" i="21"/>
  <c r="E180" i="21"/>
  <c r="F180" i="21"/>
  <c r="G180" i="21"/>
  <c r="J180" i="21"/>
  <c r="L180" i="21"/>
  <c r="M180" i="21"/>
  <c r="N180" i="21"/>
  <c r="P180" i="21"/>
  <c r="S180" i="21"/>
  <c r="W180" i="21"/>
  <c r="D181" i="21"/>
  <c r="E181" i="21"/>
  <c r="F181" i="21"/>
  <c r="G181" i="21"/>
  <c r="J181" i="21"/>
  <c r="L181" i="21"/>
  <c r="M181" i="21"/>
  <c r="N181" i="21"/>
  <c r="P181" i="21"/>
  <c r="S181" i="21"/>
  <c r="W181" i="21"/>
  <c r="D182" i="21"/>
  <c r="E182" i="21"/>
  <c r="F182" i="21"/>
  <c r="G182" i="21"/>
  <c r="J182" i="21"/>
  <c r="L182" i="21"/>
  <c r="M182" i="21"/>
  <c r="N182" i="21"/>
  <c r="P182" i="21"/>
  <c r="S182" i="21"/>
  <c r="W182" i="21"/>
  <c r="D183" i="21"/>
  <c r="E183" i="21"/>
  <c r="F183" i="21"/>
  <c r="G183" i="21"/>
  <c r="J183" i="21"/>
  <c r="L183" i="21"/>
  <c r="M183" i="21"/>
  <c r="N183" i="21"/>
  <c r="P183" i="21"/>
  <c r="S183" i="21"/>
  <c r="W183" i="21"/>
  <c r="D184" i="21"/>
  <c r="E184" i="21"/>
  <c r="F184" i="21"/>
  <c r="G184" i="21"/>
  <c r="J184" i="21"/>
  <c r="L184" i="21"/>
  <c r="M184" i="21"/>
  <c r="N184" i="21"/>
  <c r="P184" i="21"/>
  <c r="S184" i="21"/>
  <c r="W184" i="21"/>
  <c r="D185" i="21"/>
  <c r="E185" i="21"/>
  <c r="F185" i="21"/>
  <c r="G185" i="21"/>
  <c r="J185" i="21"/>
  <c r="L185" i="21"/>
  <c r="M185" i="21"/>
  <c r="N185" i="21"/>
  <c r="P185" i="21"/>
  <c r="S185" i="21"/>
  <c r="W185" i="21"/>
  <c r="D186" i="21"/>
  <c r="E186" i="21"/>
  <c r="F186" i="21"/>
  <c r="G186" i="21"/>
  <c r="J186" i="21"/>
  <c r="L186" i="21"/>
  <c r="M186" i="21"/>
  <c r="N186" i="21"/>
  <c r="P186" i="21"/>
  <c r="S186" i="21"/>
  <c r="W186" i="21"/>
  <c r="D187" i="21"/>
  <c r="E187" i="21"/>
  <c r="F187" i="21"/>
  <c r="G187" i="21"/>
  <c r="J187" i="21"/>
  <c r="L187" i="21"/>
  <c r="M187" i="21"/>
  <c r="N187" i="21"/>
  <c r="P187" i="21"/>
  <c r="S187" i="21"/>
  <c r="W187" i="21"/>
  <c r="D188" i="21"/>
  <c r="E188" i="21"/>
  <c r="F188" i="21"/>
  <c r="G188" i="21"/>
  <c r="J188" i="21"/>
  <c r="L188" i="21"/>
  <c r="M188" i="21"/>
  <c r="N188" i="21"/>
  <c r="P188" i="21"/>
  <c r="S188" i="21"/>
  <c r="W188" i="21"/>
  <c r="D189" i="21"/>
  <c r="E189" i="21"/>
  <c r="F189" i="21"/>
  <c r="G189" i="21"/>
  <c r="J189" i="21"/>
  <c r="L189" i="21"/>
  <c r="M189" i="21"/>
  <c r="N189" i="21"/>
  <c r="P189" i="21"/>
  <c r="S189" i="21"/>
  <c r="W189" i="21"/>
  <c r="D190" i="21"/>
  <c r="E190" i="21"/>
  <c r="F190" i="21"/>
  <c r="G190" i="21"/>
  <c r="J190" i="21"/>
  <c r="L190" i="21"/>
  <c r="M190" i="21"/>
  <c r="N190" i="21"/>
  <c r="P190" i="21"/>
  <c r="S190" i="21"/>
  <c r="W190" i="21"/>
  <c r="D191" i="21"/>
  <c r="E191" i="21"/>
  <c r="F191" i="21"/>
  <c r="G191" i="21"/>
  <c r="J191" i="21"/>
  <c r="L191" i="21"/>
  <c r="M191" i="21"/>
  <c r="N191" i="21"/>
  <c r="P191" i="21"/>
  <c r="S191" i="21"/>
  <c r="W191" i="21"/>
  <c r="D192" i="21"/>
  <c r="E192" i="21"/>
  <c r="F192" i="21"/>
  <c r="G192" i="21"/>
  <c r="J192" i="21"/>
  <c r="L192" i="21"/>
  <c r="M192" i="21"/>
  <c r="N192" i="21"/>
  <c r="P192" i="21"/>
  <c r="S192" i="21"/>
  <c r="W192" i="21"/>
  <c r="D193" i="21"/>
  <c r="E193" i="21"/>
  <c r="F193" i="21"/>
  <c r="G193" i="21"/>
  <c r="J193" i="21"/>
  <c r="L193" i="21"/>
  <c r="M193" i="21"/>
  <c r="N193" i="21"/>
  <c r="P193" i="21"/>
  <c r="S193" i="21"/>
  <c r="W193" i="21"/>
  <c r="D194" i="21"/>
  <c r="E194" i="21"/>
  <c r="F194" i="21"/>
  <c r="G194" i="21"/>
  <c r="J194" i="21"/>
  <c r="L194" i="21"/>
  <c r="M194" i="21"/>
  <c r="N194" i="21"/>
  <c r="P194" i="21"/>
  <c r="S194" i="21"/>
  <c r="W194" i="21"/>
  <c r="D195" i="21"/>
  <c r="E195" i="21"/>
  <c r="F195" i="21"/>
  <c r="G195" i="21"/>
  <c r="J195" i="21"/>
  <c r="L195" i="21"/>
  <c r="M195" i="21"/>
  <c r="N195" i="21"/>
  <c r="P195" i="21"/>
  <c r="S195" i="21"/>
  <c r="W195" i="21"/>
  <c r="D196" i="21"/>
  <c r="E196" i="21"/>
  <c r="F196" i="21"/>
  <c r="G196" i="21"/>
  <c r="J196" i="21"/>
  <c r="L196" i="21"/>
  <c r="M196" i="21"/>
  <c r="N196" i="21"/>
  <c r="P196" i="21"/>
  <c r="S196" i="21"/>
  <c r="W196" i="21"/>
  <c r="D197" i="21"/>
  <c r="E197" i="21"/>
  <c r="F197" i="21"/>
  <c r="G197" i="21"/>
  <c r="J197" i="21"/>
  <c r="L197" i="21"/>
  <c r="M197" i="21"/>
  <c r="N197" i="21"/>
  <c r="P197" i="21"/>
  <c r="S197" i="21"/>
  <c r="W197" i="21"/>
  <c r="D198" i="21"/>
  <c r="E198" i="21"/>
  <c r="F198" i="21"/>
  <c r="G198" i="21"/>
  <c r="J198" i="21"/>
  <c r="L198" i="21"/>
  <c r="M198" i="21"/>
  <c r="N198" i="21"/>
  <c r="P198" i="21"/>
  <c r="S198" i="21"/>
  <c r="W198" i="21"/>
  <c r="D199" i="21"/>
  <c r="E199" i="21"/>
  <c r="F199" i="21"/>
  <c r="G199" i="21"/>
  <c r="J199" i="21"/>
  <c r="L199" i="21"/>
  <c r="M199" i="21"/>
  <c r="N199" i="21"/>
  <c r="P199" i="21"/>
  <c r="S199" i="21"/>
  <c r="W199" i="21"/>
  <c r="D200" i="21"/>
  <c r="E200" i="21"/>
  <c r="F200" i="21"/>
  <c r="G200" i="21"/>
  <c r="J200" i="21"/>
  <c r="L200" i="21"/>
  <c r="M200" i="21"/>
  <c r="N200" i="21"/>
  <c r="P200" i="21"/>
  <c r="S200" i="21"/>
  <c r="W200" i="21"/>
  <c r="D201" i="21"/>
  <c r="E201" i="21"/>
  <c r="F201" i="21"/>
  <c r="G201" i="21"/>
  <c r="J201" i="21"/>
  <c r="L201" i="21"/>
  <c r="M201" i="21"/>
  <c r="N201" i="21"/>
  <c r="P201" i="21"/>
  <c r="S201" i="21"/>
  <c r="W201" i="21"/>
  <c r="D202" i="21"/>
  <c r="E202" i="21"/>
  <c r="F202" i="21"/>
  <c r="G202" i="21"/>
  <c r="J202" i="21"/>
  <c r="L202" i="21"/>
  <c r="M202" i="21"/>
  <c r="N202" i="21"/>
  <c r="P202" i="21"/>
  <c r="S202" i="21"/>
  <c r="W202" i="21"/>
  <c r="D203" i="21"/>
  <c r="E203" i="21"/>
  <c r="F203" i="21"/>
  <c r="G203" i="21"/>
  <c r="J203" i="21"/>
  <c r="L203" i="21"/>
  <c r="M203" i="21"/>
  <c r="N203" i="21"/>
  <c r="P203" i="21"/>
  <c r="S203" i="21"/>
  <c r="W203" i="21"/>
  <c r="D204" i="21"/>
  <c r="E204" i="21"/>
  <c r="F204" i="21"/>
  <c r="G204" i="21"/>
  <c r="J204" i="21"/>
  <c r="L204" i="21"/>
  <c r="M204" i="21"/>
  <c r="N204" i="21"/>
  <c r="P204" i="21"/>
  <c r="S204" i="21"/>
  <c r="W204" i="21"/>
  <c r="D205" i="21"/>
  <c r="E205" i="21"/>
  <c r="F205" i="21"/>
  <c r="G205" i="21"/>
  <c r="J205" i="21"/>
  <c r="L205" i="21"/>
  <c r="M205" i="21"/>
  <c r="N205" i="21"/>
  <c r="P205" i="21"/>
  <c r="S205" i="21"/>
  <c r="W205" i="21"/>
  <c r="D206" i="21"/>
  <c r="E206" i="21"/>
  <c r="F206" i="21"/>
  <c r="G206" i="21"/>
  <c r="J206" i="21"/>
  <c r="L206" i="21"/>
  <c r="M206" i="21"/>
  <c r="N206" i="21"/>
  <c r="P206" i="21"/>
  <c r="S206" i="21"/>
  <c r="W206" i="21"/>
  <c r="D207" i="21"/>
  <c r="E207" i="21"/>
  <c r="F207" i="21"/>
  <c r="G207" i="21"/>
  <c r="J207" i="21"/>
  <c r="L207" i="21"/>
  <c r="M207" i="21"/>
  <c r="N207" i="21"/>
  <c r="P207" i="21"/>
  <c r="S207" i="21"/>
  <c r="W207" i="21"/>
  <c r="D208" i="21"/>
  <c r="E208" i="21"/>
  <c r="F208" i="21"/>
  <c r="G208" i="21"/>
  <c r="J208" i="21"/>
  <c r="L208" i="21"/>
  <c r="M208" i="21"/>
  <c r="N208" i="21"/>
  <c r="P208" i="21"/>
  <c r="S208" i="21"/>
  <c r="W208" i="21"/>
  <c r="D209" i="21"/>
  <c r="E209" i="21"/>
  <c r="F209" i="21"/>
  <c r="G209" i="21"/>
  <c r="J209" i="21"/>
  <c r="L209" i="21"/>
  <c r="M209" i="21"/>
  <c r="N209" i="21"/>
  <c r="P209" i="21"/>
  <c r="S209" i="21"/>
  <c r="W209" i="21"/>
  <c r="D210" i="21"/>
  <c r="E210" i="21"/>
  <c r="F210" i="21"/>
  <c r="G210" i="21"/>
  <c r="J210" i="21"/>
  <c r="L210" i="21"/>
  <c r="M210" i="21"/>
  <c r="N210" i="21"/>
  <c r="P210" i="21"/>
  <c r="S210" i="21"/>
  <c r="W210" i="21"/>
  <c r="D211" i="21"/>
  <c r="E211" i="21"/>
  <c r="F211" i="21"/>
  <c r="G211" i="21"/>
  <c r="J211" i="21"/>
  <c r="L211" i="21"/>
  <c r="M211" i="21"/>
  <c r="N211" i="21"/>
  <c r="P211" i="21"/>
  <c r="S211" i="21"/>
  <c r="W211" i="21"/>
  <c r="D212" i="21"/>
  <c r="E212" i="21"/>
  <c r="F212" i="21"/>
  <c r="G212" i="21"/>
  <c r="J212" i="21"/>
  <c r="L212" i="21"/>
  <c r="M212" i="21"/>
  <c r="N212" i="21"/>
  <c r="P212" i="21"/>
  <c r="S212" i="21"/>
  <c r="W212" i="21"/>
  <c r="D213" i="21"/>
  <c r="E213" i="21"/>
  <c r="F213" i="21"/>
  <c r="G213" i="21"/>
  <c r="J213" i="21"/>
  <c r="L213" i="21"/>
  <c r="M213" i="21"/>
  <c r="N213" i="21"/>
  <c r="P213" i="21"/>
  <c r="S213" i="21"/>
  <c r="W213" i="21"/>
  <c r="D214" i="21"/>
  <c r="E214" i="21"/>
  <c r="F214" i="21"/>
  <c r="G214" i="21"/>
  <c r="J214" i="21"/>
  <c r="L214" i="21"/>
  <c r="M214" i="21"/>
  <c r="N214" i="21"/>
  <c r="P214" i="21"/>
  <c r="S214" i="21"/>
  <c r="W214" i="21"/>
  <c r="D215" i="21"/>
  <c r="E215" i="21"/>
  <c r="F215" i="21"/>
  <c r="G215" i="21"/>
  <c r="J215" i="21"/>
  <c r="L215" i="21"/>
  <c r="M215" i="21"/>
  <c r="N215" i="21"/>
  <c r="P215" i="21"/>
  <c r="S215" i="21"/>
  <c r="W215" i="21"/>
  <c r="D216" i="21"/>
  <c r="E216" i="21"/>
  <c r="F216" i="21"/>
  <c r="G216" i="21"/>
  <c r="J216" i="21"/>
  <c r="L216" i="21"/>
  <c r="M216" i="21"/>
  <c r="N216" i="21"/>
  <c r="P216" i="21"/>
  <c r="S216" i="21"/>
  <c r="W216" i="21"/>
  <c r="D217" i="21"/>
  <c r="E217" i="21"/>
  <c r="F217" i="21"/>
  <c r="G217" i="21"/>
  <c r="J217" i="21"/>
  <c r="L217" i="21"/>
  <c r="M217" i="21"/>
  <c r="N217" i="21"/>
  <c r="P217" i="21"/>
  <c r="S217" i="21"/>
  <c r="W217" i="21"/>
  <c r="D218" i="21"/>
  <c r="E218" i="21"/>
  <c r="F218" i="21"/>
  <c r="G218" i="21"/>
  <c r="J218" i="21"/>
  <c r="L218" i="21"/>
  <c r="M218" i="21"/>
  <c r="N218" i="21"/>
  <c r="P218" i="21"/>
  <c r="S218" i="21"/>
  <c r="W218" i="21"/>
  <c r="D219" i="21"/>
  <c r="E219" i="21"/>
  <c r="F219" i="21"/>
  <c r="G219" i="21"/>
  <c r="J219" i="21"/>
  <c r="L219" i="21"/>
  <c r="M219" i="21"/>
  <c r="N219" i="21"/>
  <c r="P219" i="21"/>
  <c r="S219" i="21"/>
  <c r="W219" i="21"/>
  <c r="D220" i="21"/>
  <c r="E220" i="21"/>
  <c r="F220" i="21"/>
  <c r="G220" i="21"/>
  <c r="J220" i="21"/>
  <c r="L220" i="21"/>
  <c r="M220" i="21"/>
  <c r="N220" i="21"/>
  <c r="P220" i="21"/>
  <c r="S220" i="21"/>
  <c r="W220" i="21"/>
  <c r="D221" i="21"/>
  <c r="E221" i="21"/>
  <c r="F221" i="21"/>
  <c r="G221" i="21"/>
  <c r="J221" i="21"/>
  <c r="L221" i="21"/>
  <c r="M221" i="21"/>
  <c r="N221" i="21"/>
  <c r="P221" i="21"/>
  <c r="S221" i="21"/>
  <c r="W221" i="21"/>
  <c r="D222" i="21"/>
  <c r="E222" i="21"/>
  <c r="F222" i="21"/>
  <c r="G222" i="21"/>
  <c r="J222" i="21"/>
  <c r="L222" i="21"/>
  <c r="M222" i="21"/>
  <c r="N222" i="21"/>
  <c r="P222" i="21"/>
  <c r="S222" i="21"/>
  <c r="W222" i="21"/>
  <c r="D223" i="21"/>
  <c r="E223" i="21"/>
  <c r="F223" i="21"/>
  <c r="G223" i="21"/>
  <c r="J223" i="21"/>
  <c r="L223" i="21"/>
  <c r="M223" i="21"/>
  <c r="N223" i="21"/>
  <c r="P223" i="21"/>
  <c r="S223" i="21"/>
  <c r="W223" i="21"/>
  <c r="D224" i="21"/>
  <c r="E224" i="21"/>
  <c r="F224" i="21"/>
  <c r="G224" i="21"/>
  <c r="J224" i="21"/>
  <c r="L224" i="21"/>
  <c r="M224" i="21"/>
  <c r="N224" i="21"/>
  <c r="P224" i="21"/>
  <c r="S224" i="21"/>
  <c r="W224" i="21"/>
  <c r="D225" i="21"/>
  <c r="E225" i="21"/>
  <c r="F225" i="21"/>
  <c r="G225" i="21"/>
  <c r="J225" i="21"/>
  <c r="L225" i="21"/>
  <c r="M225" i="21"/>
  <c r="N225" i="21"/>
  <c r="P225" i="21"/>
  <c r="S225" i="21"/>
  <c r="W225" i="21"/>
  <c r="D226" i="21"/>
  <c r="E226" i="21"/>
  <c r="F226" i="21"/>
  <c r="G226" i="21"/>
  <c r="J226" i="21"/>
  <c r="L226" i="21"/>
  <c r="M226" i="21"/>
  <c r="N226" i="21"/>
  <c r="P226" i="21"/>
  <c r="S226" i="21"/>
  <c r="W226" i="21"/>
  <c r="D227" i="21"/>
  <c r="E227" i="21"/>
  <c r="F227" i="21"/>
  <c r="G227" i="21"/>
  <c r="J227" i="21"/>
  <c r="L227" i="21"/>
  <c r="M227" i="21"/>
  <c r="N227" i="21"/>
  <c r="P227" i="21"/>
  <c r="S227" i="21"/>
  <c r="W227" i="21"/>
  <c r="D228" i="21"/>
  <c r="E228" i="21"/>
  <c r="F228" i="21"/>
  <c r="G228" i="21"/>
  <c r="J228" i="21"/>
  <c r="L228" i="21"/>
  <c r="M228" i="21"/>
  <c r="N228" i="21"/>
  <c r="P228" i="21"/>
  <c r="S228" i="21"/>
  <c r="W228" i="21"/>
  <c r="D229" i="21"/>
  <c r="E229" i="21"/>
  <c r="F229" i="21"/>
  <c r="G229" i="21"/>
  <c r="J229" i="21"/>
  <c r="L229" i="21"/>
  <c r="M229" i="21"/>
  <c r="N229" i="21"/>
  <c r="P229" i="21"/>
  <c r="S229" i="21"/>
  <c r="W229" i="21"/>
  <c r="D230" i="21"/>
  <c r="E230" i="21"/>
  <c r="F230" i="21"/>
  <c r="G230" i="21"/>
  <c r="J230" i="21"/>
  <c r="L230" i="21"/>
  <c r="M230" i="21"/>
  <c r="N230" i="21"/>
  <c r="P230" i="21"/>
  <c r="S230" i="21"/>
  <c r="W230" i="21"/>
  <c r="D231" i="21"/>
  <c r="E231" i="21"/>
  <c r="F231" i="21"/>
  <c r="G231" i="21"/>
  <c r="J231" i="21"/>
  <c r="L231" i="21"/>
  <c r="M231" i="21"/>
  <c r="N231" i="21"/>
  <c r="P231" i="21"/>
  <c r="S231" i="21"/>
  <c r="W231" i="21"/>
  <c r="D232" i="21"/>
  <c r="E232" i="21"/>
  <c r="F232" i="21"/>
  <c r="G232" i="21"/>
  <c r="J232" i="21"/>
  <c r="L232" i="21"/>
  <c r="M232" i="21"/>
  <c r="N232" i="21"/>
  <c r="P232" i="21"/>
  <c r="S232" i="21"/>
  <c r="W232" i="21"/>
  <c r="D233" i="21"/>
  <c r="E233" i="21"/>
  <c r="F233" i="21"/>
  <c r="G233" i="21"/>
  <c r="J233" i="21"/>
  <c r="L233" i="21"/>
  <c r="M233" i="21"/>
  <c r="N233" i="21"/>
  <c r="P233" i="21"/>
  <c r="S233" i="21"/>
  <c r="W233" i="21"/>
  <c r="D234" i="21"/>
  <c r="E234" i="21"/>
  <c r="F234" i="21"/>
  <c r="G234" i="21"/>
  <c r="J234" i="21"/>
  <c r="L234" i="21"/>
  <c r="M234" i="21"/>
  <c r="N234" i="21"/>
  <c r="P234" i="21"/>
  <c r="S234" i="21"/>
  <c r="W234" i="21"/>
  <c r="D235" i="21"/>
  <c r="E235" i="21"/>
  <c r="F235" i="21"/>
  <c r="G235" i="21"/>
  <c r="J235" i="21"/>
  <c r="L235" i="21"/>
  <c r="M235" i="21"/>
  <c r="N235" i="21"/>
  <c r="P235" i="21"/>
  <c r="S235" i="21"/>
  <c r="W235" i="21"/>
  <c r="D236" i="21"/>
  <c r="E236" i="21"/>
  <c r="F236" i="21"/>
  <c r="G236" i="21"/>
  <c r="J236" i="21"/>
  <c r="L236" i="21"/>
  <c r="M236" i="21"/>
  <c r="N236" i="21"/>
  <c r="P236" i="21"/>
  <c r="S236" i="21"/>
  <c r="W236" i="21"/>
  <c r="D237" i="21"/>
  <c r="E237" i="21"/>
  <c r="F237" i="21"/>
  <c r="G237" i="21"/>
  <c r="J237" i="21"/>
  <c r="L237" i="21"/>
  <c r="M237" i="21"/>
  <c r="N237" i="21"/>
  <c r="P237" i="21"/>
  <c r="S237" i="21"/>
  <c r="W237" i="21"/>
  <c r="D238" i="21"/>
  <c r="E238" i="21"/>
  <c r="F238" i="21"/>
  <c r="G238" i="21"/>
  <c r="J238" i="21"/>
  <c r="L238" i="21"/>
  <c r="M238" i="21"/>
  <c r="N238" i="21"/>
  <c r="P238" i="21"/>
  <c r="S238" i="21"/>
  <c r="W238" i="21"/>
  <c r="D239" i="21"/>
  <c r="E239" i="21"/>
  <c r="F239" i="21"/>
  <c r="G239" i="21"/>
  <c r="J239" i="21"/>
  <c r="L239" i="21"/>
  <c r="M239" i="21"/>
  <c r="N239" i="21"/>
  <c r="P239" i="21"/>
  <c r="S239" i="21"/>
  <c r="W239" i="21"/>
  <c r="D240" i="21"/>
  <c r="E240" i="21"/>
  <c r="F240" i="21"/>
  <c r="G240" i="21"/>
  <c r="J240" i="21"/>
  <c r="L240" i="21"/>
  <c r="M240" i="21"/>
  <c r="N240" i="21"/>
  <c r="P240" i="21"/>
  <c r="S240" i="21"/>
  <c r="W240" i="21"/>
  <c r="D241" i="21"/>
  <c r="E241" i="21"/>
  <c r="F241" i="21"/>
  <c r="G241" i="21"/>
  <c r="J241" i="21"/>
  <c r="L241" i="21"/>
  <c r="M241" i="21"/>
  <c r="N241" i="21"/>
  <c r="P241" i="21"/>
  <c r="S241" i="21"/>
  <c r="W241" i="21"/>
  <c r="D242" i="21"/>
  <c r="E242" i="21"/>
  <c r="F242" i="21"/>
  <c r="G242" i="21"/>
  <c r="J242" i="21"/>
  <c r="L242" i="21"/>
  <c r="M242" i="21"/>
  <c r="N242" i="21"/>
  <c r="P242" i="21"/>
  <c r="S242" i="21"/>
  <c r="W242" i="21"/>
  <c r="D243" i="21"/>
  <c r="E243" i="21"/>
  <c r="F243" i="21"/>
  <c r="G243" i="21"/>
  <c r="J243" i="21"/>
  <c r="L243" i="21"/>
  <c r="M243" i="21"/>
  <c r="N243" i="21"/>
  <c r="P243" i="21"/>
  <c r="S243" i="21"/>
  <c r="W243" i="21"/>
  <c r="D244" i="21"/>
  <c r="E244" i="21"/>
  <c r="F244" i="21"/>
  <c r="G244" i="21"/>
  <c r="J244" i="21"/>
  <c r="L244" i="21"/>
  <c r="M244" i="21"/>
  <c r="N244" i="21"/>
  <c r="P244" i="21"/>
  <c r="S244" i="21"/>
  <c r="W244" i="21"/>
  <c r="D245" i="21"/>
  <c r="E245" i="21"/>
  <c r="F245" i="21"/>
  <c r="G245" i="21"/>
  <c r="J245" i="21"/>
  <c r="L245" i="21"/>
  <c r="M245" i="21"/>
  <c r="N245" i="21"/>
  <c r="P245" i="21"/>
  <c r="S245" i="21"/>
  <c r="W245" i="21"/>
  <c r="D246" i="21"/>
  <c r="E246" i="21"/>
  <c r="F246" i="21"/>
  <c r="G246" i="21"/>
  <c r="J246" i="21"/>
  <c r="L246" i="21"/>
  <c r="M246" i="21"/>
  <c r="N246" i="21"/>
  <c r="P246" i="21"/>
  <c r="S246" i="21"/>
  <c r="W246" i="21"/>
  <c r="D247" i="21"/>
  <c r="E247" i="21"/>
  <c r="F247" i="21"/>
  <c r="G247" i="21"/>
  <c r="J247" i="21"/>
  <c r="L247" i="21"/>
  <c r="M247" i="21"/>
  <c r="N247" i="21"/>
  <c r="P247" i="21"/>
  <c r="S247" i="21"/>
  <c r="W247" i="21"/>
  <c r="D248" i="21"/>
  <c r="E248" i="21"/>
  <c r="F248" i="21"/>
  <c r="G248" i="21"/>
  <c r="J248" i="21"/>
  <c r="L248" i="21"/>
  <c r="M248" i="21"/>
  <c r="N248" i="21"/>
  <c r="P248" i="21"/>
  <c r="S248" i="21"/>
  <c r="W248" i="21"/>
  <c r="D249" i="21"/>
  <c r="E249" i="21"/>
  <c r="F249" i="21"/>
  <c r="G249" i="21"/>
  <c r="J249" i="21"/>
  <c r="L249" i="21"/>
  <c r="M249" i="21"/>
  <c r="N249" i="21"/>
  <c r="P249" i="21"/>
  <c r="S249" i="21"/>
  <c r="W249" i="21"/>
  <c r="D250" i="21"/>
  <c r="E250" i="21"/>
  <c r="F250" i="21"/>
  <c r="G250" i="21"/>
  <c r="J250" i="21"/>
  <c r="L250" i="21"/>
  <c r="M250" i="21"/>
  <c r="N250" i="21"/>
  <c r="P250" i="21"/>
  <c r="S250" i="21"/>
  <c r="W250" i="21"/>
  <c r="D251" i="21"/>
  <c r="E251" i="21"/>
  <c r="F251" i="21"/>
  <c r="G251" i="21"/>
  <c r="J251" i="21"/>
  <c r="L251" i="21"/>
  <c r="M251" i="21"/>
  <c r="N251" i="21"/>
  <c r="P251" i="21"/>
  <c r="S251" i="21"/>
  <c r="W251" i="21"/>
  <c r="D252" i="21"/>
  <c r="E252" i="21"/>
  <c r="F252" i="21"/>
  <c r="G252" i="21"/>
  <c r="J252" i="21"/>
  <c r="L252" i="21"/>
  <c r="M252" i="21"/>
  <c r="N252" i="21"/>
  <c r="P252" i="21"/>
  <c r="S252" i="21"/>
  <c r="W252" i="21"/>
  <c r="D253" i="21"/>
  <c r="E253" i="21"/>
  <c r="F253" i="21"/>
  <c r="G253" i="21"/>
  <c r="J253" i="21"/>
  <c r="L253" i="21"/>
  <c r="M253" i="21"/>
  <c r="N253" i="21"/>
  <c r="P253" i="21"/>
  <c r="S253" i="21"/>
  <c r="W253" i="21"/>
  <c r="D254" i="21"/>
  <c r="E254" i="21"/>
  <c r="F254" i="21"/>
  <c r="G254" i="21"/>
  <c r="J254" i="21"/>
  <c r="L254" i="21"/>
  <c r="M254" i="21"/>
  <c r="N254" i="21"/>
  <c r="P254" i="21"/>
  <c r="S254" i="21"/>
  <c r="W254" i="21"/>
  <c r="D255" i="21"/>
  <c r="E255" i="21"/>
  <c r="F255" i="21"/>
  <c r="G255" i="21"/>
  <c r="J255" i="21"/>
  <c r="L255" i="21"/>
  <c r="M255" i="21"/>
  <c r="N255" i="21"/>
  <c r="P255" i="21"/>
  <c r="S255" i="21"/>
  <c r="W255" i="21"/>
  <c r="D256" i="21"/>
  <c r="E256" i="21"/>
  <c r="F256" i="21"/>
  <c r="G256" i="21"/>
  <c r="J256" i="21"/>
  <c r="L256" i="21"/>
  <c r="M256" i="21"/>
  <c r="N256" i="21"/>
  <c r="P256" i="21"/>
  <c r="S256" i="21"/>
  <c r="W256" i="21"/>
  <c r="D257" i="21"/>
  <c r="E257" i="21"/>
  <c r="F257" i="21"/>
  <c r="G257" i="21"/>
  <c r="J257" i="21"/>
  <c r="L257" i="21"/>
  <c r="M257" i="21"/>
  <c r="N257" i="21"/>
  <c r="P257" i="21"/>
  <c r="S257" i="21"/>
  <c r="W257" i="21"/>
  <c r="D258" i="21"/>
  <c r="E258" i="21"/>
  <c r="F258" i="21"/>
  <c r="G258" i="21"/>
  <c r="J258" i="21"/>
  <c r="L258" i="21"/>
  <c r="M258" i="21"/>
  <c r="N258" i="21"/>
  <c r="P258" i="21"/>
  <c r="S258" i="21"/>
  <c r="W258" i="21"/>
  <c r="D259" i="21"/>
  <c r="E259" i="21"/>
  <c r="F259" i="21"/>
  <c r="G259" i="21"/>
  <c r="J259" i="21"/>
  <c r="L259" i="21"/>
  <c r="M259" i="21"/>
  <c r="N259" i="21"/>
  <c r="P259" i="21"/>
  <c r="S259" i="21"/>
  <c r="W259" i="21"/>
  <c r="D260" i="21"/>
  <c r="E260" i="21"/>
  <c r="F260" i="21"/>
  <c r="G260" i="21"/>
  <c r="J260" i="21"/>
  <c r="L260" i="21"/>
  <c r="M260" i="21"/>
  <c r="N260" i="21"/>
  <c r="P260" i="21"/>
  <c r="S260" i="21"/>
  <c r="W260" i="21"/>
  <c r="D261" i="21"/>
  <c r="E261" i="21"/>
  <c r="F261" i="21"/>
  <c r="G261" i="21"/>
  <c r="J261" i="21"/>
  <c r="L261" i="21"/>
  <c r="M261" i="21"/>
  <c r="N261" i="21"/>
  <c r="P261" i="21"/>
  <c r="S261" i="21"/>
  <c r="W261" i="21"/>
  <c r="D262" i="21"/>
  <c r="E262" i="21"/>
  <c r="F262" i="21"/>
  <c r="G262" i="21"/>
  <c r="J262" i="21"/>
  <c r="L262" i="21"/>
  <c r="M262" i="21"/>
  <c r="N262" i="21"/>
  <c r="P262" i="21"/>
  <c r="S262" i="21"/>
  <c r="W262" i="21"/>
  <c r="D263" i="21"/>
  <c r="E263" i="21"/>
  <c r="F263" i="21"/>
  <c r="G263" i="21"/>
  <c r="J263" i="21"/>
  <c r="L263" i="21"/>
  <c r="M263" i="21"/>
  <c r="N263" i="21"/>
  <c r="P263" i="21"/>
  <c r="S263" i="21"/>
  <c r="W263" i="21"/>
  <c r="D264" i="21"/>
  <c r="E264" i="21"/>
  <c r="F264" i="21"/>
  <c r="G264" i="21"/>
  <c r="J264" i="21"/>
  <c r="L264" i="21"/>
  <c r="M264" i="21"/>
  <c r="N264" i="21"/>
  <c r="P264" i="21"/>
  <c r="S264" i="21"/>
  <c r="W264" i="21"/>
  <c r="D265" i="21"/>
  <c r="E265" i="21"/>
  <c r="F265" i="21"/>
  <c r="G265" i="21"/>
  <c r="J265" i="21"/>
  <c r="L265" i="21"/>
  <c r="M265" i="21"/>
  <c r="N265" i="21"/>
  <c r="P265" i="21"/>
  <c r="S265" i="21"/>
  <c r="W265" i="21"/>
  <c r="D266" i="21"/>
  <c r="E266" i="21"/>
  <c r="F266" i="21"/>
  <c r="G266" i="21"/>
  <c r="J266" i="21"/>
  <c r="L266" i="21"/>
  <c r="M266" i="21"/>
  <c r="N266" i="21"/>
  <c r="P266" i="21"/>
  <c r="S266" i="21"/>
  <c r="W266" i="21"/>
  <c r="D267" i="21"/>
  <c r="E267" i="21"/>
  <c r="F267" i="21"/>
  <c r="G267" i="21"/>
  <c r="J267" i="21"/>
  <c r="L267" i="21"/>
  <c r="M267" i="21"/>
  <c r="N267" i="21"/>
  <c r="P267" i="21"/>
  <c r="S267" i="21"/>
  <c r="W267" i="21"/>
  <c r="D268" i="21"/>
  <c r="E268" i="21"/>
  <c r="F268" i="21"/>
  <c r="G268" i="21"/>
  <c r="J268" i="21"/>
  <c r="L268" i="21"/>
  <c r="M268" i="21"/>
  <c r="N268" i="21"/>
  <c r="P268" i="21"/>
  <c r="S268" i="21"/>
  <c r="W268" i="21"/>
  <c r="D269" i="21"/>
  <c r="E269" i="21"/>
  <c r="F269" i="21"/>
  <c r="G269" i="21"/>
  <c r="J269" i="21"/>
  <c r="L269" i="21"/>
  <c r="M269" i="21"/>
  <c r="N269" i="21"/>
  <c r="P269" i="21"/>
  <c r="S269" i="21"/>
  <c r="W269" i="21"/>
  <c r="D270" i="21"/>
  <c r="E270" i="21"/>
  <c r="F270" i="21"/>
  <c r="G270" i="21"/>
  <c r="J270" i="21"/>
  <c r="L270" i="21"/>
  <c r="M270" i="21"/>
  <c r="N270" i="21"/>
  <c r="P270" i="21"/>
  <c r="S270" i="21"/>
  <c r="W270" i="21"/>
  <c r="D271" i="21"/>
  <c r="E271" i="21"/>
  <c r="F271" i="21"/>
  <c r="G271" i="21"/>
  <c r="J271" i="21"/>
  <c r="L271" i="21"/>
  <c r="M271" i="21"/>
  <c r="N271" i="21"/>
  <c r="P271" i="21"/>
  <c r="S271" i="21"/>
  <c r="W271" i="21"/>
  <c r="D272" i="21"/>
  <c r="E272" i="21"/>
  <c r="F272" i="21"/>
  <c r="G272" i="21"/>
  <c r="J272" i="21"/>
  <c r="L272" i="21"/>
  <c r="M272" i="21"/>
  <c r="N272" i="21"/>
  <c r="P272" i="21"/>
  <c r="S272" i="21"/>
  <c r="W272" i="21"/>
  <c r="D273" i="21"/>
  <c r="E273" i="21"/>
  <c r="F273" i="21"/>
  <c r="G273" i="21"/>
  <c r="J273" i="21"/>
  <c r="L273" i="21"/>
  <c r="M273" i="21"/>
  <c r="N273" i="21"/>
  <c r="P273" i="21"/>
  <c r="S273" i="21"/>
  <c r="W273" i="21"/>
  <c r="D274" i="21"/>
  <c r="E274" i="21"/>
  <c r="F274" i="21"/>
  <c r="G274" i="21"/>
  <c r="J274" i="21"/>
  <c r="L274" i="21"/>
  <c r="M274" i="21"/>
  <c r="N274" i="21"/>
  <c r="P274" i="21"/>
  <c r="S274" i="21"/>
  <c r="W274" i="21"/>
  <c r="D275" i="21"/>
  <c r="E275" i="21"/>
  <c r="F275" i="21"/>
  <c r="G275" i="21"/>
  <c r="J275" i="21"/>
  <c r="L275" i="21"/>
  <c r="M275" i="21"/>
  <c r="N275" i="21"/>
  <c r="P275" i="21"/>
  <c r="S275" i="21"/>
  <c r="W275" i="21"/>
  <c r="D276" i="21"/>
  <c r="E276" i="21"/>
  <c r="F276" i="21"/>
  <c r="G276" i="21"/>
  <c r="J276" i="21"/>
  <c r="L276" i="21"/>
  <c r="M276" i="21"/>
  <c r="N276" i="21"/>
  <c r="P276" i="21"/>
  <c r="S276" i="21"/>
  <c r="W276" i="21"/>
  <c r="D277" i="21"/>
  <c r="E277" i="21"/>
  <c r="F277" i="21"/>
  <c r="G277" i="21"/>
  <c r="J277" i="21"/>
  <c r="L277" i="21"/>
  <c r="M277" i="21"/>
  <c r="N277" i="21"/>
  <c r="P277" i="21"/>
  <c r="S277" i="21"/>
  <c r="W277" i="21"/>
  <c r="D278" i="21"/>
  <c r="E278" i="21"/>
  <c r="F278" i="21"/>
  <c r="G278" i="21"/>
  <c r="J278" i="21"/>
  <c r="L278" i="21"/>
  <c r="M278" i="21"/>
  <c r="N278" i="21"/>
  <c r="P278" i="21"/>
  <c r="S278" i="21"/>
  <c r="W278" i="21"/>
  <c r="D279" i="21"/>
  <c r="E279" i="21"/>
  <c r="F279" i="21"/>
  <c r="G279" i="21"/>
  <c r="J279" i="21"/>
  <c r="L279" i="21"/>
  <c r="M279" i="21"/>
  <c r="N279" i="21"/>
  <c r="P279" i="21"/>
  <c r="S279" i="21"/>
  <c r="W279" i="21"/>
  <c r="D280" i="21"/>
  <c r="E280" i="21"/>
  <c r="F280" i="21"/>
  <c r="G280" i="21"/>
  <c r="J280" i="21"/>
  <c r="L280" i="21"/>
  <c r="M280" i="21"/>
  <c r="N280" i="21"/>
  <c r="P280" i="21"/>
  <c r="S280" i="21"/>
  <c r="W280" i="21"/>
  <c r="D281" i="21"/>
  <c r="E281" i="21"/>
  <c r="F281" i="21"/>
  <c r="G281" i="21"/>
  <c r="J281" i="21"/>
  <c r="L281" i="21"/>
  <c r="M281" i="21"/>
  <c r="N281" i="21"/>
  <c r="P281" i="21"/>
  <c r="S281" i="21"/>
  <c r="W281" i="21"/>
  <c r="D282" i="21"/>
  <c r="E282" i="21"/>
  <c r="F282" i="21"/>
  <c r="G282" i="21"/>
  <c r="J282" i="21"/>
  <c r="L282" i="21"/>
  <c r="M282" i="21"/>
  <c r="N282" i="21"/>
  <c r="P282" i="21"/>
  <c r="S282" i="21"/>
  <c r="W282" i="21"/>
  <c r="D283" i="21"/>
  <c r="E283" i="21"/>
  <c r="F283" i="21"/>
  <c r="G283" i="21"/>
  <c r="J283" i="21"/>
  <c r="L283" i="21"/>
  <c r="M283" i="21"/>
  <c r="N283" i="21"/>
  <c r="P283" i="21"/>
  <c r="S283" i="21"/>
  <c r="W283" i="21"/>
  <c r="D284" i="21"/>
  <c r="E284" i="21"/>
  <c r="F284" i="21"/>
  <c r="G284" i="21"/>
  <c r="J284" i="21"/>
  <c r="L284" i="21"/>
  <c r="M284" i="21"/>
  <c r="N284" i="21"/>
  <c r="P284" i="21"/>
  <c r="S284" i="21"/>
  <c r="W284" i="21"/>
  <c r="D285" i="21"/>
  <c r="E285" i="21"/>
  <c r="F285" i="21"/>
  <c r="G285" i="21"/>
  <c r="J285" i="21"/>
  <c r="L285" i="21"/>
  <c r="M285" i="21"/>
  <c r="N285" i="21"/>
  <c r="P285" i="21"/>
  <c r="S285" i="21"/>
  <c r="W285" i="21"/>
  <c r="D286" i="21"/>
  <c r="E286" i="21"/>
  <c r="F286" i="21"/>
  <c r="G286" i="21"/>
  <c r="J286" i="21"/>
  <c r="L286" i="21"/>
  <c r="M286" i="21"/>
  <c r="N286" i="21"/>
  <c r="P286" i="21"/>
  <c r="S286" i="21"/>
  <c r="W286" i="21"/>
  <c r="D287" i="21"/>
  <c r="E287" i="21"/>
  <c r="F287" i="21"/>
  <c r="G287" i="21"/>
  <c r="J287" i="21"/>
  <c r="L287" i="21"/>
  <c r="M287" i="21"/>
  <c r="N287" i="21"/>
  <c r="P287" i="21"/>
  <c r="S287" i="21"/>
  <c r="W287" i="21"/>
  <c r="D288" i="21"/>
  <c r="E288" i="21"/>
  <c r="F288" i="21"/>
  <c r="G288" i="21"/>
  <c r="J288" i="21"/>
  <c r="L288" i="21"/>
  <c r="M288" i="21"/>
  <c r="N288" i="21"/>
  <c r="P288" i="21"/>
  <c r="S288" i="21"/>
  <c r="W288" i="21"/>
  <c r="D289" i="21"/>
  <c r="E289" i="21"/>
  <c r="F289" i="21"/>
  <c r="G289" i="21"/>
  <c r="J289" i="21"/>
  <c r="L289" i="21"/>
  <c r="M289" i="21"/>
  <c r="N289" i="21"/>
  <c r="P289" i="21"/>
  <c r="S289" i="21"/>
  <c r="W289" i="21"/>
  <c r="D290" i="21"/>
  <c r="E290" i="21"/>
  <c r="F290" i="21"/>
  <c r="G290" i="21"/>
  <c r="J290" i="21"/>
  <c r="L290" i="21"/>
  <c r="M290" i="21"/>
  <c r="N290" i="21"/>
  <c r="P290" i="21"/>
  <c r="S290" i="21"/>
  <c r="W290" i="21"/>
  <c r="D291" i="21"/>
  <c r="E291" i="21"/>
  <c r="F291" i="21"/>
  <c r="G291" i="21"/>
  <c r="J291" i="21"/>
  <c r="L291" i="21"/>
  <c r="M291" i="21"/>
  <c r="N291" i="21"/>
  <c r="P291" i="21"/>
  <c r="S291" i="21"/>
  <c r="W291" i="21"/>
  <c r="D292" i="21"/>
  <c r="E292" i="21"/>
  <c r="F292" i="21"/>
  <c r="G292" i="21"/>
  <c r="J292" i="21"/>
  <c r="L292" i="21"/>
  <c r="M292" i="21"/>
  <c r="N292" i="21"/>
  <c r="P292" i="21"/>
  <c r="S292" i="21"/>
  <c r="W292" i="21"/>
  <c r="D293" i="21"/>
  <c r="E293" i="21"/>
  <c r="F293" i="21"/>
  <c r="G293" i="21"/>
  <c r="J293" i="21"/>
  <c r="L293" i="21"/>
  <c r="M293" i="21"/>
  <c r="N293" i="21"/>
  <c r="P293" i="21"/>
  <c r="S293" i="21"/>
  <c r="W293" i="21"/>
  <c r="D294" i="21"/>
  <c r="E294" i="21"/>
  <c r="F294" i="21"/>
  <c r="G294" i="21"/>
  <c r="J294" i="21"/>
  <c r="L294" i="21"/>
  <c r="M294" i="21"/>
  <c r="N294" i="21"/>
  <c r="P294" i="21"/>
  <c r="S294" i="21"/>
  <c r="W294" i="21"/>
  <c r="D295" i="21"/>
  <c r="E295" i="21"/>
  <c r="F295" i="21"/>
  <c r="G295" i="21"/>
  <c r="J295" i="21"/>
  <c r="L295" i="21"/>
  <c r="M295" i="21"/>
  <c r="N295" i="21"/>
  <c r="P295" i="21"/>
  <c r="S295" i="21"/>
  <c r="W295" i="21"/>
  <c r="D296" i="21"/>
  <c r="E296" i="21"/>
  <c r="F296" i="21"/>
  <c r="G296" i="21"/>
  <c r="J296" i="21"/>
  <c r="L296" i="21"/>
  <c r="M296" i="21"/>
  <c r="N296" i="21"/>
  <c r="P296" i="21"/>
  <c r="S296" i="21"/>
  <c r="W296" i="21"/>
  <c r="D297" i="21"/>
  <c r="E297" i="21"/>
  <c r="F297" i="21"/>
  <c r="G297" i="21"/>
  <c r="J297" i="21"/>
  <c r="L297" i="21"/>
  <c r="M297" i="21"/>
  <c r="N297" i="21"/>
  <c r="P297" i="21"/>
  <c r="S297" i="21"/>
  <c r="W297" i="21"/>
  <c r="D298" i="21"/>
  <c r="E298" i="21"/>
  <c r="F298" i="21"/>
  <c r="G298" i="21"/>
  <c r="J298" i="21"/>
  <c r="L298" i="21"/>
  <c r="M298" i="21"/>
  <c r="N298" i="21"/>
  <c r="P298" i="21"/>
  <c r="S298" i="21"/>
  <c r="W298" i="21"/>
  <c r="D299" i="21"/>
  <c r="E299" i="21"/>
  <c r="F299" i="21"/>
  <c r="G299" i="21"/>
  <c r="J299" i="21"/>
  <c r="L299" i="21"/>
  <c r="M299" i="21"/>
  <c r="N299" i="21"/>
  <c r="P299" i="21"/>
  <c r="S299" i="21"/>
  <c r="W299" i="21"/>
  <c r="D300" i="21"/>
  <c r="E300" i="21"/>
  <c r="F300" i="21"/>
  <c r="G300" i="21"/>
  <c r="J300" i="21"/>
  <c r="L300" i="21"/>
  <c r="M300" i="21"/>
  <c r="N300" i="21"/>
  <c r="P300" i="21"/>
  <c r="S300" i="21"/>
  <c r="W300" i="21"/>
  <c r="D301" i="21"/>
  <c r="E301" i="21"/>
  <c r="F301" i="21"/>
  <c r="G301" i="21"/>
  <c r="J301" i="21"/>
  <c r="L301" i="21"/>
  <c r="M301" i="21"/>
  <c r="N301" i="21"/>
  <c r="P301" i="21"/>
  <c r="S301" i="21"/>
  <c r="W301" i="21"/>
  <c r="D302" i="21"/>
  <c r="E302" i="21"/>
  <c r="F302" i="21"/>
  <c r="G302" i="21"/>
  <c r="J302" i="21"/>
  <c r="L302" i="21"/>
  <c r="M302" i="21"/>
  <c r="N302" i="21"/>
  <c r="P302" i="21"/>
  <c r="S302" i="21"/>
  <c r="W302" i="21"/>
  <c r="D303" i="21"/>
  <c r="E303" i="21"/>
  <c r="F303" i="21"/>
  <c r="G303" i="21"/>
  <c r="J303" i="21"/>
  <c r="L303" i="21"/>
  <c r="M303" i="21"/>
  <c r="N303" i="21"/>
  <c r="P303" i="21"/>
  <c r="S303" i="21"/>
  <c r="W303" i="21"/>
  <c r="D304" i="21"/>
  <c r="E304" i="21"/>
  <c r="F304" i="21"/>
  <c r="G304" i="21"/>
  <c r="J304" i="21"/>
  <c r="L304" i="21"/>
  <c r="M304" i="21"/>
  <c r="N304" i="21"/>
  <c r="P304" i="21"/>
  <c r="S304" i="21"/>
  <c r="W304" i="21"/>
  <c r="D305" i="21"/>
  <c r="E305" i="21"/>
  <c r="F305" i="21"/>
  <c r="G305" i="21"/>
  <c r="J305" i="21"/>
  <c r="L305" i="21"/>
  <c r="M305" i="21"/>
  <c r="N305" i="21"/>
  <c r="P305" i="21"/>
  <c r="S305" i="21"/>
  <c r="W305" i="21"/>
  <c r="D306" i="21"/>
  <c r="E306" i="21"/>
  <c r="F306" i="21"/>
  <c r="G306" i="21"/>
  <c r="J306" i="21"/>
  <c r="L306" i="21"/>
  <c r="M306" i="21"/>
  <c r="N306" i="21"/>
  <c r="P306" i="21"/>
  <c r="S306" i="21"/>
  <c r="W306" i="21"/>
  <c r="D307" i="21"/>
  <c r="E307" i="21"/>
  <c r="F307" i="21"/>
  <c r="G307" i="21"/>
  <c r="J307" i="21"/>
  <c r="L307" i="21"/>
  <c r="M307" i="21"/>
  <c r="N307" i="21"/>
  <c r="P307" i="21"/>
  <c r="S307" i="21"/>
  <c r="W307" i="21"/>
  <c r="D308" i="21"/>
  <c r="E308" i="21"/>
  <c r="F308" i="21"/>
  <c r="G308" i="21"/>
  <c r="J308" i="21"/>
  <c r="L308" i="21"/>
  <c r="M308" i="21"/>
  <c r="N308" i="21"/>
  <c r="P308" i="21"/>
  <c r="S308" i="21"/>
  <c r="W308" i="21"/>
  <c r="D309" i="21"/>
  <c r="E309" i="21"/>
  <c r="F309" i="21"/>
  <c r="G309" i="21"/>
  <c r="J309" i="21"/>
  <c r="L309" i="21"/>
  <c r="M309" i="21"/>
  <c r="N309" i="21"/>
  <c r="P309" i="21"/>
  <c r="S309" i="21"/>
  <c r="W309" i="21"/>
  <c r="D310" i="21"/>
  <c r="E310" i="21"/>
  <c r="F310" i="21"/>
  <c r="G310" i="21"/>
  <c r="J310" i="21"/>
  <c r="L310" i="21"/>
  <c r="M310" i="21"/>
  <c r="N310" i="21"/>
  <c r="P310" i="21"/>
  <c r="S310" i="21"/>
  <c r="W310" i="21"/>
  <c r="D311" i="21"/>
  <c r="E311" i="21"/>
  <c r="F311" i="21"/>
  <c r="G311" i="21"/>
  <c r="J311" i="21"/>
  <c r="L311" i="21"/>
  <c r="M311" i="21"/>
  <c r="N311" i="21"/>
  <c r="P311" i="21"/>
  <c r="S311" i="21"/>
  <c r="W311" i="21"/>
  <c r="D312" i="21"/>
  <c r="E312" i="21"/>
  <c r="F312" i="21"/>
  <c r="G312" i="21"/>
  <c r="J312" i="21"/>
  <c r="L312" i="21"/>
  <c r="M312" i="21"/>
  <c r="N312" i="21"/>
  <c r="P312" i="21"/>
  <c r="S312" i="21"/>
  <c r="W312" i="21"/>
  <c r="D313" i="21"/>
  <c r="E313" i="21"/>
  <c r="F313" i="21"/>
  <c r="G313" i="21"/>
  <c r="J313" i="21"/>
  <c r="L313" i="21"/>
  <c r="M313" i="21"/>
  <c r="N313" i="21"/>
  <c r="P313" i="21"/>
  <c r="S313" i="21"/>
  <c r="W313" i="21"/>
  <c r="D314" i="21"/>
  <c r="E314" i="21"/>
  <c r="F314" i="21"/>
  <c r="G314" i="21"/>
  <c r="J314" i="21"/>
  <c r="L314" i="21"/>
  <c r="M314" i="21"/>
  <c r="N314" i="21"/>
  <c r="P314" i="21"/>
  <c r="S314" i="21"/>
  <c r="W314" i="21"/>
  <c r="D315" i="21"/>
  <c r="E315" i="21"/>
  <c r="F315" i="21"/>
  <c r="G315" i="21"/>
  <c r="J315" i="21"/>
  <c r="L315" i="21"/>
  <c r="M315" i="21"/>
  <c r="N315" i="21"/>
  <c r="P315" i="21"/>
  <c r="S315" i="21"/>
  <c r="W315" i="21"/>
  <c r="D316" i="21"/>
  <c r="E316" i="21"/>
  <c r="F316" i="21"/>
  <c r="G316" i="21"/>
  <c r="J316" i="21"/>
  <c r="L316" i="21"/>
  <c r="M316" i="21"/>
  <c r="N316" i="21"/>
  <c r="P316" i="21"/>
  <c r="S316" i="21"/>
  <c r="W316" i="21"/>
  <c r="D317" i="21"/>
  <c r="E317" i="21"/>
  <c r="F317" i="21"/>
  <c r="G317" i="21"/>
  <c r="J317" i="21"/>
  <c r="L317" i="21"/>
  <c r="M317" i="21"/>
  <c r="N317" i="21"/>
  <c r="P317" i="21"/>
  <c r="S317" i="21"/>
  <c r="W317" i="21"/>
  <c r="D318" i="21"/>
  <c r="E318" i="21"/>
  <c r="F318" i="21"/>
  <c r="G318" i="21"/>
  <c r="J318" i="21"/>
  <c r="L318" i="21"/>
  <c r="M318" i="21"/>
  <c r="N318" i="21"/>
  <c r="P318" i="21"/>
  <c r="S318" i="21"/>
  <c r="W318" i="21"/>
  <c r="D319" i="21"/>
  <c r="E319" i="21"/>
  <c r="F319" i="21"/>
  <c r="G319" i="21"/>
  <c r="J319" i="21"/>
  <c r="L319" i="21"/>
  <c r="M319" i="21"/>
  <c r="N319" i="21"/>
  <c r="P319" i="21"/>
  <c r="S319" i="21"/>
  <c r="W319" i="21"/>
  <c r="D320" i="21"/>
  <c r="E320" i="21"/>
  <c r="F320" i="21"/>
  <c r="G320" i="21"/>
  <c r="J320" i="21"/>
  <c r="L320" i="21"/>
  <c r="M320" i="21"/>
  <c r="N320" i="21"/>
  <c r="P320" i="21"/>
  <c r="S320" i="21"/>
  <c r="W320" i="21"/>
  <c r="D321" i="21"/>
  <c r="E321" i="21"/>
  <c r="F321" i="21"/>
  <c r="G321" i="21"/>
  <c r="J321" i="21"/>
  <c r="L321" i="21"/>
  <c r="M321" i="21"/>
  <c r="N321" i="21"/>
  <c r="P321" i="21"/>
  <c r="S321" i="21"/>
  <c r="W321" i="21"/>
  <c r="D322" i="21"/>
  <c r="E322" i="21"/>
  <c r="F322" i="21"/>
  <c r="G322" i="21"/>
  <c r="J322" i="21"/>
  <c r="L322" i="21"/>
  <c r="M322" i="21"/>
  <c r="N322" i="21"/>
  <c r="P322" i="21"/>
  <c r="S322" i="21"/>
  <c r="W322" i="21"/>
  <c r="D323" i="21"/>
  <c r="E323" i="21"/>
  <c r="F323" i="21"/>
  <c r="G323" i="21"/>
  <c r="J323" i="21"/>
  <c r="L323" i="21"/>
  <c r="M323" i="21"/>
  <c r="N323" i="21"/>
  <c r="P323" i="21"/>
  <c r="S323" i="21"/>
  <c r="W323" i="21"/>
  <c r="D324" i="21"/>
  <c r="E324" i="21"/>
  <c r="F324" i="21"/>
  <c r="G324" i="21"/>
  <c r="J324" i="21"/>
  <c r="L324" i="21"/>
  <c r="M324" i="21"/>
  <c r="N324" i="21"/>
  <c r="P324" i="21"/>
  <c r="S324" i="21"/>
  <c r="W324" i="21"/>
  <c r="D325" i="21"/>
  <c r="E325" i="21"/>
  <c r="F325" i="21"/>
  <c r="G325" i="21"/>
  <c r="J325" i="21"/>
  <c r="L325" i="21"/>
  <c r="M325" i="21"/>
  <c r="N325" i="21"/>
  <c r="P325" i="21"/>
  <c r="S325" i="21"/>
  <c r="W325" i="21"/>
  <c r="D326" i="21"/>
  <c r="E326" i="21"/>
  <c r="F326" i="21"/>
  <c r="G326" i="21"/>
  <c r="J326" i="21"/>
  <c r="L326" i="21"/>
  <c r="M326" i="21"/>
  <c r="N326" i="21"/>
  <c r="P326" i="21"/>
  <c r="S326" i="21"/>
  <c r="W326" i="21"/>
  <c r="D327" i="21"/>
  <c r="E327" i="21"/>
  <c r="F327" i="21"/>
  <c r="G327" i="21"/>
  <c r="J327" i="21"/>
  <c r="L327" i="21"/>
  <c r="M327" i="21"/>
  <c r="N327" i="21"/>
  <c r="P327" i="21"/>
  <c r="S327" i="21"/>
  <c r="W327" i="21"/>
  <c r="D328" i="21"/>
  <c r="E328" i="21"/>
  <c r="F328" i="21"/>
  <c r="G328" i="21"/>
  <c r="J328" i="21"/>
  <c r="L328" i="21"/>
  <c r="M328" i="21"/>
  <c r="N328" i="21"/>
  <c r="P328" i="21"/>
  <c r="S328" i="21"/>
  <c r="W328" i="21"/>
  <c r="D329" i="21"/>
  <c r="E329" i="21"/>
  <c r="F329" i="21"/>
  <c r="G329" i="21"/>
  <c r="J329" i="21"/>
  <c r="L329" i="21"/>
  <c r="M329" i="21"/>
  <c r="N329" i="21"/>
  <c r="P329" i="21"/>
  <c r="S329" i="21"/>
  <c r="W329" i="21"/>
  <c r="D330" i="21"/>
  <c r="E330" i="21"/>
  <c r="F330" i="21"/>
  <c r="G330" i="21"/>
  <c r="J330" i="21"/>
  <c r="L330" i="21"/>
  <c r="M330" i="21"/>
  <c r="N330" i="21"/>
  <c r="P330" i="21"/>
  <c r="S330" i="21"/>
  <c r="W330" i="21"/>
  <c r="D331" i="21"/>
  <c r="E331" i="21"/>
  <c r="F331" i="21"/>
  <c r="G331" i="21"/>
  <c r="J331" i="21"/>
  <c r="L331" i="21"/>
  <c r="M331" i="21"/>
  <c r="N331" i="21"/>
  <c r="P331" i="21"/>
  <c r="S331" i="21"/>
  <c r="W331" i="21"/>
  <c r="D332" i="21"/>
  <c r="E332" i="21"/>
  <c r="F332" i="21"/>
  <c r="G332" i="21"/>
  <c r="J332" i="21"/>
  <c r="L332" i="21"/>
  <c r="M332" i="21"/>
  <c r="N332" i="21"/>
  <c r="P332" i="21"/>
  <c r="S332" i="21"/>
  <c r="W332" i="21"/>
  <c r="D333" i="21"/>
  <c r="E333" i="21"/>
  <c r="F333" i="21"/>
  <c r="G333" i="21"/>
  <c r="J333" i="21"/>
  <c r="L333" i="21"/>
  <c r="M333" i="21"/>
  <c r="N333" i="21"/>
  <c r="P333" i="21"/>
  <c r="S333" i="21"/>
  <c r="W333" i="21"/>
  <c r="D334" i="21"/>
  <c r="E334" i="21"/>
  <c r="F334" i="21"/>
  <c r="G334" i="21"/>
  <c r="J334" i="21"/>
  <c r="L334" i="21"/>
  <c r="M334" i="21"/>
  <c r="N334" i="21"/>
  <c r="P334" i="21"/>
  <c r="S334" i="21"/>
  <c r="W334" i="21"/>
  <c r="D335" i="21"/>
  <c r="E335" i="21"/>
  <c r="F335" i="21"/>
  <c r="G335" i="21"/>
  <c r="J335" i="21"/>
  <c r="L335" i="21"/>
  <c r="M335" i="21"/>
  <c r="N335" i="21"/>
  <c r="P335" i="21"/>
  <c r="S335" i="21"/>
  <c r="W335" i="21"/>
  <c r="D336" i="21"/>
  <c r="E336" i="21"/>
  <c r="F336" i="21"/>
  <c r="G336" i="21"/>
  <c r="J336" i="21"/>
  <c r="L336" i="21"/>
  <c r="M336" i="21"/>
  <c r="N336" i="21"/>
  <c r="P336" i="21"/>
  <c r="S336" i="21"/>
  <c r="W336" i="21"/>
  <c r="D337" i="21"/>
  <c r="E337" i="21"/>
  <c r="F337" i="21"/>
  <c r="G337" i="21"/>
  <c r="J337" i="21"/>
  <c r="L337" i="21"/>
  <c r="M337" i="21"/>
  <c r="N337" i="21"/>
  <c r="P337" i="21"/>
  <c r="S337" i="21"/>
  <c r="W337" i="21"/>
  <c r="D338" i="21"/>
  <c r="E338" i="21"/>
  <c r="F338" i="21"/>
  <c r="G338" i="21"/>
  <c r="J338" i="21"/>
  <c r="L338" i="21"/>
  <c r="M338" i="21"/>
  <c r="N338" i="21"/>
  <c r="P338" i="21"/>
  <c r="S338" i="21"/>
  <c r="W338" i="21"/>
  <c r="D339" i="21"/>
  <c r="E339" i="21"/>
  <c r="F339" i="21"/>
  <c r="G339" i="21"/>
  <c r="J339" i="21"/>
  <c r="L339" i="21"/>
  <c r="M339" i="21"/>
  <c r="N339" i="21"/>
  <c r="P339" i="21"/>
  <c r="S339" i="21"/>
  <c r="W339" i="21"/>
  <c r="D340" i="21"/>
  <c r="E340" i="21"/>
  <c r="F340" i="21"/>
  <c r="G340" i="21"/>
  <c r="J340" i="21"/>
  <c r="L340" i="21"/>
  <c r="M340" i="21"/>
  <c r="N340" i="21"/>
  <c r="P340" i="21"/>
  <c r="S340" i="21"/>
  <c r="W340" i="21"/>
  <c r="D341" i="21"/>
  <c r="E341" i="21"/>
  <c r="F341" i="21"/>
  <c r="G341" i="21"/>
  <c r="J341" i="21"/>
  <c r="L341" i="21"/>
  <c r="M341" i="21"/>
  <c r="N341" i="21"/>
  <c r="P341" i="21"/>
  <c r="S341" i="21"/>
  <c r="W341" i="21"/>
  <c r="D342" i="21"/>
  <c r="E342" i="21"/>
  <c r="F342" i="21"/>
  <c r="G342" i="21"/>
  <c r="J342" i="21"/>
  <c r="L342" i="21"/>
  <c r="M342" i="21"/>
  <c r="N342" i="21"/>
  <c r="P342" i="21"/>
  <c r="S342" i="21"/>
  <c r="W342" i="21"/>
  <c r="D343" i="21"/>
  <c r="E343" i="21"/>
  <c r="F343" i="21"/>
  <c r="G343" i="21"/>
  <c r="J343" i="21"/>
  <c r="L343" i="21"/>
  <c r="M343" i="21"/>
  <c r="N343" i="21"/>
  <c r="P343" i="21"/>
  <c r="S343" i="21"/>
  <c r="D344" i="21"/>
  <c r="E344" i="21"/>
  <c r="F344" i="21"/>
  <c r="G344" i="21"/>
  <c r="J344" i="21"/>
  <c r="L344" i="21"/>
  <c r="M344" i="21"/>
  <c r="N344" i="21"/>
  <c r="P344" i="21"/>
  <c r="S344" i="21"/>
  <c r="D345" i="21"/>
  <c r="E345" i="21"/>
  <c r="F345" i="21"/>
  <c r="G345" i="21"/>
  <c r="J345" i="21"/>
  <c r="L345" i="21"/>
  <c r="M345" i="21"/>
  <c r="N345" i="21"/>
  <c r="P345" i="21"/>
  <c r="S345" i="21"/>
  <c r="D346" i="21"/>
  <c r="E346" i="21"/>
  <c r="F346" i="21"/>
  <c r="G346" i="21"/>
  <c r="J346" i="21"/>
  <c r="L346" i="21"/>
  <c r="M346" i="21"/>
  <c r="N346" i="21"/>
  <c r="P346" i="21"/>
  <c r="S346" i="21"/>
  <c r="D347" i="21"/>
  <c r="E347" i="21"/>
  <c r="F347" i="21"/>
  <c r="G347" i="21"/>
  <c r="J347" i="21"/>
  <c r="L347" i="21"/>
  <c r="M347" i="21"/>
  <c r="N347" i="21"/>
  <c r="P347" i="21"/>
  <c r="S347" i="21"/>
  <c r="D348" i="21"/>
  <c r="E348" i="21"/>
  <c r="F348" i="21"/>
  <c r="G348" i="21"/>
  <c r="J348" i="21"/>
  <c r="L348" i="21"/>
  <c r="M348" i="21"/>
  <c r="N348" i="21"/>
  <c r="P348" i="21"/>
  <c r="S348" i="21"/>
  <c r="D349" i="21"/>
  <c r="E349" i="21"/>
  <c r="F349" i="21"/>
  <c r="G349" i="21"/>
  <c r="J349" i="21"/>
  <c r="L349" i="21"/>
  <c r="M349" i="21"/>
  <c r="N349" i="21"/>
  <c r="P349" i="21"/>
  <c r="S349" i="21"/>
  <c r="D350" i="21"/>
  <c r="E350" i="21"/>
  <c r="F350" i="21"/>
  <c r="G350" i="21"/>
  <c r="J350" i="21"/>
  <c r="L350" i="21"/>
  <c r="M350" i="21"/>
  <c r="N350" i="21"/>
  <c r="P350" i="21"/>
  <c r="S350" i="21"/>
  <c r="D351" i="21"/>
  <c r="E351" i="21"/>
  <c r="F351" i="21"/>
  <c r="G351" i="21"/>
  <c r="J351" i="21"/>
  <c r="L351" i="21"/>
  <c r="M351" i="21"/>
  <c r="N351" i="21"/>
  <c r="P351" i="21"/>
  <c r="S351" i="21"/>
  <c r="D352" i="21"/>
  <c r="E352" i="21"/>
  <c r="F352" i="21"/>
  <c r="G352" i="21"/>
  <c r="J352" i="21"/>
  <c r="L352" i="21"/>
  <c r="M352" i="21"/>
  <c r="N352" i="21"/>
  <c r="P352" i="21"/>
  <c r="S352" i="21"/>
  <c r="D353" i="21"/>
  <c r="E353" i="21"/>
  <c r="F353" i="21"/>
  <c r="G353" i="21"/>
  <c r="J353" i="21"/>
  <c r="L353" i="21"/>
  <c r="M353" i="21"/>
  <c r="N353" i="21"/>
  <c r="P353" i="21"/>
  <c r="S353" i="21"/>
  <c r="D354" i="21"/>
  <c r="E354" i="21"/>
  <c r="F354" i="21"/>
  <c r="G354" i="21"/>
  <c r="J354" i="21"/>
  <c r="L354" i="21"/>
  <c r="M354" i="21"/>
  <c r="N354" i="21"/>
  <c r="P354" i="21"/>
  <c r="S354" i="21"/>
  <c r="D355" i="21"/>
  <c r="E355" i="21"/>
  <c r="F355" i="21"/>
  <c r="G355" i="21"/>
  <c r="J355" i="21"/>
  <c r="L355" i="21"/>
  <c r="M355" i="21"/>
  <c r="N355" i="21"/>
  <c r="P355" i="21"/>
  <c r="S355" i="21"/>
  <c r="D356" i="21"/>
  <c r="E356" i="21"/>
  <c r="F356" i="21"/>
  <c r="G356" i="21"/>
  <c r="J356" i="21"/>
  <c r="L356" i="21"/>
  <c r="M356" i="21"/>
  <c r="N356" i="21"/>
  <c r="P356" i="21"/>
  <c r="S356" i="21"/>
  <c r="D357" i="21"/>
  <c r="E357" i="21"/>
  <c r="F357" i="21"/>
  <c r="G357" i="21"/>
  <c r="J357" i="21"/>
  <c r="L357" i="21"/>
  <c r="M357" i="21"/>
  <c r="N357" i="21"/>
  <c r="P357" i="21"/>
  <c r="S357" i="21"/>
  <c r="D358" i="21"/>
  <c r="E358" i="21"/>
  <c r="F358" i="21"/>
  <c r="G358" i="21"/>
  <c r="J358" i="21"/>
  <c r="L358" i="21"/>
  <c r="M358" i="21"/>
  <c r="N358" i="21"/>
  <c r="P358" i="21"/>
  <c r="S358" i="21"/>
  <c r="D359" i="21"/>
  <c r="E359" i="21"/>
  <c r="F359" i="21"/>
  <c r="G359" i="21"/>
  <c r="J359" i="21"/>
  <c r="L359" i="21"/>
  <c r="M359" i="21"/>
  <c r="N359" i="21"/>
  <c r="P359" i="21"/>
  <c r="S359" i="21"/>
  <c r="D360" i="21"/>
  <c r="E360" i="21"/>
  <c r="F360" i="21"/>
  <c r="G360" i="21"/>
  <c r="J360" i="21"/>
  <c r="L360" i="21"/>
  <c r="M360" i="21"/>
  <c r="N360" i="21"/>
  <c r="P360" i="21"/>
  <c r="S360" i="21"/>
  <c r="D361" i="21"/>
  <c r="E361" i="21"/>
  <c r="F361" i="21"/>
  <c r="G361" i="21"/>
  <c r="J361" i="21"/>
  <c r="L361" i="21"/>
  <c r="M361" i="21"/>
  <c r="N361" i="21"/>
  <c r="P361" i="21"/>
  <c r="S361" i="21"/>
  <c r="D362" i="21"/>
  <c r="E362" i="21"/>
  <c r="F362" i="21"/>
  <c r="G362" i="21"/>
  <c r="J362" i="21"/>
  <c r="L362" i="21"/>
  <c r="M362" i="21"/>
  <c r="N362" i="21"/>
  <c r="P362" i="21"/>
  <c r="S362" i="21"/>
  <c r="D363" i="21"/>
  <c r="E363" i="21"/>
  <c r="F363" i="21"/>
  <c r="G363" i="21"/>
  <c r="J363" i="21"/>
  <c r="L363" i="21"/>
  <c r="M363" i="21"/>
  <c r="N363" i="21"/>
  <c r="P363" i="21"/>
  <c r="S363" i="21"/>
  <c r="D364" i="21"/>
  <c r="E364" i="21"/>
  <c r="F364" i="21"/>
  <c r="G364" i="21"/>
  <c r="J364" i="21"/>
  <c r="L364" i="21"/>
  <c r="M364" i="21"/>
  <c r="N364" i="21"/>
  <c r="P364" i="21"/>
  <c r="S364" i="21"/>
  <c r="D365" i="21"/>
  <c r="E365" i="21"/>
  <c r="F365" i="21"/>
  <c r="G365" i="21"/>
  <c r="J365" i="21"/>
  <c r="L365" i="21"/>
  <c r="M365" i="21"/>
  <c r="N365" i="21"/>
  <c r="P365" i="21"/>
  <c r="S365" i="21"/>
  <c r="D366" i="21"/>
  <c r="E366" i="21"/>
  <c r="F366" i="21"/>
  <c r="G366" i="21"/>
  <c r="J366" i="21"/>
  <c r="L366" i="21"/>
  <c r="M366" i="21"/>
  <c r="N366" i="21"/>
  <c r="P366" i="21"/>
  <c r="S366" i="21"/>
  <c r="D367" i="21"/>
  <c r="E367" i="21"/>
  <c r="F367" i="21"/>
  <c r="G367" i="21"/>
  <c r="J367" i="21"/>
  <c r="L367" i="21"/>
  <c r="M367" i="21"/>
  <c r="N367" i="21"/>
  <c r="P367" i="21"/>
  <c r="S367" i="21"/>
  <c r="D368" i="21"/>
  <c r="E368" i="21"/>
  <c r="F368" i="21"/>
  <c r="G368" i="21"/>
  <c r="J368" i="21"/>
  <c r="L368" i="21"/>
  <c r="M368" i="21"/>
  <c r="N368" i="21"/>
  <c r="P368" i="21"/>
  <c r="S368" i="21"/>
  <c r="D369" i="21"/>
  <c r="E369" i="21"/>
  <c r="F369" i="21"/>
  <c r="G369" i="21"/>
  <c r="J369" i="21"/>
  <c r="L369" i="21"/>
  <c r="M369" i="21"/>
  <c r="N369" i="21"/>
  <c r="P369" i="21"/>
  <c r="S369" i="21"/>
  <c r="D370" i="21"/>
  <c r="E370" i="21"/>
  <c r="F370" i="21"/>
  <c r="G370" i="21"/>
  <c r="J370" i="21"/>
  <c r="L370" i="21"/>
  <c r="M370" i="21"/>
  <c r="N370" i="21"/>
  <c r="P370" i="21"/>
  <c r="S370" i="21"/>
  <c r="D371" i="21"/>
  <c r="E371" i="21"/>
  <c r="F371" i="21"/>
  <c r="G371" i="21"/>
  <c r="J371" i="21"/>
  <c r="L371" i="21"/>
  <c r="M371" i="21"/>
  <c r="N371" i="21"/>
  <c r="P371" i="21"/>
  <c r="S371" i="21"/>
  <c r="D372" i="21"/>
  <c r="E372" i="21"/>
  <c r="F372" i="21"/>
  <c r="G372" i="21"/>
  <c r="J372" i="21"/>
  <c r="L372" i="21"/>
  <c r="M372" i="21"/>
  <c r="N372" i="21"/>
  <c r="P372" i="21"/>
  <c r="S372" i="21"/>
  <c r="D373" i="21"/>
  <c r="E373" i="21"/>
  <c r="F373" i="21"/>
  <c r="G373" i="21"/>
  <c r="J373" i="21"/>
  <c r="L373" i="21"/>
  <c r="M373" i="21"/>
  <c r="N373" i="21"/>
  <c r="P373" i="21"/>
  <c r="S373" i="21"/>
  <c r="D374" i="21"/>
  <c r="E374" i="21"/>
  <c r="F374" i="21"/>
  <c r="G374" i="21"/>
  <c r="J374" i="21"/>
  <c r="L374" i="21"/>
  <c r="M374" i="21"/>
  <c r="N374" i="21"/>
  <c r="P374" i="21"/>
  <c r="S374" i="21"/>
  <c r="D375" i="21"/>
  <c r="E375" i="21"/>
  <c r="F375" i="21"/>
  <c r="G375" i="21"/>
  <c r="J375" i="21"/>
  <c r="L375" i="21"/>
  <c r="M375" i="21"/>
  <c r="N375" i="21"/>
  <c r="P375" i="21"/>
  <c r="S375" i="21"/>
  <c r="D376" i="21"/>
  <c r="E376" i="21"/>
  <c r="F376" i="21"/>
  <c r="G376" i="21"/>
  <c r="J376" i="21"/>
  <c r="L376" i="21"/>
  <c r="M376" i="21"/>
  <c r="N376" i="21"/>
  <c r="P376" i="21"/>
  <c r="S376" i="21"/>
  <c r="D377" i="21"/>
  <c r="E377" i="21"/>
  <c r="F377" i="21"/>
  <c r="G377" i="21"/>
  <c r="J377" i="21"/>
  <c r="L377" i="21"/>
  <c r="M377" i="21"/>
  <c r="N377" i="21"/>
  <c r="P377" i="21"/>
  <c r="S377" i="21"/>
  <c r="D378" i="21"/>
  <c r="E378" i="21"/>
  <c r="F378" i="21"/>
  <c r="G378" i="21"/>
  <c r="J378" i="21"/>
  <c r="L378" i="21"/>
  <c r="M378" i="21"/>
  <c r="N378" i="21"/>
  <c r="P378" i="21"/>
  <c r="S378" i="21"/>
  <c r="D379" i="21"/>
  <c r="E379" i="21"/>
  <c r="F379" i="21"/>
  <c r="G379" i="21"/>
  <c r="J379" i="21"/>
  <c r="L379" i="21"/>
  <c r="M379" i="21"/>
  <c r="N379" i="21"/>
  <c r="P379" i="21"/>
  <c r="S379" i="21"/>
  <c r="D380" i="21"/>
  <c r="E380" i="21"/>
  <c r="F380" i="21"/>
  <c r="G380" i="21"/>
  <c r="J380" i="21"/>
  <c r="L380" i="21"/>
  <c r="M380" i="21"/>
  <c r="N380" i="21"/>
  <c r="P380" i="21"/>
  <c r="S380" i="21"/>
  <c r="D381" i="21"/>
  <c r="E381" i="21"/>
  <c r="F381" i="21"/>
  <c r="G381" i="21"/>
  <c r="J381" i="21"/>
  <c r="L381" i="21"/>
  <c r="M381" i="21"/>
  <c r="N381" i="21"/>
  <c r="P381" i="21"/>
  <c r="S381" i="21"/>
  <c r="D382" i="21"/>
  <c r="E382" i="21"/>
  <c r="F382" i="21"/>
  <c r="G382" i="21"/>
  <c r="J382" i="21"/>
  <c r="L382" i="21"/>
  <c r="M382" i="21"/>
  <c r="N382" i="21"/>
  <c r="P382" i="21"/>
  <c r="S382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tc={A81F7E9F-C001-4847-8174-2F54EF000BDA}</author>
    <author>tc={338C51C9-F6ED-4530-B1E8-008D46506BBA}</author>
  </authors>
  <commentList>
    <comment ref="F24" authorId="0" shapeId="0" xr:uid="{A81F7E9F-C001-4847-8174-2F54EF000BD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LTV máximo:
Imóveis residenciais: 80%
Imóveis comerciais: 70%</t>
      </text>
    </comment>
    <comment ref="C32" authorId="1" shapeId="0" xr:uid="{338C51C9-F6ED-4530-B1E8-008D46506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33% participação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tc={5EAAB6B3-FC08-4CF8-ABD0-C127DF152F45}</author>
  </authors>
  <commentList>
    <comment ref="D16" authorId="0" shapeId="0" xr:uid="{5EAAB6B3-FC08-4CF8-ABD0-C127DF152F45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TED-Impostos Trib Taxas
756 4149 29480249000123 CASA PLENO IMO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tc={038556C5-11DA-4C0C-B64F-F132CA3780CD}</author>
    <author>Jones Lang LaSalle</author>
    <author>JLL</author>
  </authors>
  <commentList>
    <comment ref="M4" authorId="0" shapeId="0" xr:uid="{038556C5-11DA-4C0C-B64F-F132CA3780CD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CCV</t>
      </text>
    </comment>
    <comment ref="AH37" authorId="1" shapeId="0" xr:uid="{C6E20E6C-CEB3-4AAE-B3A8-96DDC9523C0C}">
      <text>
        <r>
          <rPr>
            <sz val="9"/>
            <color indexed="81"/>
            <rFont val="Tahoma"/>
            <family val="2"/>
          </rPr>
          <t>Age in percentage of lifetime</t>
        </r>
      </text>
    </comment>
    <comment ref="N39" authorId="1" shapeId="0" xr:uid="{6588BF59-8B8D-4ADF-9913-81ECDF63D7C3}">
      <text>
        <r>
          <rPr>
            <b/>
            <sz val="9"/>
            <color indexed="81"/>
            <rFont val="Tahoma"/>
            <family val="2"/>
          </rPr>
          <t>Jones Lang LaSalle:</t>
        </r>
        <r>
          <rPr>
            <sz val="9"/>
            <color indexed="81"/>
            <rFont val="Tahoma"/>
            <family val="2"/>
          </rPr>
          <t xml:space="preserve">
Preencher com valor médio das vagas da região, ou com o valor de vaga de cada uma das amostras, caso conseguir</t>
        </r>
      </text>
    </comment>
    <comment ref="AQ39" authorId="2" shapeId="0" xr:uid="{22B44ED8-A77F-4D56-B5CD-9754F51A94E2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Escrever "Sim" para utilizar o fator. Deixe em branco para desconsiderar (o fator será = 1,0)</t>
        </r>
      </text>
    </comment>
    <comment ref="AV39" authorId="2" shapeId="0" xr:uid="{1F4310E7-AD6D-4473-A13C-48197DA43BE8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Para descosinderar as vagas na homogeneização escrever "Sim". Caso contrário apenas deixar em branco.</t>
        </r>
      </text>
    </comment>
    <comment ref="A41" authorId="2" shapeId="0" xr:uid="{6298D74A-A08A-44CB-AC5B-C068994AACDA}">
      <text>
        <r>
          <rPr>
            <b/>
            <sz val="9"/>
            <color indexed="81"/>
            <rFont val="Tahoma"/>
            <family val="2"/>
          </rPr>
          <t>JLL:</t>
        </r>
        <r>
          <rPr>
            <sz val="9"/>
            <color indexed="81"/>
            <rFont val="Tahoma"/>
            <family val="2"/>
          </rPr>
          <t xml:space="preserve">
Alterar S (Sim) ou N (Não) para incluir/excluir amostras do comparativo.
Não é necessário alterar números e fatores e fórmulas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Pedro Pin Ferronato</author>
    <author>Marcelo Ladeira Matos</author>
  </authors>
  <commentList>
    <comment ref="I18" authorId="0" shapeId="0" xr:uid="{00000000-0006-0000-0700-000001000000}">
      <text>
        <r>
          <rPr>
            <b/>
            <sz val="9"/>
            <color indexed="81"/>
            <rFont val="Segoe UI"/>
            <family val="2"/>
          </rPr>
          <t>Pedro Pin Ferronato:</t>
        </r>
        <r>
          <rPr>
            <sz val="9"/>
            <color indexed="81"/>
            <rFont val="Segoe UI"/>
            <family val="2"/>
          </rPr>
          <t xml:space="preserve">
&lt;100 pequena
100 ate 300 media
&gt;300 grande</t>
        </r>
      </text>
    </comment>
    <comment ref="I59" authorId="1" shapeId="0" xr:uid="{00000000-0006-0000-0700-000002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Mais de 500 mil Habitantes</t>
        </r>
      </text>
    </comment>
    <comment ref="I60" authorId="1" shapeId="0" xr:uid="{00000000-0006-0000-0700-000003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Entre 200 - 500 mil.</t>
        </r>
      </text>
    </comment>
    <comment ref="I61" authorId="1" shapeId="0" xr:uid="{00000000-0006-0000-0700-000004000000}">
      <text>
        <r>
          <rPr>
            <b/>
            <sz val="9"/>
            <color indexed="81"/>
            <rFont val="Tahoma"/>
            <family val="2"/>
          </rPr>
          <t>Marcelo Ladeira Matos:</t>
        </r>
        <r>
          <rPr>
            <sz val="9"/>
            <color indexed="81"/>
            <rFont val="Tahoma"/>
            <family val="2"/>
          </rPr>
          <t xml:space="preserve">
Menos de 200 mil.</t>
        </r>
      </text>
    </comment>
  </commentList>
</comments>
</file>

<file path=xl/sharedStrings.xml><?xml version="1.0" encoding="utf-8"?>
<sst xmlns="http://schemas.openxmlformats.org/spreadsheetml/2006/main" count="1426" uniqueCount="772">
  <si>
    <t>Total</t>
  </si>
  <si>
    <t>LTV</t>
  </si>
  <si>
    <t>NPV</t>
  </si>
  <si>
    <t>Valor do Imóvel</t>
  </si>
  <si>
    <t>Prazo (Meses)</t>
  </si>
  <si>
    <t>Mês que quer ficar sem pagar</t>
  </si>
  <si>
    <t>Nenhum</t>
  </si>
  <si>
    <t>Data da Simulação</t>
  </si>
  <si>
    <t>Idade</t>
  </si>
  <si>
    <t>Tipo de Tabela</t>
  </si>
  <si>
    <t>SAC</t>
  </si>
  <si>
    <t>Valor Líquido Financiamento - Renda</t>
  </si>
  <si>
    <t>Valor Líquido Financiamento - Imóvel</t>
  </si>
  <si>
    <t>TEO</t>
  </si>
  <si>
    <t>IOF</t>
  </si>
  <si>
    <t>Custos de Registro</t>
  </si>
  <si>
    <t>Taxa de Gestão</t>
  </si>
  <si>
    <t>Seguro MIP</t>
  </si>
  <si>
    <t>Seguro DFI</t>
  </si>
  <si>
    <t>Scoring</t>
  </si>
  <si>
    <t>Metragem</t>
  </si>
  <si>
    <t>Solteiro</t>
  </si>
  <si>
    <t xml:space="preserve">Casado </t>
  </si>
  <si>
    <t>União estavel</t>
  </si>
  <si>
    <t>Estado Civil</t>
  </si>
  <si>
    <t>Não</t>
  </si>
  <si>
    <t>Sim</t>
  </si>
  <si>
    <t>Filhos</t>
  </si>
  <si>
    <t>Casa</t>
  </si>
  <si>
    <t>Apartamento</t>
  </si>
  <si>
    <t>Nenhuma</t>
  </si>
  <si>
    <t>Tipologia</t>
  </si>
  <si>
    <t>Fundamental</t>
  </si>
  <si>
    <t>Médio</t>
  </si>
  <si>
    <t>Ruim</t>
  </si>
  <si>
    <t>Superior</t>
  </si>
  <si>
    <t>Regular</t>
  </si>
  <si>
    <t>Escolaridade</t>
  </si>
  <si>
    <t>Bom</t>
  </si>
  <si>
    <t>Bairro</t>
  </si>
  <si>
    <t>Órgão Público Est/Mun</t>
  </si>
  <si>
    <t>Pequena</t>
  </si>
  <si>
    <t>Órgão Público Federal</t>
  </si>
  <si>
    <t>Média</t>
  </si>
  <si>
    <t>Empregador</t>
  </si>
  <si>
    <t>Grande</t>
  </si>
  <si>
    <t>Cidade</t>
  </si>
  <si>
    <t>Funcionário Público</t>
  </si>
  <si>
    <t>Assalariado</t>
  </si>
  <si>
    <t>Tipo de Emprego</t>
  </si>
  <si>
    <t>Pefin/Refin</t>
  </si>
  <si>
    <t>Nada Consta</t>
  </si>
  <si>
    <t>Serasa</t>
  </si>
  <si>
    <t>Pontuação Serasa</t>
  </si>
  <si>
    <t>Emprego</t>
  </si>
  <si>
    <t>Status Serasa</t>
  </si>
  <si>
    <t xml:space="preserve">LTV </t>
  </si>
  <si>
    <t>Comprometimento de Renda</t>
  </si>
  <si>
    <t>Apartamento/Casa</t>
  </si>
  <si>
    <t>A</t>
  </si>
  <si>
    <t>B</t>
  </si>
  <si>
    <t>C</t>
  </si>
  <si>
    <t>D</t>
  </si>
  <si>
    <t>E</t>
  </si>
  <si>
    <t>Estado</t>
  </si>
  <si>
    <t>Rating</t>
  </si>
  <si>
    <t>Price</t>
  </si>
  <si>
    <t>Divorciado</t>
  </si>
  <si>
    <t>Simulador</t>
  </si>
  <si>
    <t>Valor Total do Financiamento</t>
  </si>
  <si>
    <t>Tabela</t>
  </si>
  <si>
    <t>Prazo</t>
  </si>
  <si>
    <t>Registro</t>
  </si>
  <si>
    <t>Valor Líquido</t>
  </si>
  <si>
    <t>Mês que não vai pagar</t>
  </si>
  <si>
    <t>Custo Efetivo Total</t>
  </si>
  <si>
    <t>Amortização</t>
  </si>
  <si>
    <t>Juros</t>
  </si>
  <si>
    <t>Saldo Devedor</t>
  </si>
  <si>
    <t>Taxa ADM</t>
  </si>
  <si>
    <t>Prestação Mensal</t>
  </si>
  <si>
    <t>-</t>
  </si>
  <si>
    <t>Renda Bruta Apurada</t>
  </si>
  <si>
    <t>x</t>
  </si>
  <si>
    <t>1. Registro com valor declarado - Fonte: ARISP</t>
  </si>
  <si>
    <t>DISCRIMINAÇÃO (R$)</t>
  </si>
  <si>
    <t>Oficial</t>
  </si>
  <si>
    <t>Registro Civil</t>
  </si>
  <si>
    <t>Tribunal de Justiça</t>
  </si>
  <si>
    <t>Ministério Público</t>
  </si>
  <si>
    <t>Município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</si>
  <si>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</si>
  <si>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</si>
  <si>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</si>
  <si>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</si>
  <si>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</si>
  <si>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</si>
  <si>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</si>
  <si>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</si>
  <si>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</si>
  <si>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</si>
  <si>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</si>
  <si>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</si>
  <si>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</si>
  <si>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</si>
  <si>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</si>
  <si>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</si>
  <si>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</si>
  <si>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</si>
  <si>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</si>
  <si>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</si>
  <si>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</si>
  <si>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</si>
  <si>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</si>
  <si>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y</t>
  </si>
  <si>
    <t>z</t>
  </si>
  <si>
    <t>z1</t>
  </si>
  <si>
    <t>z2</t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</si>
  <si>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</si>
  <si>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</si>
  <si>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</si>
  <si>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</si>
  <si>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</si>
  <si>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</si>
  <si>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</si>
  <si>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</si>
  <si>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</si>
  <si>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</si>
  <si>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</si>
  <si>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</si>
  <si>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z15</t>
  </si>
  <si>
    <t>z16</t>
  </si>
  <si>
    <t>z17</t>
  </si>
  <si>
    <t>z18</t>
  </si>
  <si>
    <t>z19</t>
  </si>
  <si>
    <t>z20</t>
  </si>
  <si>
    <t>z21</t>
  </si>
  <si>
    <t>z22</t>
  </si>
  <si>
    <t>Idade máxima dos propoentes</t>
  </si>
  <si>
    <t>Primeira PMT</t>
  </si>
  <si>
    <t>Indexador</t>
  </si>
  <si>
    <t>Taxa de Juros a.a.</t>
  </si>
  <si>
    <t>Valor Bruto</t>
  </si>
  <si>
    <t>Valor Líquido Aprovado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</si>
  <si>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</si>
  <si>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</si>
  <si>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</si>
  <si>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</si>
  <si>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</si>
  <si>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</si>
  <si>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</si>
  <si>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</si>
  <si>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</si>
  <si>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</si>
  <si>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</si>
  <si>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</si>
  <si>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A+</t>
  </si>
  <si>
    <t>C+</t>
  </si>
  <si>
    <t>C-</t>
  </si>
  <si>
    <t>Input do Modelo</t>
  </si>
  <si>
    <t>AC</t>
  </si>
  <si>
    <t>AL</t>
  </si>
  <si>
    <t>AP</t>
  </si>
  <si>
    <t>Localização Garantia</t>
  </si>
  <si>
    <t>SP</t>
  </si>
  <si>
    <t>AM</t>
  </si>
  <si>
    <t>BA</t>
  </si>
  <si>
    <t>CE</t>
  </si>
  <si>
    <t>DF</t>
  </si>
  <si>
    <t>ES</t>
  </si>
  <si>
    <t>GO</t>
  </si>
  <si>
    <t>Ratings + são definidas pelo analista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</si>
  <si>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</si>
  <si>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</si>
  <si>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</si>
  <si>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</si>
  <si>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</si>
  <si>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</si>
  <si>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</si>
  <si>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</si>
  <si>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</si>
  <si>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Rating Final Modelo</t>
  </si>
  <si>
    <t>RJ</t>
  </si>
  <si>
    <t>Ranting Final Analista</t>
  </si>
  <si>
    <t>RN</t>
  </si>
  <si>
    <t>RS</t>
  </si>
  <si>
    <t>Taxa final</t>
  </si>
  <si>
    <t>RO</t>
  </si>
  <si>
    <t>RR</t>
  </si>
  <si>
    <t>SC</t>
  </si>
  <si>
    <t>SE</t>
  </si>
  <si>
    <t>TO</t>
  </si>
  <si>
    <t>Vamos quitar?</t>
  </si>
  <si>
    <t>Crédito Pessoal</t>
  </si>
  <si>
    <t>Outros Empréstimos</t>
  </si>
  <si>
    <t>Cartão de crédito</t>
  </si>
  <si>
    <t>Financiamento de Automóvel</t>
  </si>
  <si>
    <t>Rating Vs Taxas</t>
  </si>
  <si>
    <t>Pilar SED (Sócio-Econômico Demográfico)</t>
  </si>
  <si>
    <t>Pilar - HC (Histórico de Crédito)</t>
  </si>
  <si>
    <t>Pilar - GI (Garantia Imobiliária)</t>
  </si>
  <si>
    <r>
      <t xml:space="preserve">Rating </t>
    </r>
    <r>
      <rPr>
        <b/>
        <sz val="9"/>
        <rFont val="Calibri"/>
        <family val="2"/>
        <scheme val="minor"/>
      </rPr>
      <t>(Matriz)</t>
    </r>
  </si>
  <si>
    <t>Pilar SED + HC</t>
  </si>
  <si>
    <t>Pilar GI</t>
  </si>
  <si>
    <t>Liberal/Empresário</t>
  </si>
  <si>
    <t>Limite Bacen - Risco Total</t>
  </si>
  <si>
    <t>Se Funcionário Público</t>
  </si>
  <si>
    <t>Limite Bacen - Total Aprovado</t>
  </si>
  <si>
    <t>Se Assalariado - Empregador</t>
  </si>
  <si>
    <t>Rating GI</t>
  </si>
  <si>
    <t>Se Profissional Liberal/Empresário</t>
  </si>
  <si>
    <t>Rating - SED + HI</t>
  </si>
  <si>
    <t>Rating - Pilar SED</t>
  </si>
  <si>
    <t>Rating Pilar SED + HI</t>
  </si>
  <si>
    <t>Rating - Pilar HC</t>
  </si>
  <si>
    <t>P/ Assalariado - Tipo Empregador*</t>
  </si>
  <si>
    <t>Pequeno</t>
  </si>
  <si>
    <t>Rating - Pilar GI</t>
  </si>
  <si>
    <t>Limite disponível Bacen - Risco Total*</t>
  </si>
  <si>
    <t>* Definição pelo número de funcionários: Até 100 funcionários pequeno, entre 100 e 500 médio e acima de 500 grande.</t>
  </si>
  <si>
    <t>P/ Profissional Liberal e Empresário - Tempo de Empresa</t>
  </si>
  <si>
    <t>Até 2 anos</t>
  </si>
  <si>
    <t>3 - 5 anos</t>
  </si>
  <si>
    <t>* Limite disponível divido pelo risco total do cliente.Infos do relatório bacen</t>
  </si>
  <si>
    <t>5</t>
  </si>
  <si>
    <t>&gt; 10 anos</t>
  </si>
  <si>
    <t>1 - Limite disponível divido pelo valor aprovado do cliente.</t>
  </si>
  <si>
    <t>Vencido</t>
  </si>
  <si>
    <t>Apenas para análise de dados</t>
  </si>
  <si>
    <t>Modalidades de Empréstimo (R$)</t>
  </si>
  <si>
    <t>Rotativo de cartão de crédito</t>
  </si>
  <si>
    <t>Aquisição de veículos</t>
  </si>
  <si>
    <t>Aquisição de imóveis</t>
  </si>
  <si>
    <t>Home Equity</t>
  </si>
  <si>
    <t>Cheque Especial</t>
  </si>
  <si>
    <t>Outros</t>
  </si>
  <si>
    <t>Se assalariado - Nível do cargo</t>
  </si>
  <si>
    <t>Analista</t>
  </si>
  <si>
    <t>Coordenador</t>
  </si>
  <si>
    <t>Gerente</t>
  </si>
  <si>
    <t>X</t>
  </si>
  <si>
    <t>Diretor</t>
  </si>
  <si>
    <t>Outro</t>
  </si>
  <si>
    <t>Aposentado</t>
  </si>
  <si>
    <t>Endividamento Possível</t>
  </si>
  <si>
    <t>Endividamento Atual</t>
  </si>
  <si>
    <t>Inputs</t>
  </si>
  <si>
    <t>Taxa de Juros a.m.</t>
  </si>
  <si>
    <t>Renda Bruta Proponente 1</t>
  </si>
  <si>
    <t>Renda Bruta Proponente 2</t>
  </si>
  <si>
    <t>Renda Bruta Proponente 3</t>
  </si>
  <si>
    <t>Data de Nascimento Proponente 1</t>
  </si>
  <si>
    <t>Data de Nascimento Proponente 2</t>
  </si>
  <si>
    <t>Data de Nascimento Proponente 3</t>
  </si>
  <si>
    <t>Nome Proponente 1</t>
  </si>
  <si>
    <t>Nome Proponente 3</t>
  </si>
  <si>
    <t>Nome Proponente 2</t>
  </si>
  <si>
    <t>Resumo</t>
  </si>
  <si>
    <t>LTV Max Renda</t>
  </si>
  <si>
    <t>CET a.m.</t>
  </si>
  <si>
    <t>CET a.a.</t>
  </si>
  <si>
    <t>LTV Inicial</t>
  </si>
  <si>
    <t>Sensibilidade</t>
  </si>
  <si>
    <t>CET</t>
  </si>
  <si>
    <t>Valor</t>
  </si>
  <si>
    <t xml:space="preserve">Crédito Pessoal s/ Consignação </t>
  </si>
  <si>
    <t>Financiamento de Imóvel</t>
  </si>
  <si>
    <t>Limite Disponível</t>
  </si>
  <si>
    <t>Alerta</t>
  </si>
  <si>
    <t>*Se estiver endividado necessário mais renda/negar operação</t>
  </si>
  <si>
    <t>Fixo mensal</t>
  </si>
  <si>
    <t>Mês 1</t>
  </si>
  <si>
    <t>Mês 2</t>
  </si>
  <si>
    <t>Mês 3</t>
  </si>
  <si>
    <t>Mês 4</t>
  </si>
  <si>
    <t>Mês 5</t>
  </si>
  <si>
    <t>Mês 6</t>
  </si>
  <si>
    <t>Média Variável</t>
  </si>
  <si>
    <t>Cheque especial</t>
  </si>
  <si>
    <t>Renda Bruta Proponente 1 PF</t>
  </si>
  <si>
    <t>Sistema de Amortização</t>
  </si>
  <si>
    <t>Valor de Avaliação</t>
  </si>
  <si>
    <t>Resultados</t>
  </si>
  <si>
    <t>Parcelas Mensais</t>
  </si>
  <si>
    <t>Taxa Adm</t>
  </si>
  <si>
    <t>CESH</t>
  </si>
  <si>
    <t>Taxa (a.m.)</t>
  </si>
  <si>
    <t>Simulação</t>
  </si>
  <si>
    <t>+</t>
  </si>
  <si>
    <t>Carência (meses)</t>
  </si>
  <si>
    <t>Dia do Pagamento</t>
  </si>
  <si>
    <t>Data</t>
  </si>
  <si>
    <t>Data do Contrato</t>
  </si>
  <si>
    <t>Taxa a.m.</t>
  </si>
  <si>
    <t>Taxa ao período</t>
  </si>
  <si>
    <t>Prazo (meses)</t>
  </si>
  <si>
    <t>Valor Total do Empréstimo</t>
  </si>
  <si>
    <t>Mês pular parcela</t>
  </si>
  <si>
    <t>Dia do Vencimento</t>
  </si>
  <si>
    <t>Alíquota</t>
  </si>
  <si>
    <t>Saldo Amortizado</t>
  </si>
  <si>
    <t>IOF Alíquota</t>
  </si>
  <si>
    <t>IOF Adicional (0,38%)</t>
  </si>
  <si>
    <t>IOF Total</t>
  </si>
  <si>
    <t>DEVEDOR 1</t>
  </si>
  <si>
    <t>CPF</t>
  </si>
  <si>
    <t>NOME</t>
  </si>
  <si>
    <t>IDENTIDADE</t>
  </si>
  <si>
    <t>TIPO</t>
  </si>
  <si>
    <t>NÚMERO</t>
  </si>
  <si>
    <t>DATA DE NASCIMENTO</t>
  </si>
  <si>
    <t>ÓRGÃO EMISSOR</t>
  </si>
  <si>
    <t>NACIONALIDADE</t>
  </si>
  <si>
    <t>PROFISSÃO</t>
  </si>
  <si>
    <t>ESTADO CIVIL</t>
  </si>
  <si>
    <t>REGIME DE CASAMENTO (SE FOR CASADO)</t>
  </si>
  <si>
    <t>DEVEDOR 2</t>
  </si>
  <si>
    <t>ENDEREÇO</t>
  </si>
  <si>
    <t>COMPLEMENTO</t>
  </si>
  <si>
    <t>BAIRRO</t>
  </si>
  <si>
    <t>CIDADE</t>
  </si>
  <si>
    <t>UF</t>
  </si>
  <si>
    <t>CEP</t>
  </si>
  <si>
    <t>RUA/AVENIDA</t>
  </si>
  <si>
    <t>CONTATO</t>
  </si>
  <si>
    <t>TELEFONE</t>
  </si>
  <si>
    <t>EMAIL</t>
  </si>
  <si>
    <t>EMPRÉSTIMO</t>
  </si>
  <si>
    <t>VALOR BRUTO</t>
  </si>
  <si>
    <t>PRAZO</t>
  </si>
  <si>
    <t>Nº DE PRESTAÇÕES</t>
  </si>
  <si>
    <t>DATA DO TÉRMINO</t>
  </si>
  <si>
    <t>VENCIMENTO 1ª PRESTAÇÃO</t>
  </si>
  <si>
    <t>JUROS NOMINAL</t>
  </si>
  <si>
    <t>JUROS EFETIVO</t>
  </si>
  <si>
    <t>REGISTRO</t>
  </si>
  <si>
    <t>DÍVIDA IMÓVEL</t>
  </si>
  <si>
    <t>VALOR LÍQUIDO</t>
  </si>
  <si>
    <t>VALOR PARCELA</t>
  </si>
  <si>
    <t>MIP</t>
  </si>
  <si>
    <t>DFI</t>
  </si>
  <si>
    <t>GESTÃO</t>
  </si>
  <si>
    <t>PRIMEIRO ENCARGO</t>
  </si>
  <si>
    <t>ESCROW</t>
  </si>
  <si>
    <t>TITULAR</t>
  </si>
  <si>
    <t>C/C</t>
  </si>
  <si>
    <t>IMÓVEL</t>
  </si>
  <si>
    <t>Nº CONTRIBUINTE</t>
  </si>
  <si>
    <t>REGISTRO AQUISIÇÃO</t>
  </si>
  <si>
    <t>MATRÍCULA</t>
  </si>
  <si>
    <t>LIVRO</t>
  </si>
  <si>
    <t>Nº RGI</t>
  </si>
  <si>
    <t>ESTADO</t>
  </si>
  <si>
    <t>VALOR DE AVALIAÇÃO</t>
  </si>
  <si>
    <t>RENDA</t>
  </si>
  <si>
    <t>PARTICIPAÇÃO</t>
  </si>
  <si>
    <t>Check</t>
  </si>
  <si>
    <t>DÍVIDAS</t>
  </si>
  <si>
    <t>MÊS</t>
  </si>
  <si>
    <t>ANO</t>
  </si>
  <si>
    <t>DEVEDOR</t>
  </si>
  <si>
    <t xml:space="preserve">VALOR </t>
  </si>
  <si>
    <t>DÍVIDA 1</t>
  </si>
  <si>
    <t>DÍVIDA 2</t>
  </si>
  <si>
    <t>DÍVIDA 3</t>
  </si>
  <si>
    <t>CCI</t>
  </si>
  <si>
    <t>SÉRIE</t>
  </si>
  <si>
    <t>VALOR</t>
  </si>
  <si>
    <t>Nº CONTRATO</t>
  </si>
  <si>
    <t>CONTRATO</t>
  </si>
  <si>
    <t>DIA</t>
  </si>
  <si>
    <t>ANEXO I</t>
  </si>
  <si>
    <t>ANEXO II</t>
  </si>
  <si>
    <t>BANCO</t>
  </si>
  <si>
    <t>AGENCIA</t>
  </si>
  <si>
    <t>Carência</t>
  </si>
  <si>
    <t>Diferença</t>
  </si>
  <si>
    <t>NPV @taxa</t>
  </si>
  <si>
    <t>Cálculo pular parcela:</t>
  </si>
  <si>
    <t>i) definir carência, quando houver</t>
  </si>
  <si>
    <t>ii) colar o valor do NPV da célula M21 na célula M17</t>
  </si>
  <si>
    <t>iii) colar valor da taxa na célula D13</t>
  </si>
  <si>
    <t>v) rodar a macro</t>
  </si>
  <si>
    <t>iv) escolher o mês para pular parcela</t>
  </si>
  <si>
    <t>*em caso de alteração em qualquer uma das condições retornar para o status inicial e repetir a partir da etapa 1</t>
  </si>
  <si>
    <t>Taxa a.a.</t>
  </si>
  <si>
    <t>Prazo (anos)</t>
  </si>
  <si>
    <t>Parcela</t>
  </si>
  <si>
    <t>SD</t>
  </si>
  <si>
    <t>Péssimo</t>
  </si>
  <si>
    <t>Secretaria da Fazenda</t>
  </si>
  <si>
    <t>TAC</t>
  </si>
  <si>
    <t>DEVEDOR 3</t>
  </si>
  <si>
    <t>Valor Financiamento</t>
  </si>
  <si>
    <t>Tipo</t>
  </si>
  <si>
    <t>Comercial</t>
  </si>
  <si>
    <t>Residencial</t>
  </si>
  <si>
    <t>Comp. Renda Atual (máx. 35%)</t>
  </si>
  <si>
    <t>Financiamento</t>
  </si>
  <si>
    <t>Endividamento Total</t>
  </si>
  <si>
    <t>*Se negativo valor máximo em empréstimo será reduzido</t>
  </si>
  <si>
    <t>Valor Bruto Financiamento -  Imóvel</t>
  </si>
  <si>
    <t>Valor Bruto Financiamento - Renda</t>
  </si>
  <si>
    <t>Incluir ITBI/Registro</t>
  </si>
  <si>
    <t>Tomador Financiamento</t>
  </si>
  <si>
    <t>PF</t>
  </si>
  <si>
    <t>não</t>
  </si>
  <si>
    <t>ITBI/Registro (SP - Estimado)</t>
  </si>
  <si>
    <t>Valor de Compra</t>
  </si>
  <si>
    <t>ITBI/REGISTRO</t>
  </si>
  <si>
    <t>ITBI</t>
  </si>
  <si>
    <t>Manoel de Souza Baptista</t>
  </si>
  <si>
    <t>Sandra Maria Pereira Fernandes Baptista</t>
  </si>
  <si>
    <t>Imóvel:</t>
  </si>
  <si>
    <t>Cliente</t>
  </si>
  <si>
    <r>
      <t>Resumo:</t>
    </r>
    <r>
      <rPr>
        <i/>
        <sz val="10"/>
        <color theme="1"/>
        <rFont val="Calibri"/>
        <family val="2"/>
        <scheme val="minor"/>
      </rPr>
      <t xml:space="preserve"> </t>
    </r>
  </si>
  <si>
    <t>Custo Efetivo Total (CET a.a.)</t>
  </si>
  <si>
    <t>Parcelas</t>
  </si>
  <si>
    <t>Prejuizo</t>
  </si>
  <si>
    <t>Em dia</t>
  </si>
  <si>
    <t>Vamos quitar</t>
  </si>
  <si>
    <t>Juridico</t>
  </si>
  <si>
    <t>Capital de giro</t>
  </si>
  <si>
    <t>Duplicatas</t>
  </si>
  <si>
    <t>Valor do Limite</t>
  </si>
  <si>
    <t>Anterior</t>
  </si>
  <si>
    <t>IPCA</t>
  </si>
  <si>
    <t>Limite disponível Bacen - Total aprovado</t>
  </si>
  <si>
    <t>Vencidos</t>
  </si>
  <si>
    <t>Valor Vencidos</t>
  </si>
  <si>
    <t>Limite Após Financiamento</t>
  </si>
  <si>
    <t>Incorporadora</t>
  </si>
  <si>
    <t>Incorporadora ou não</t>
  </si>
  <si>
    <t xml:space="preserve">Sim </t>
  </si>
  <si>
    <t>Primeira Parcela</t>
  </si>
  <si>
    <t>Excelente</t>
  </si>
  <si>
    <t>Nome Proponente 4</t>
  </si>
  <si>
    <t>Nome Proponente 5</t>
  </si>
  <si>
    <t>Data de Nascimento Proponente 4</t>
  </si>
  <si>
    <t>Data de Nascimento Proponente 5</t>
  </si>
  <si>
    <t>Link Torre</t>
  </si>
  <si>
    <t>CPF/CNPJ 1</t>
  </si>
  <si>
    <t>CPF/CNPJ 2</t>
  </si>
  <si>
    <t>CPF/CNPJ 3</t>
  </si>
  <si>
    <t>CPF/CNPJ 4</t>
  </si>
  <si>
    <t>CPF/CNPJ 5</t>
  </si>
  <si>
    <t>Numero de E-Cpf</t>
  </si>
  <si>
    <t>Valor  Líquido Solicitado</t>
  </si>
  <si>
    <t>Valor do Imóvel Secundário</t>
  </si>
  <si>
    <t>Tipo do Imovel</t>
  </si>
  <si>
    <t>Tipo Contrante</t>
  </si>
  <si>
    <t>Fixo mensal - Proponente 1</t>
  </si>
  <si>
    <t>Média Variável Proponente 1</t>
  </si>
  <si>
    <t>Mês 1 -  Proponente 1</t>
  </si>
  <si>
    <t>Mês 2 - Proponente 1</t>
  </si>
  <si>
    <t>Mês 3 -  Proponente 1</t>
  </si>
  <si>
    <t>Mês 4 -  Proponente 1</t>
  </si>
  <si>
    <t>Mês 5 -  Proponente 1</t>
  </si>
  <si>
    <t>Mês 6 -  Proponente 1</t>
  </si>
  <si>
    <t>Fixo mensal - Proponente 2</t>
  </si>
  <si>
    <t>Média Variável Proponente 2</t>
  </si>
  <si>
    <t>Mês 1 -  Proponente 2</t>
  </si>
  <si>
    <t>Mês 2 - Proponente 2</t>
  </si>
  <si>
    <t>Mês 3 -  Proponente 2</t>
  </si>
  <si>
    <t>Mês 4 -  Proponente 2</t>
  </si>
  <si>
    <t>Mês 5 -  Proponente 2</t>
  </si>
  <si>
    <t>Mês 6 -  Proponente 2</t>
  </si>
  <si>
    <t>Comp. Renda Atual</t>
  </si>
  <si>
    <t>Comp. Renda Política (máx. 35%)</t>
  </si>
  <si>
    <t>RATING</t>
  </si>
  <si>
    <t>% a.m.</t>
  </si>
  <si>
    <t xml:space="preserve">Quantidade de envolvidos na operação </t>
  </si>
  <si>
    <t xml:space="preserve">Estado civil </t>
  </si>
  <si>
    <t>Tempo</t>
  </si>
  <si>
    <t>Funcionário público</t>
  </si>
  <si>
    <t>Rating Cliente</t>
  </si>
  <si>
    <t>Pontuação cliente</t>
  </si>
  <si>
    <t>Prejuízo</t>
  </si>
  <si>
    <t>Localização garantia</t>
  </si>
  <si>
    <t xml:space="preserve">Cidade </t>
  </si>
  <si>
    <t>Rating Garantia Pontuação</t>
  </si>
  <si>
    <t xml:space="preserve">Rating Garantia </t>
  </si>
  <si>
    <t>Valor imóvel</t>
  </si>
  <si>
    <t>Crédito Pessoal - Proponente 1</t>
  </si>
  <si>
    <t>Vamos quitar - Crédito Pessoal - Proponente 1</t>
  </si>
  <si>
    <t>Crédito Pessoal s/ Consignação  - Proponente 1</t>
  </si>
  <si>
    <t>Vamos quitar  - Proponente 1</t>
  </si>
  <si>
    <t>Cheque especial  - Proponente 1</t>
  </si>
  <si>
    <t>Cartão de crédito  - Proponente 1</t>
  </si>
  <si>
    <t>Financiamento de Imóvel  - Proponente 1</t>
  </si>
  <si>
    <t>Financiamento de Automóvel  - Proponente 1</t>
  </si>
  <si>
    <t>Juridico  - Proponente 1</t>
  </si>
  <si>
    <t>Prejuízo   - Proponente 1</t>
  </si>
  <si>
    <t>Vencido   - Proponente 1</t>
  </si>
  <si>
    <t>Em dia   - Proponente 1</t>
  </si>
  <si>
    <t>Crédito Pessoal - Proponente 2</t>
  </si>
  <si>
    <t>Vamos quitar - Crédito Pessoal - Proponente 2</t>
  </si>
  <si>
    <t>Crédito Pessoal s/ Consignação  - Proponente 2</t>
  </si>
  <si>
    <t>Vamos quitar  - Proponente 2</t>
  </si>
  <si>
    <t>Cheque especial  - Proponente 2</t>
  </si>
  <si>
    <t>Cartão de crédito  - Proponente 2</t>
  </si>
  <si>
    <t>Financiamento de Imóvel  - Proponente 2</t>
  </si>
  <si>
    <t>Financiamento de Automóvel  - Proponente 2</t>
  </si>
  <si>
    <t>Juridico  - Proponente 2</t>
  </si>
  <si>
    <t>Prejuízo   - Proponente 2</t>
  </si>
  <si>
    <t>Vencido   - Proponente 2</t>
  </si>
  <si>
    <t>Em dia   - Proponente 2</t>
  </si>
  <si>
    <t>Crédito Pessoal - Proponente 3</t>
  </si>
  <si>
    <t>Vamos quitar - Crédito Pessoal - Proponente 3</t>
  </si>
  <si>
    <t>Crédito Pessoal s/ Consignação  - Proponente 3</t>
  </si>
  <si>
    <t>Vamos quitar  - Proponente 3</t>
  </si>
  <si>
    <t>Cheque especial  - Proponente 3</t>
  </si>
  <si>
    <t>Cartão de crédito  - Proponente 3</t>
  </si>
  <si>
    <t>Financiamento de Imóvel  - Proponente 3</t>
  </si>
  <si>
    <t>Financiamento de Automóvel  - Proponente 3</t>
  </si>
  <si>
    <t>Juridico  - Proponente 3</t>
  </si>
  <si>
    <t>Prejuízo   - Proponente 3</t>
  </si>
  <si>
    <t>Vencido   - Proponente 3</t>
  </si>
  <si>
    <t>Em dia   - Proponente 3</t>
  </si>
  <si>
    <t>Crédito Pessoal - Proponente 4</t>
  </si>
  <si>
    <t>Vamos quitar - Crédito Pessoal - Proponente 4</t>
  </si>
  <si>
    <t>Crédito Pessoal s/ Consignação  - Proponente 4</t>
  </si>
  <si>
    <t>Vamos quitar  - Proponente 4</t>
  </si>
  <si>
    <t>Cheque especial  - Proponente 4</t>
  </si>
  <si>
    <t>Cartão de crédito  - Proponente 4</t>
  </si>
  <si>
    <t>Financiamento de Imóvel  - Proponente 4</t>
  </si>
  <si>
    <t>Financiamento de Automóvel  - Proponente 4</t>
  </si>
  <si>
    <t>Juridico  - Proponente 4</t>
  </si>
  <si>
    <t>Prejuízo   - Proponente 4</t>
  </si>
  <si>
    <t>Vencido   - Proponente 4</t>
  </si>
  <si>
    <t>Em dia   - Proponente 4</t>
  </si>
  <si>
    <t>Crédito Pessoal - Proponente 5</t>
  </si>
  <si>
    <t>Vamos quitar - Crédito Pessoal - Proponente 5</t>
  </si>
  <si>
    <t>Crédito Pessoal s/ Consignação  - Proponente 5</t>
  </si>
  <si>
    <t>Vamos quitar  - Proponente 5</t>
  </si>
  <si>
    <t>Cheque especial  - Proponente 5</t>
  </si>
  <si>
    <t>Cartão de crédito  - Proponente 5</t>
  </si>
  <si>
    <t>Financiamento de Imóvel  - Proponente 5</t>
  </si>
  <si>
    <t>Financiamento de Automóvel  - Proponente 5</t>
  </si>
  <si>
    <t>Juridico  - Proponente 5</t>
  </si>
  <si>
    <t>Prejuízo   - Proponente 5</t>
  </si>
  <si>
    <t>Vencido   - Proponente 5</t>
  </si>
  <si>
    <t>Em dia   - Proponente 5</t>
  </si>
  <si>
    <t>Agora</t>
  </si>
  <si>
    <t>Home Equity ou Financiamento</t>
  </si>
  <si>
    <t>Imóvel está Alienado?</t>
  </si>
  <si>
    <t>Valor Original AF Existente</t>
  </si>
  <si>
    <t>Estado de conservação do imóvel</t>
  </si>
  <si>
    <t>NÃO ALTERAR O NOME DA PLANILHA</t>
  </si>
  <si>
    <t>Tipo de imóvel</t>
  </si>
  <si>
    <t>Nome da cidade</t>
  </si>
  <si>
    <t>Nome do bairro</t>
  </si>
  <si>
    <t>Se residencial Apartamento ou Casa?</t>
  </si>
  <si>
    <t>EXTRATO</t>
  </si>
  <si>
    <t>PROPONENTE 1</t>
  </si>
  <si>
    <t>Nome:</t>
  </si>
  <si>
    <t>PROPONENTE 2</t>
  </si>
  <si>
    <t>PROPONENTE 3</t>
  </si>
  <si>
    <t>PROPONENTE 4</t>
  </si>
  <si>
    <t>PROPONENTE 5</t>
  </si>
  <si>
    <t>Comentários:</t>
  </si>
  <si>
    <t>Holerite</t>
  </si>
  <si>
    <t>Politica</t>
  </si>
  <si>
    <t>Status</t>
  </si>
  <si>
    <t>Prejuizo/Vencido</t>
  </si>
  <si>
    <t>Averbação imóvel</t>
  </si>
  <si>
    <t>Comprometimento de renda</t>
  </si>
  <si>
    <t>Financiamento outros bens</t>
  </si>
  <si>
    <t>Adiantamentos a depositantes</t>
  </si>
  <si>
    <t>REFIN</t>
  </si>
  <si>
    <t xml:space="preserve">Olá! Tudo bem? </t>
  </si>
  <si>
    <t xml:space="preserve">Elaboramos essa proposta com todo carinho para você! </t>
  </si>
  <si>
    <t xml:space="preserve">Veja se ela não é a sua cara?! </t>
  </si>
  <si>
    <t>Valor bruto</t>
  </si>
  <si>
    <t>Taxa</t>
  </si>
  <si>
    <t>Prazo de pagamento (meses)</t>
  </si>
  <si>
    <t>Custo Efetivo Total (A.A.)</t>
  </si>
  <si>
    <t>Mês do ano sem pagar</t>
  </si>
  <si>
    <t>sac</t>
  </si>
  <si>
    <t>price</t>
  </si>
  <si>
    <r>
      <rPr>
        <b/>
        <i/>
        <u/>
        <sz val="9"/>
        <rFont val="Helvetica"/>
        <family val="2"/>
      </rPr>
      <t>Disclaimer</t>
    </r>
    <r>
      <rPr>
        <i/>
        <sz val="9"/>
        <rFont val="Helvetica"/>
        <family val="2"/>
      </rPr>
      <t>:</t>
    </r>
    <r>
      <rPr>
        <sz val="9"/>
        <rFont val="Helvetica"/>
        <family val="2"/>
      </rPr>
      <t xml:space="preserve"> Nosso time de crédito analisou os documentos enviados até a </t>
    </r>
    <r>
      <rPr>
        <b/>
        <sz val="9"/>
        <rFont val="Helvetica"/>
        <family val="2"/>
      </rPr>
      <t>presente data</t>
    </r>
    <r>
      <rPr>
        <sz val="9"/>
        <rFont val="Helvetica"/>
        <family val="2"/>
      </rPr>
      <t xml:space="preserve"> e fizemos esta proposta especialmente para você, levando em consideração três fatores: </t>
    </r>
    <r>
      <rPr>
        <b/>
        <sz val="9"/>
        <rFont val="Helvetica"/>
        <family val="2"/>
      </rPr>
      <t>endividamento, renda mensal e valor do imóvel</t>
    </r>
    <r>
      <rPr>
        <sz val="9"/>
        <rFont val="Helvetica"/>
        <family val="2"/>
      </rPr>
      <t>.  Mas, caso ocorra alguma mudança relevante em qualquer um dos pilares citados acima, esta proposta poderá passar por uma reanálise. Não existe </t>
    </r>
    <r>
      <rPr>
        <b/>
        <sz val="9"/>
        <rFont val="Helvetica"/>
        <family val="2"/>
      </rPr>
      <t>nenhuma obrigação</t>
    </r>
    <r>
      <rPr>
        <sz val="9"/>
        <rFont val="Helvetica"/>
        <family val="2"/>
      </rPr>
      <t> até a efetiva assinatura do contrato, apenas nosso comprometimento em buscar o melhor negócio pra você!</t>
    </r>
  </si>
  <si>
    <t>CARACTERÍSTICAS GERAIS</t>
  </si>
  <si>
    <t>VALORES DO IMÓVEL</t>
  </si>
  <si>
    <t>R$/m²</t>
  </si>
  <si>
    <t>Comentários Adicionais</t>
  </si>
  <si>
    <t>Endereço</t>
  </si>
  <si>
    <t>Valor Informado</t>
  </si>
  <si>
    <t>Valor Documento</t>
  </si>
  <si>
    <t>Complemento</t>
  </si>
  <si>
    <t>Valor Laudo</t>
  </si>
  <si>
    <t>Avaliador</t>
  </si>
  <si>
    <t>Área (Matrícula)</t>
  </si>
  <si>
    <t>m²</t>
  </si>
  <si>
    <t>Recente</t>
  </si>
  <si>
    <t>Valor Analista</t>
  </si>
  <si>
    <t>Área (IPTU)</t>
  </si>
  <si>
    <t>Limite inferior (-10%)</t>
  </si>
  <si>
    <t>Area Real</t>
  </si>
  <si>
    <t>Limite superior (+10%)</t>
  </si>
  <si>
    <t>Vagas</t>
  </si>
  <si>
    <t>Área Terreno</t>
  </si>
  <si>
    <t>PROPRIETÁRIOS</t>
  </si>
  <si>
    <t>INDICADORES DA ANÁLISE</t>
  </si>
  <si>
    <t>Nome</t>
  </si>
  <si>
    <t>Participação</t>
  </si>
  <si>
    <t>Registrado</t>
  </si>
  <si>
    <t>Unitário Médio Pedido (R$/m²)</t>
  </si>
  <si>
    <t>Cônjuge</t>
  </si>
  <si>
    <t>Nda</t>
  </si>
  <si>
    <t>Unitário Médio Ofertado (R$/m²)</t>
  </si>
  <si>
    <t>Irmã</t>
  </si>
  <si>
    <t>Unitário Máximo (R$/m²)</t>
  </si>
  <si>
    <t>Unitário Mínimo (R$/m²)</t>
  </si>
  <si>
    <t>Habitantes</t>
  </si>
  <si>
    <t>Classificação Cidades</t>
  </si>
  <si>
    <t>Política de Crédito</t>
  </si>
  <si>
    <t>Estados</t>
  </si>
  <si>
    <t>Desvio Padrão Médio (R$/m²)</t>
  </si>
  <si>
    <t>Até 200.000 habitantes</t>
  </si>
  <si>
    <t>Mínimo de 100.000 habitantes</t>
  </si>
  <si>
    <t>200.000 até 500.000 habitantes</t>
  </si>
  <si>
    <t>Mínimo de 200.000 habitantes</t>
  </si>
  <si>
    <t>RJ, MG, DF, PR, SC</t>
  </si>
  <si>
    <t>PENDÊNCIAS</t>
  </si>
  <si>
    <t>Mais de 500.000 habitantes</t>
  </si>
  <si>
    <t>Mínimo de 300.000 habitantes</t>
  </si>
  <si>
    <t>RS, MT, MS, GO, BA, PE, CE</t>
  </si>
  <si>
    <t>CÁLCULOS</t>
  </si>
  <si>
    <t>Alienação Fiduciária</t>
  </si>
  <si>
    <t>Mínnimo de 500.000 habitantes</t>
  </si>
  <si>
    <t>Outros Estados</t>
  </si>
  <si>
    <t>Valor original</t>
  </si>
  <si>
    <t>Vida Útil</t>
  </si>
  <si>
    <t>Saldo</t>
  </si>
  <si>
    <t>Término da Construção</t>
  </si>
  <si>
    <t>Outras</t>
  </si>
  <si>
    <t>Idade aparente</t>
  </si>
  <si>
    <t>Estado de Conservação</t>
  </si>
  <si>
    <t>Classe</t>
  </si>
  <si>
    <t>Padrão</t>
  </si>
  <si>
    <t>MÉTODO COMPARATIVO DIRETO - CÁLCULO DO VALOR DE VENDA</t>
  </si>
  <si>
    <t>Usar? S / N</t>
  </si>
  <si>
    <t>Nº</t>
  </si>
  <si>
    <t>Edifício</t>
  </si>
  <si>
    <t>Andar/ Conj./ Sala</t>
  </si>
  <si>
    <t>Área Terreno (m²)</t>
  </si>
  <si>
    <t>Área Privativa (m²)</t>
  </si>
  <si>
    <t>Relação de vagas/m²</t>
  </si>
  <si>
    <t>Valor médio de vagas</t>
  </si>
  <si>
    <t>Preço pedido</t>
  </si>
  <si>
    <t>Condição de negociação</t>
  </si>
  <si>
    <t>Observações</t>
  </si>
  <si>
    <t>Outras informações (p/m²)</t>
  </si>
  <si>
    <t>Fonte de Informação</t>
  </si>
  <si>
    <t>Término da  construção</t>
  </si>
  <si>
    <t>Conservação</t>
  </si>
  <si>
    <t>FATORES DE DEPRECIAÇÃO</t>
  </si>
  <si>
    <t>Relative depreciation Factor</t>
  </si>
  <si>
    <t>Homogeneização</t>
  </si>
  <si>
    <t>Fator total</t>
  </si>
  <si>
    <t>Valor homog.</t>
  </si>
  <si>
    <t>Valor saneado</t>
  </si>
  <si>
    <t>Total sem vagas</t>
  </si>
  <si>
    <t>Unitário sem vagas</t>
  </si>
  <si>
    <t>Fator Oferta</t>
  </si>
  <si>
    <t>Unitário ajustado com vagas</t>
  </si>
  <si>
    <t>Unitário ajustado sem vagas</t>
  </si>
  <si>
    <t>IPTU</t>
  </si>
  <si>
    <t>Cond.</t>
  </si>
  <si>
    <t>Email</t>
  </si>
  <si>
    <t>Age in % of lifetime</t>
  </si>
  <si>
    <t>Coeficient "C"</t>
  </si>
  <si>
    <t>Factor "K"</t>
  </si>
  <si>
    <t>Absolute Deprec.</t>
  </si>
  <si>
    <t>Local</t>
  </si>
  <si>
    <t>Idade / conserv.</t>
  </si>
  <si>
    <t>Tamanho</t>
  </si>
  <si>
    <t>Avaliando</t>
  </si>
  <si>
    <t>Utilizar Fator?</t>
  </si>
  <si>
    <t>desconsiderar vagas na homogeneização?</t>
  </si>
  <si>
    <t>GRAU DE PRECISÃO</t>
  </si>
  <si>
    <t>Comparativos</t>
  </si>
  <si>
    <t xml:space="preserve">DADOS </t>
  </si>
  <si>
    <t>ESTATíSTICAS BÁSICAS</t>
  </si>
  <si>
    <t>N</t>
  </si>
  <si>
    <t>Oferta</t>
  </si>
  <si>
    <t>X   =</t>
  </si>
  <si>
    <t>n    =</t>
  </si>
  <si>
    <t>S   =</t>
  </si>
  <si>
    <t>tp   =</t>
  </si>
  <si>
    <t>CV =</t>
  </si>
  <si>
    <t>Rua</t>
  </si>
  <si>
    <t>d/s =</t>
  </si>
  <si>
    <t>X1   =</t>
  </si>
  <si>
    <t>TESTE DE CHAUVENET</t>
  </si>
  <si>
    <t>El.Superior</t>
  </si>
  <si>
    <t>El.Inferior</t>
  </si>
  <si>
    <t>LIMITES DE CONFIANÇA</t>
  </si>
  <si>
    <t>AMPLITUDE DO INTERVALO</t>
  </si>
  <si>
    <t>LCmáx =</t>
  </si>
  <si>
    <t>LCmín  =</t>
  </si>
  <si>
    <t>Grau de Precisão</t>
  </si>
  <si>
    <t>D/S</t>
  </si>
  <si>
    <t>TP</t>
  </si>
  <si>
    <t>STATE COEFICIENT - "C"</t>
  </si>
  <si>
    <t>Média aritmética</t>
  </si>
  <si>
    <t>p/m²</t>
  </si>
  <si>
    <t>Telefone</t>
  </si>
  <si>
    <t>Valor mensalista</t>
  </si>
  <si>
    <t>Observação</t>
  </si>
  <si>
    <t>New</t>
  </si>
  <si>
    <t xml:space="preserve">between New  and Regular </t>
  </si>
  <si>
    <t>Área construída</t>
  </si>
  <si>
    <t>between  Regular and simple repairs</t>
  </si>
  <si>
    <t>Média saneada</t>
  </si>
  <si>
    <t>Comparativos de Vaga</t>
  </si>
  <si>
    <t>Simple repairs</t>
  </si>
  <si>
    <t>Limite inferior</t>
  </si>
  <si>
    <t>s/ noturno</t>
  </si>
  <si>
    <t>F</t>
  </si>
  <si>
    <t>between important and simple repairs</t>
  </si>
  <si>
    <t>Limite superior</t>
  </si>
  <si>
    <t>mensalista até 18hs</t>
  </si>
  <si>
    <t>G</t>
  </si>
  <si>
    <t>important repairs</t>
  </si>
  <si>
    <t>para carros pequenos</t>
  </si>
  <si>
    <t>H</t>
  </si>
  <si>
    <t>between important repairs and no construction value</t>
  </si>
  <si>
    <t>I</t>
  </si>
  <si>
    <t>no construction value</t>
  </si>
  <si>
    <t>Valor mínimo</t>
  </si>
  <si>
    <t>Valor máximo</t>
  </si>
  <si>
    <t>Loja</t>
  </si>
  <si>
    <t>Valor das Vagas</t>
  </si>
  <si>
    <t>Valor total com vagas</t>
  </si>
  <si>
    <t>Cap Rate:</t>
  </si>
  <si>
    <t>Valor unitário com vagas</t>
  </si>
  <si>
    <t>Valor de venda de vagas:</t>
  </si>
  <si>
    <t>Tomador</t>
  </si>
  <si>
    <t>Irmão</t>
  </si>
  <si>
    <t>Pai</t>
  </si>
  <si>
    <t>Mãe</t>
  </si>
  <si>
    <t>Companheiro</t>
  </si>
  <si>
    <t>Proprietário do imóvel</t>
  </si>
  <si>
    <t>Romilton Cioletti</t>
  </si>
  <si>
    <t>001.950.786-08</t>
  </si>
  <si>
    <t>https://app.pipefy.com/open-cards/456804238</t>
  </si>
  <si>
    <t>Ana Carolina Resende Gomes Cioletti</t>
  </si>
  <si>
    <t>012.902.766-92</t>
  </si>
  <si>
    <t>Rua Dona Carmem, 89</t>
  </si>
  <si>
    <t>Unidade 604</t>
  </si>
  <si>
    <t>Belo Horizonte</t>
  </si>
  <si>
    <t>Santa Terezinha</t>
  </si>
  <si>
    <t>29.480.249/0001-23</t>
  </si>
  <si>
    <t>Casa Pleno Imoveis Ltda ME</t>
  </si>
  <si>
    <t xml:space="preserve">O cliente é assalariado, atua como gerente administrativo na empres BLW CONSTRUTUTORA E INCORPORADORA EIRELI, com admissão em 2014. Apresentou holerites de julho a fevereiro. Também recebe entradas mensais (apuradas dos extratos BB) de 10k referentes à atividade da PJ (corretagem na compra e venda e avaliação de imóveis; gestão e administração de propriedade imobiliária). </t>
  </si>
  <si>
    <t>Rodrigo Pimenta Parreira</t>
  </si>
  <si>
    <t>Ronaldo Gonçalves da Silva</t>
  </si>
  <si>
    <t>Rua Dona Carmen</t>
  </si>
  <si>
    <t>https://www.vivareal.com.br/imovel/apartamento-2-quartos-santa-terezinha-bairros-belo-horizonte-com-garagem-110m2-venda-RS380000-id-2522934898/</t>
  </si>
  <si>
    <t>https://www.vivareal.com.br/imovel/apartamento-2-quartos-santa-terezinha-bairros-belo-horizonte-com-garagem-130m2-venda-RS390000-id-2537034220/</t>
  </si>
  <si>
    <t>Rua Castelo de Abrantes</t>
  </si>
  <si>
    <t>https://www.vivareal.com.br/imovel/cobertura-2-quartos-castelo-bairros-belo-horizonte-com-garagem-112m2-venda-RS400000-id-2551884302/</t>
  </si>
  <si>
    <t>mg</t>
  </si>
  <si>
    <t>https://www.vivareal.com.br/imovel/cobertura-2-quartos-santa-terezinha-bairros-belo-horizonte-com-garagem-120m2-venda-RS520000-id-2549379452/</t>
  </si>
  <si>
    <t>https://www.vivareal.com.br/imovel/cobertura-2-quartos-santa-terezinha-bairros-belo-horizonte-com-garagem-144m2-venda-RS600000-id-2510796326/</t>
  </si>
  <si>
    <t>S</t>
  </si>
  <si>
    <t>O imóvel é um apartamento (cobertura) localizado no bairro Santa Terezinha, a aprox. 16km do centro de Belo Horizonte/MG. Trata-se de uma construção recente (03/2022), com alto padrão de construção na parte interna. Fica numa região predominantemente residencial, porém conta com comércios, UBS e UPA, escolas, praças, entre outros. Fica a 3,6km do Zoológico e Jardim Botânico de BH, a 4km do Parque Ecológico da Pampulha e a 6km do Mineirão.</t>
  </si>
  <si>
    <t>O Romilton e a Ana são casados com com comunhão parcial de bens. Somente o Romilton entrará com renda na operação. O cliente é assalariado, atua como gerente administrativo na empres BLW CONSTRUTUTORA E INCORPORADORA EIRELI e recebe entradas mensais referentes à atividade da PJ (Casa Pleno Imoveis Ltda ME). Comprovou renda via holerites e extratos. Endividamento de ambos é mediano. Entretanto, a Carolina possui vencidos. A PJ Casa Pleno possui alto endividamento, porém considerei apenas 33%, dado que essa é a participação do cliente na empresa. Score alto do Romilton (934) e baixo da Ana (268), ambos sem pendências.</t>
  </si>
  <si>
    <t>Valor Líquido: R$ 270.000,00
SAC - c/ ITBI - 360 meses - 1 mês de carência
Valor bruto da operação: R$ 299.726,00
LTV bruto: 75,47%
Comprometimento de Renda: 14,73%
Taxa: 0,68% (A-)</t>
  </si>
  <si>
    <t xml:space="preserve">DATA DA PROPOSTA: 05 JUL 2022 </t>
  </si>
  <si>
    <t>Taxa de Abertura de Cadastro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</si>
</sst>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7">
    <numFmt numFmtId="5" formatCode="&quot;R$&quot;\ #,##0;\-&quot;R$&quot;\ #,##0"/>
    <numFmt numFmtId="7" formatCode="&quot;R$&quot;\ #,##0.00;\-&quot;R$&quot;\ #,##0.00"/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.0%"/>
    <numFmt numFmtId="165" formatCode="_-[$R$-416]\ * #,##0.00_-;\-[$R$-416]\ * #,##0.00_-;_-[$R$-416]\ * &quot;-&quot;??_-;_-@_-"/>
    <numFmt numFmtId="166" formatCode="0.0"/>
    <numFmt numFmtId="167" formatCode="[$-416]mmm\-yy;@"/>
    <numFmt numFmtId="168" formatCode="_-[$R$-416]\ * #,##0_-;\-[$R$-416]\ * #,##0_-;_-[$R$-416]\ * &quot;-&quot;??_-;_-@_-"/>
    <numFmt numFmtId="169" formatCode="0.000%"/>
    <numFmt numFmtId="170" formatCode="&quot;R$&quot;\ #,##0.00"/>
    <numFmt numFmtId="171" formatCode="&quot;R$&quot;\ #,##0.000"/>
    <numFmt numFmtId="172" formatCode="#,##0;\(#,##0\);&quot;-&quot;;@"/>
    <numFmt numFmtId="173" formatCode="_(* #,##0.00_);_(* \(#,##0.00\);_(* &quot;-&quot;??_);_(@_)"/>
    <numFmt numFmtId="174" formatCode="#,##0.00;[Red]#,##0.00"/>
    <numFmt numFmtId="175" formatCode="_-&quot;R$&quot;\ * #,##0.00_-;\-&quot;R$&quot;\ * #,##0.00_-;_-&quot;R$&quot;\ * &quot;-&quot;????_-;_-@_-"/>
    <numFmt numFmtId="176" formatCode="0.0000%"/>
    <numFmt numFmtId="177" formatCode="_-[$R$-416]\ * #,##0.00_-;\-[$R$-416]\ * #,##0.00_-;_-[$R$-416]\ * &quot;-&quot;????_-;_-@_-"/>
    <numFmt numFmtId="178" formatCode="_-* #,##0_-;\-* #,##0_-;_-* &quot;-&quot;??_-;_-@_-"/>
    <numFmt numFmtId="179" formatCode="_-&quot;R$&quot;\ * #,##0_-;\-&quot;R$&quot;\ * #,##0_-;_-&quot;R$&quot;\ * &quot;-&quot;??_-;_-@_-"/>
    <numFmt numFmtId="180" formatCode="0.000000000%"/>
    <numFmt numFmtId="181" formatCode="[$R$-416]\ #,##0.00;\-[$R$-416]\ #,##0.00"/>
    <numFmt numFmtId="182" formatCode="#,##0.0;\-#,##0.0"/>
    <numFmt numFmtId="183" formatCode="&quot;R$ &quot;#,##0.00"/>
    <numFmt numFmtId="184" formatCode="&quot;R$ &quot;#,##0"/>
    <numFmt numFmtId="185" formatCode="#,##0.00_ ;\-#,##0.00\ "/>
    <numFmt numFmtId="186" formatCode="#,##0.0_);\(#,##0.0\)"/>
    <numFmt numFmtId="187" formatCode="&quot;R$ &quot;#,##0.00_);[Red]\(&quot;R$ &quot;#,##0.00\)"/>
    <numFmt numFmtId="188" formatCode="_(&quot;R$&quot;* #,##0.00_);_(&quot;R$&quot;* \(#,##0.00\);_(&quot;R$&quot;* &quot;-&quot;??_);_(@_)"/>
    <numFmt numFmtId="189" formatCode="#,##0.00_);\(#,##0.00\)"/>
    <numFmt numFmtId="190" formatCode="_(* #,##0_);_(* \(#,##0\);_(* &quot;-&quot;??_);_(@_)"/>
    <numFmt numFmtId="191" formatCode="&quot;R$ &quot;#,##0.00;[Red]&quot;R$ &quot;#,##0.00"/>
    <numFmt numFmtId="192" formatCode="0_);\(0\)"/>
    <numFmt numFmtId="193" formatCode="&quot;R$&quot;\ #,##0"/>
    <numFmt numFmtId="194" formatCode="_(&quot;R$ &quot;* #,##0.00_);_(&quot;R$ &quot;* \(#,##0.00\);_(&quot;R$ &quot;* &quot;-&quot;??_);_(@_)"/>
    <numFmt numFmtId="195" formatCode="&quot;R$ &quot;#,##0.00_);\(&quot;R$ &quot;#,##0.00\)"/>
  </numFmts>
  <fonts count="107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9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b/>
      <sz val="9"/>
      <color rgb="FF0070C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name val="Calibri"/>
      <family val="2"/>
      <scheme val="minor"/>
    </font>
    <font>
      <sz val="10"/>
      <color rgb="FF0070C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2060"/>
      <name val="Calibri"/>
      <family val="2"/>
      <scheme val="minor"/>
    </font>
    <font>
      <b/>
      <sz val="10"/>
      <color rgb="FF002060"/>
      <name val="Calibri"/>
      <family val="2"/>
      <scheme val="minor"/>
    </font>
    <font>
      <sz val="11"/>
      <name val="Calibri"/>
      <family val="2"/>
    </font>
    <font>
      <b/>
      <sz val="12"/>
      <color rgb="FF092147"/>
      <name val="Arial"/>
      <family val="2"/>
    </font>
    <font>
      <b/>
      <sz val="9"/>
      <color rgb="FF092147"/>
      <name val="Arial"/>
      <family val="2"/>
    </font>
    <font>
      <sz val="9"/>
      <color rgb="FF092147"/>
      <name val="Arial"/>
      <family val="2"/>
    </font>
    <font>
      <b/>
      <sz val="11"/>
      <color theme="0"/>
      <name val="Calibri"/>
      <family val="2"/>
    </font>
    <font>
      <sz val="10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Helvetica"/>
      <family val="2"/>
    </font>
    <font>
      <b/>
      <sz val="11"/>
      <color theme="0"/>
      <name val="Helvetica"/>
      <family val="2"/>
    </font>
    <font>
      <sz val="11"/>
      <color theme="0"/>
      <name val="Helvetica"/>
      <family val="2"/>
    </font>
    <font>
      <b/>
      <sz val="11"/>
      <color theme="1"/>
      <name val="Helvetica"/>
      <family val="2"/>
    </font>
    <font>
      <b/>
      <sz val="16"/>
      <color theme="0"/>
      <name val="Helvetica"/>
      <family val="2"/>
    </font>
    <font>
      <b/>
      <sz val="12"/>
      <color theme="0"/>
      <name val="Helvetica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8"/>
      <color rgb="FF092147"/>
      <name val="Arial"/>
      <family val="2"/>
    </font>
    <font>
      <sz val="8"/>
      <color rgb="FF092147"/>
      <name val="Arial"/>
      <family val="2"/>
    </font>
    <font>
      <b/>
      <sz val="11"/>
      <color theme="0"/>
      <name val="Calibri"/>
      <family val="2"/>
      <scheme val="minor"/>
    </font>
    <font>
      <b/>
      <i/>
      <u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theme="0"/>
      <name val="Calibri"/>
      <family val="2"/>
    </font>
    <font>
      <sz val="12"/>
      <color theme="0"/>
      <name val="Calibri"/>
      <family val="2"/>
      <scheme val="minor"/>
    </font>
    <font>
      <b/>
      <sz val="14"/>
      <color theme="0"/>
      <name val="Helvetica"/>
      <family val="2"/>
    </font>
    <font>
      <b/>
      <sz val="11"/>
      <color rgb="FF5C3B6B"/>
      <name val="Helvetica"/>
      <family val="2"/>
    </font>
    <font>
      <sz val="11"/>
      <color rgb="FF5C3B6B"/>
      <name val="Helvetica"/>
      <family val="2"/>
    </font>
    <font>
      <b/>
      <sz val="22"/>
      <color theme="1" tint="0.14999847407452621"/>
      <name val="Helvetica"/>
      <family val="2"/>
    </font>
    <font>
      <sz val="11"/>
      <color theme="1" tint="0.14999847407452621"/>
      <name val="Helvetica"/>
      <family val="2"/>
    </font>
    <font>
      <sz val="16"/>
      <color theme="1" tint="0.14999847407452621"/>
      <name val="Helvetica"/>
      <family val="2"/>
    </font>
    <font>
      <sz val="16"/>
      <color rgb="FF050230"/>
      <name val="Helvetica"/>
      <family val="2"/>
    </font>
    <font>
      <b/>
      <sz val="12"/>
      <color theme="1" tint="0.14999847407452621"/>
      <name val="Helvetica"/>
      <family val="2"/>
    </font>
    <font>
      <b/>
      <sz val="10"/>
      <color rgb="FFFF0000"/>
      <name val="Helvetica"/>
      <family val="2"/>
    </font>
    <font>
      <sz val="9"/>
      <name val="Helvetica"/>
      <family val="2"/>
    </font>
    <font>
      <b/>
      <i/>
      <u/>
      <sz val="9"/>
      <name val="Helvetica"/>
      <family val="2"/>
    </font>
    <font>
      <i/>
      <sz val="9"/>
      <name val="Helvetica"/>
      <family val="2"/>
    </font>
    <font>
      <b/>
      <sz val="9"/>
      <name val="Helvetica"/>
      <family val="2"/>
    </font>
    <font>
      <sz val="12"/>
      <name val="Arial Narrow"/>
      <family val="2"/>
    </font>
    <font>
      <sz val="10"/>
      <name val="Arial Narrow"/>
      <family val="2"/>
    </font>
    <font>
      <b/>
      <sz val="12"/>
      <color rgb="FFFF0000"/>
      <name val="Arial Narrow"/>
      <family val="2"/>
    </font>
    <font>
      <b/>
      <sz val="12"/>
      <name val="Arial Narrow"/>
      <family val="2"/>
    </font>
    <font>
      <b/>
      <sz val="10"/>
      <color indexed="9"/>
      <name val="Arial Narrow"/>
      <family val="2"/>
    </font>
    <font>
      <b/>
      <sz val="10"/>
      <name val="Arial Narrow"/>
      <family val="2"/>
    </font>
    <font>
      <sz val="10"/>
      <color indexed="8"/>
      <name val="Arial Narrow"/>
      <family val="2"/>
    </font>
    <font>
      <b/>
      <sz val="12"/>
      <name val="Calibri"/>
      <family val="2"/>
      <scheme val="minor"/>
    </font>
    <font>
      <b/>
      <sz val="10"/>
      <color theme="0"/>
      <name val="Arial Narrow"/>
      <family val="2"/>
    </font>
    <font>
      <sz val="11"/>
      <name val="Arial Narrow"/>
      <family val="2"/>
    </font>
    <font>
      <b/>
      <sz val="11"/>
      <name val="Arial Narrow"/>
      <family val="2"/>
    </font>
    <font>
      <b/>
      <sz val="11"/>
      <color indexed="9"/>
      <name val="Arial Narrow"/>
      <family val="2"/>
    </font>
    <font>
      <sz val="11"/>
      <color indexed="8"/>
      <name val="Arial Narrow"/>
      <family val="2"/>
    </font>
    <font>
      <sz val="11"/>
      <name val="Calibri "/>
    </font>
    <font>
      <b/>
      <sz val="11"/>
      <color indexed="9"/>
      <name val="Calibri "/>
    </font>
    <font>
      <b/>
      <sz val="11"/>
      <name val="Calibri "/>
    </font>
    <font>
      <sz val="11"/>
      <color indexed="9"/>
      <name val="Calibri "/>
    </font>
    <font>
      <b/>
      <sz val="11"/>
      <color theme="0"/>
      <name val="Calibri "/>
    </font>
    <font>
      <sz val="11"/>
      <color theme="0"/>
      <name val="Calibri "/>
    </font>
    <font>
      <b/>
      <sz val="11"/>
      <color indexed="8"/>
      <name val="Calibri "/>
    </font>
    <font>
      <sz val="11"/>
      <color indexed="8"/>
      <name val="Calibri "/>
    </font>
    <font>
      <b/>
      <strike/>
      <sz val="11"/>
      <name val="Calibri "/>
    </font>
    <font>
      <strike/>
      <sz val="11"/>
      <name val="Calibri "/>
    </font>
    <font>
      <strike/>
      <sz val="11"/>
      <name val="Arial Narrow"/>
      <family val="2"/>
    </font>
    <font>
      <b/>
      <sz val="10"/>
      <name val="Calibri "/>
    </font>
    <font>
      <sz val="10"/>
      <name val="Calibri "/>
    </font>
    <font>
      <sz val="11"/>
      <color indexed="59"/>
      <name val="Calibri "/>
    </font>
    <font>
      <sz val="10"/>
      <name val="Garamond"/>
      <family val="1"/>
    </font>
    <font>
      <b/>
      <sz val="10"/>
      <color indexed="9"/>
      <name val="Calibri "/>
    </font>
    <font>
      <sz val="10"/>
      <color indexed="9"/>
      <name val="Calibri "/>
    </font>
    <font>
      <b/>
      <sz val="10"/>
      <color indexed="8"/>
      <name val="Calibri "/>
    </font>
    <font>
      <b/>
      <sz val="10"/>
      <color theme="0"/>
      <name val="Calibri "/>
    </font>
    <font>
      <sz val="10"/>
      <color theme="0"/>
      <name val="Calibri "/>
    </font>
    <font>
      <sz val="10"/>
      <color indexed="8"/>
      <name val="Calibri "/>
    </font>
    <font>
      <b/>
      <sz val="11"/>
      <color rgb="FFFF0000"/>
      <name val="Calibri "/>
    </font>
    <font>
      <sz val="11"/>
      <color indexed="10"/>
      <name val="Calibri "/>
    </font>
    <font>
      <sz val="12"/>
      <name val="Arial"/>
      <family val="2"/>
    </font>
    <font>
      <b/>
      <sz val="9"/>
      <color theme="1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E3E7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A461A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7E7E7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3E566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4DBCC6"/>
        <bgColor indexed="64"/>
      </patternFill>
    </fill>
    <fill>
      <patternFill patternType="solid">
        <fgColor rgb="FFDBCB84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rgb="FF3C3C3B"/>
        <bgColor indexed="64"/>
      </patternFill>
    </fill>
    <fill>
      <patternFill patternType="solid">
        <fgColor rgb="FF9D9D9C"/>
        <bgColor indexed="64"/>
      </patternFill>
    </fill>
  </fills>
  <borders count="9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mediumDashed">
        <color indexed="64"/>
      </left>
      <right/>
      <top style="mediumDashed">
        <color indexed="64"/>
      </top>
      <bottom/>
      <diagonal/>
    </border>
    <border>
      <left/>
      <right/>
      <top style="mediumDashed">
        <color indexed="64"/>
      </top>
      <bottom/>
      <diagonal/>
    </border>
    <border>
      <left/>
      <right style="mediumDashed">
        <color indexed="64"/>
      </right>
      <top style="mediumDashed">
        <color indexed="64"/>
      </top>
      <bottom/>
      <diagonal/>
    </border>
    <border>
      <left style="mediumDashed">
        <color indexed="64"/>
      </left>
      <right/>
      <top/>
      <bottom/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 style="mediumDashed">
        <color indexed="64"/>
      </bottom>
      <diagonal/>
    </border>
    <border>
      <left/>
      <right/>
      <top/>
      <bottom style="mediumDashed">
        <color indexed="64"/>
      </bottom>
      <diagonal/>
    </border>
    <border>
      <left/>
      <right style="mediumDashed">
        <color indexed="64"/>
      </right>
      <top/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/>
      <top/>
      <bottom/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rgb="FFA461A3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ck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/>
      <top style="thin">
        <color theme="0"/>
      </top>
      <bottom style="thin">
        <color theme="1"/>
      </bottom>
      <diagonal/>
    </border>
    <border>
      <left/>
      <right/>
      <top style="thin">
        <color theme="0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indexed="9"/>
      </bottom>
      <diagonal/>
    </border>
    <border>
      <left/>
      <right/>
      <top/>
      <bottom style="medium">
        <color indexed="9"/>
      </bottom>
      <diagonal/>
    </border>
    <border>
      <left/>
      <right/>
      <top style="thin">
        <color indexed="9"/>
      </top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9"/>
      </top>
      <bottom style="thin">
        <color theme="0"/>
      </bottom>
      <diagonal/>
    </border>
    <border>
      <left/>
      <right/>
      <top style="medium">
        <color indexed="9"/>
      </top>
      <bottom/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36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11" fillId="0" borderId="0"/>
    <xf numFmtId="0" fontId="20" fillId="0" borderId="0"/>
    <xf numFmtId="0" fontId="1" fillId="0" borderId="0"/>
    <xf numFmtId="0" fontId="24" fillId="13" borderId="0" applyProtection="0">
      <alignment horizontal="left" vertical="center"/>
    </xf>
    <xf numFmtId="0" fontId="24" fillId="14" borderId="0" applyProtection="0">
      <alignment horizontal="left" vertical="center"/>
    </xf>
    <xf numFmtId="0" fontId="20" fillId="5" borderId="15" applyNumberFormat="0" applyFont="0" applyAlignment="0" applyProtection="0"/>
    <xf numFmtId="172" fontId="20" fillId="4" borderId="0" applyFont="0" applyFill="0" applyBorder="0" applyAlignment="0" applyProtection="0"/>
    <xf numFmtId="0" fontId="1" fillId="19" borderId="36" applyNumberFormat="0" applyFont="0" applyAlignment="0" applyProtection="0"/>
    <xf numFmtId="0" fontId="45" fillId="0" borderId="0" applyNumberForma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173" fontId="11" fillId="0" borderId="0" applyFont="0" applyFill="0" applyBorder="0" applyAlignment="0" applyProtection="0"/>
    <xf numFmtId="0" fontId="11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17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1" fillId="0" borderId="0"/>
    <xf numFmtId="188" fontId="11" fillId="0" borderId="0" applyFont="0" applyFill="0" applyBorder="0" applyAlignment="0" applyProtection="0"/>
    <xf numFmtId="188" fontId="11" fillId="0" borderId="0" applyFont="0" applyFill="0" applyBorder="0" applyAlignment="0" applyProtection="0"/>
    <xf numFmtId="0" fontId="96" fillId="0" borderId="0"/>
    <xf numFmtId="0" fontId="11" fillId="0" borderId="0"/>
    <xf numFmtId="194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0" fontId="105" fillId="0" borderId="0"/>
  </cellStyleXfs>
  <cellXfs count="800">
    <xf numFmtId="0" fontId="0" fillId="0" borderId="0" xfId="0"/>
    <xf numFmtId="0" fontId="0" fillId="0" borderId="0" xfId="0" applyAlignment="1">
      <alignment horizontal="center"/>
    </xf>
    <xf numFmtId="165" fontId="5" fillId="0" borderId="0" xfId="0" applyNumberFormat="1" applyFont="1" applyAlignment="1">
      <alignment horizontal="center" vertical="center"/>
    </xf>
    <xf numFmtId="0" fontId="5" fillId="4" borderId="0" xfId="0" applyFont="1" applyFill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0" borderId="3" xfId="0" applyBorder="1" applyAlignment="1">
      <alignment horizontal="centerContinuous"/>
    </xf>
    <xf numFmtId="0" fontId="0" fillId="0" borderId="0" xfId="0" applyAlignment="1">
      <alignment horizontal="centerContinuous"/>
    </xf>
    <xf numFmtId="0" fontId="3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Continuous"/>
    </xf>
    <xf numFmtId="9" fontId="5" fillId="0" borderId="0" xfId="0" applyNumberFormat="1" applyFont="1" applyAlignment="1">
      <alignment horizontal="center"/>
    </xf>
    <xf numFmtId="0" fontId="15" fillId="0" borderId="0" xfId="0" applyFont="1" applyAlignment="1">
      <alignment horizontal="center" vertical="center" wrapText="1"/>
    </xf>
    <xf numFmtId="1" fontId="5" fillId="0" borderId="0" xfId="0" applyNumberFormat="1" applyFont="1" applyAlignment="1">
      <alignment horizontal="center"/>
    </xf>
    <xf numFmtId="0" fontId="5" fillId="0" borderId="0" xfId="0" applyFont="1" applyAlignment="1">
      <alignment horizontal="centerContinuous"/>
    </xf>
    <xf numFmtId="0" fontId="17" fillId="0" borderId="0" xfId="0" applyFont="1" applyAlignment="1">
      <alignment horizontal="centerContinuous"/>
    </xf>
    <xf numFmtId="0" fontId="5" fillId="0" borderId="9" xfId="0" applyFont="1" applyBorder="1" applyAlignment="1">
      <alignment horizontal="center"/>
    </xf>
    <xf numFmtId="165" fontId="5" fillId="0" borderId="8" xfId="1" applyNumberFormat="1" applyFont="1" applyBorder="1" applyAlignment="1">
      <alignment horizontal="center" vertical="center"/>
    </xf>
    <xf numFmtId="0" fontId="5" fillId="6" borderId="6" xfId="0" applyFont="1" applyFill="1" applyBorder="1" applyAlignment="1">
      <alignment horizontal="center"/>
    </xf>
    <xf numFmtId="43" fontId="5" fillId="6" borderId="5" xfId="0" applyNumberFormat="1" applyFont="1" applyFill="1" applyBorder="1" applyAlignment="1">
      <alignment horizontal="center" vertical="center"/>
    </xf>
    <xf numFmtId="165" fontId="0" fillId="0" borderId="0" xfId="0" applyNumberFormat="1"/>
    <xf numFmtId="0" fontId="5" fillId="0" borderId="6" xfId="0" applyFont="1" applyBorder="1" applyAlignment="1">
      <alignment horizontal="center"/>
    </xf>
    <xf numFmtId="165" fontId="5" fillId="0" borderId="5" xfId="0" applyNumberFormat="1" applyFont="1" applyBorder="1" applyAlignment="1">
      <alignment horizontal="center"/>
    </xf>
    <xf numFmtId="165" fontId="5" fillId="0" borderId="0" xfId="0" applyNumberFormat="1" applyFont="1"/>
    <xf numFmtId="10" fontId="0" fillId="0" borderId="0" xfId="0" applyNumberFormat="1"/>
    <xf numFmtId="165" fontId="5" fillId="6" borderId="5" xfId="0" applyNumberFormat="1" applyFont="1" applyFill="1" applyBorder="1" applyAlignment="1">
      <alignment horizontal="center" vertical="center"/>
    </xf>
    <xf numFmtId="165" fontId="5" fillId="0" borderId="5" xfId="1" applyNumberFormat="1" applyFont="1" applyBorder="1" applyAlignment="1">
      <alignment horizontal="center" vertical="center"/>
    </xf>
    <xf numFmtId="168" fontId="5" fillId="0" borderId="0" xfId="0" applyNumberFormat="1" applyFont="1"/>
    <xf numFmtId="165" fontId="5" fillId="6" borderId="5" xfId="1" applyNumberFormat="1" applyFont="1" applyFill="1" applyBorder="1" applyAlignment="1">
      <alignment horizontal="center" vertical="center"/>
    </xf>
    <xf numFmtId="10" fontId="5" fillId="0" borderId="0" xfId="0" applyNumberFormat="1" applyFont="1"/>
    <xf numFmtId="0" fontId="5" fillId="0" borderId="5" xfId="0" applyFont="1" applyBorder="1" applyAlignment="1">
      <alignment horizontal="center"/>
    </xf>
    <xf numFmtId="43" fontId="0" fillId="0" borderId="0" xfId="0" applyNumberFormat="1"/>
    <xf numFmtId="10" fontId="5" fillId="6" borderId="5" xfId="0" applyNumberFormat="1" applyFont="1" applyFill="1" applyBorder="1" applyAlignment="1">
      <alignment horizontal="center"/>
    </xf>
    <xf numFmtId="8" fontId="5" fillId="0" borderId="0" xfId="0" applyNumberFormat="1" applyFont="1"/>
    <xf numFmtId="165" fontId="5" fillId="6" borderId="5" xfId="0" applyNumberFormat="1" applyFont="1" applyFill="1" applyBorder="1" applyAlignment="1">
      <alignment horizontal="center"/>
    </xf>
    <xf numFmtId="0" fontId="5" fillId="0" borderId="0" xfId="0" applyFont="1" applyAlignment="1">
      <alignment vertical="center" wrapText="1"/>
    </xf>
    <xf numFmtId="165" fontId="5" fillId="0" borderId="0" xfId="0" applyNumberFormat="1" applyFont="1" applyAlignment="1">
      <alignment vertical="center" wrapText="1"/>
    </xf>
    <xf numFmtId="0" fontId="5" fillId="3" borderId="11" xfId="0" applyFont="1" applyFill="1" applyBorder="1" applyAlignment="1">
      <alignment horizontal="center"/>
    </xf>
    <xf numFmtId="44" fontId="5" fillId="3" borderId="12" xfId="0" applyNumberFormat="1" applyFont="1" applyFill="1" applyBorder="1"/>
    <xf numFmtId="0" fontId="4" fillId="0" borderId="0" xfId="0" applyFont="1"/>
    <xf numFmtId="44" fontId="5" fillId="0" borderId="0" xfId="0" applyNumberFormat="1" applyFont="1"/>
    <xf numFmtId="0" fontId="5" fillId="8" borderId="11" xfId="0" applyFont="1" applyFill="1" applyBorder="1" applyAlignment="1">
      <alignment horizontal="center"/>
    </xf>
    <xf numFmtId="44" fontId="5" fillId="8" borderId="12" xfId="0" applyNumberFormat="1" applyFont="1" applyFill="1" applyBorder="1"/>
    <xf numFmtId="0" fontId="19" fillId="9" borderId="10" xfId="0" applyFont="1" applyFill="1" applyBorder="1" applyAlignment="1">
      <alignment horizontal="center" vertical="center" wrapText="1"/>
    </xf>
    <xf numFmtId="0" fontId="8" fillId="10" borderId="10" xfId="0" applyFont="1" applyFill="1" applyBorder="1" applyAlignment="1">
      <alignment horizontal="center" vertical="center" wrapText="1"/>
    </xf>
    <xf numFmtId="170" fontId="18" fillId="0" borderId="10" xfId="0" applyNumberFormat="1" applyFont="1" applyBorder="1" applyAlignment="1">
      <alignment horizontal="center" vertical="center"/>
    </xf>
    <xf numFmtId="0" fontId="17" fillId="0" borderId="3" xfId="0" applyFont="1" applyBorder="1" applyAlignment="1">
      <alignment horizontal="centerContinuous"/>
    </xf>
    <xf numFmtId="0" fontId="21" fillId="11" borderId="0" xfId="5" applyFont="1" applyFill="1" applyAlignment="1">
      <alignment horizontal="centerContinuous" wrapText="1"/>
    </xf>
    <xf numFmtId="0" fontId="21" fillId="12" borderId="0" xfId="5" applyFont="1" applyFill="1" applyAlignment="1">
      <alignment horizontal="centerContinuous" wrapText="1"/>
    </xf>
    <xf numFmtId="0" fontId="22" fillId="12" borderId="0" xfId="5" applyFont="1" applyFill="1" applyAlignment="1">
      <alignment horizontal="center" vertical="center" wrapText="1"/>
    </xf>
    <xf numFmtId="0" fontId="23" fillId="12" borderId="0" xfId="5" applyFont="1" applyFill="1" applyAlignment="1">
      <alignment horizontal="right" vertical="center" wrapText="1"/>
    </xf>
    <xf numFmtId="4" fontId="23" fillId="12" borderId="0" xfId="5" applyNumberFormat="1" applyFont="1" applyFill="1" applyAlignment="1">
      <alignment horizontal="right" vertical="center" wrapText="1"/>
    </xf>
    <xf numFmtId="4" fontId="0" fillId="5" borderId="15" xfId="9" applyNumberFormat="1" applyFont="1"/>
    <xf numFmtId="0" fontId="0" fillId="5" borderId="15" xfId="9" applyFont="1"/>
    <xf numFmtId="165" fontId="0" fillId="0" borderId="0" xfId="1" applyNumberFormat="1" applyFont="1"/>
    <xf numFmtId="43" fontId="15" fillId="0" borderId="0" xfId="1" applyFont="1" applyAlignment="1">
      <alignment vertical="center" wrapText="1"/>
    </xf>
    <xf numFmtId="8" fontId="25" fillId="0" borderId="0" xfId="2" applyNumberFormat="1" applyFont="1" applyAlignment="1">
      <alignment horizontal="center"/>
    </xf>
    <xf numFmtId="167" fontId="5" fillId="0" borderId="0" xfId="0" applyNumberFormat="1" applyFont="1" applyAlignment="1">
      <alignment horizontal="center"/>
    </xf>
    <xf numFmtId="14" fontId="0" fillId="0" borderId="0" xfId="0" applyNumberFormat="1"/>
    <xf numFmtId="0" fontId="0" fillId="0" borderId="0" xfId="0" applyAlignment="1">
      <alignment horizontal="left"/>
    </xf>
    <xf numFmtId="0" fontId="12" fillId="5" borderId="1" xfId="3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/>
    </xf>
    <xf numFmtId="2" fontId="0" fillId="0" borderId="0" xfId="0" applyNumberFormat="1" applyAlignment="1">
      <alignment horizontal="center"/>
    </xf>
    <xf numFmtId="0" fontId="26" fillId="0" borderId="0" xfId="0" applyFont="1" applyFill="1" applyBorder="1" applyAlignment="1">
      <alignment horizontal="left"/>
    </xf>
    <xf numFmtId="10" fontId="6" fillId="15" borderId="0" xfId="0" applyNumberFormat="1" applyFont="1" applyFill="1" applyAlignment="1">
      <alignment horizontal="center"/>
    </xf>
    <xf numFmtId="0" fontId="27" fillId="0" borderId="26" xfId="0" applyFont="1" applyBorder="1" applyAlignment="1">
      <alignment horizontal="center" vertical="center" wrapText="1"/>
    </xf>
    <xf numFmtId="0" fontId="28" fillId="0" borderId="27" xfId="0" applyFont="1" applyBorder="1" applyAlignment="1">
      <alignment horizontal="center" vertical="center" wrapText="1"/>
    </xf>
    <xf numFmtId="0" fontId="5" fillId="0" borderId="0" xfId="0" applyFont="1" applyBorder="1" applyAlignment="1">
      <alignment horizontal="center"/>
    </xf>
    <xf numFmtId="1" fontId="10" fillId="16" borderId="0" xfId="0" applyNumberFormat="1" applyFont="1" applyFill="1" applyBorder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1" xfId="0" applyFont="1" applyBorder="1" applyAlignment="1">
      <alignment horizontal="center"/>
    </xf>
    <xf numFmtId="1" fontId="29" fillId="0" borderId="3" xfId="0" applyNumberFormat="1" applyFont="1" applyFill="1" applyBorder="1" applyAlignment="1">
      <alignment horizontal="centerContinuous"/>
    </xf>
    <xf numFmtId="1" fontId="15" fillId="0" borderId="3" xfId="0" applyNumberFormat="1" applyFont="1" applyFill="1" applyBorder="1" applyAlignment="1">
      <alignment horizontal="centerContinuous"/>
    </xf>
    <xf numFmtId="0" fontId="30" fillId="0" borderId="3" xfId="0" applyFont="1" applyFill="1" applyBorder="1" applyAlignment="1">
      <alignment horizontal="centerContinuous"/>
    </xf>
    <xf numFmtId="0" fontId="30" fillId="0" borderId="0" xfId="0" applyFont="1" applyFill="1" applyAlignment="1">
      <alignment horizontal="centerContinuous"/>
    </xf>
    <xf numFmtId="0" fontId="3" fillId="0" borderId="0" xfId="0" applyFont="1" applyAlignment="1">
      <alignment horizontal="centerContinuous"/>
    </xf>
    <xf numFmtId="0" fontId="6" fillId="0" borderId="14" xfId="0" applyFont="1" applyBorder="1" applyAlignment="1">
      <alignment horizontal="centerContinuous"/>
    </xf>
    <xf numFmtId="0" fontId="6" fillId="0" borderId="5" xfId="0" applyFont="1" applyBorder="1" applyAlignment="1">
      <alignment horizontal="center"/>
    </xf>
    <xf numFmtId="0" fontId="10" fillId="16" borderId="7" xfId="0" applyFont="1" applyFill="1" applyBorder="1" applyAlignment="1">
      <alignment horizontal="center"/>
    </xf>
    <xf numFmtId="0" fontId="8" fillId="16" borderId="14" xfId="3" applyNumberFormat="1" applyFont="1" applyFill="1" applyBorder="1" applyAlignment="1">
      <alignment horizontal="center" vertical="center"/>
    </xf>
    <xf numFmtId="0" fontId="10" fillId="16" borderId="14" xfId="0" applyFont="1" applyFill="1" applyBorder="1" applyAlignment="1">
      <alignment horizontal="center"/>
    </xf>
    <xf numFmtId="0" fontId="10" fillId="16" borderId="5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/>
    </xf>
    <xf numFmtId="0" fontId="6" fillId="0" borderId="3" xfId="0" applyFont="1" applyBorder="1" applyAlignment="1">
      <alignment horizontal="centerContinuous"/>
    </xf>
    <xf numFmtId="0" fontId="6" fillId="0" borderId="3" xfId="0" applyFont="1" applyBorder="1" applyAlignment="1">
      <alignment horizontal="center" vertical="center"/>
    </xf>
    <xf numFmtId="166" fontId="6" fillId="15" borderId="0" xfId="0" applyNumberFormat="1" applyFont="1" applyFill="1" applyAlignment="1">
      <alignment horizontal="center"/>
    </xf>
    <xf numFmtId="9" fontId="26" fillId="0" borderId="0" xfId="0" applyNumberFormat="1" applyFont="1" applyAlignment="1">
      <alignment horizontal="left"/>
    </xf>
    <xf numFmtId="0" fontId="6" fillId="0" borderId="3" xfId="0" applyFont="1" applyBorder="1" applyAlignment="1">
      <alignment horizontal="left"/>
    </xf>
    <xf numFmtId="9" fontId="6" fillId="15" borderId="0" xfId="2" applyFont="1" applyFill="1" applyAlignment="1">
      <alignment horizontal="center"/>
    </xf>
    <xf numFmtId="49" fontId="5" fillId="0" borderId="0" xfId="0" applyNumberFormat="1" applyFont="1" applyAlignment="1">
      <alignment horizontal="center"/>
    </xf>
    <xf numFmtId="49" fontId="12" fillId="5" borderId="1" xfId="3" applyNumberFormat="1" applyFont="1" applyFill="1" applyAlignment="1">
      <alignment horizontal="center" vertical="center"/>
    </xf>
    <xf numFmtId="0" fontId="4" fillId="16" borderId="0" xfId="0" applyFont="1" applyFill="1" applyAlignment="1">
      <alignment horizontal="centerContinuous"/>
    </xf>
    <xf numFmtId="164" fontId="0" fillId="0" borderId="0" xfId="2" applyNumberFormat="1" applyFont="1"/>
    <xf numFmtId="0" fontId="31" fillId="0" borderId="0" xfId="0" applyFont="1"/>
    <xf numFmtId="0" fontId="10" fillId="7" borderId="3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 wrapText="1"/>
    </xf>
    <xf numFmtId="170" fontId="18" fillId="0" borderId="0" xfId="0" applyNumberFormat="1" applyFont="1" applyFill="1" applyBorder="1" applyAlignment="1">
      <alignment horizontal="center" vertical="center" wrapText="1"/>
    </xf>
    <xf numFmtId="14" fontId="18" fillId="0" borderId="0" xfId="0" applyNumberFormat="1" applyFont="1" applyFill="1" applyBorder="1" applyAlignment="1">
      <alignment horizontal="center" vertical="center" wrapText="1"/>
    </xf>
    <xf numFmtId="170" fontId="18" fillId="0" borderId="0" xfId="0" applyNumberFormat="1" applyFont="1" applyFill="1" applyBorder="1" applyAlignment="1">
      <alignment horizontal="center" vertical="center"/>
    </xf>
    <xf numFmtId="1" fontId="15" fillId="0" borderId="0" xfId="0" applyNumberFormat="1" applyFont="1" applyFill="1" applyBorder="1" applyAlignment="1">
      <alignment horizontal="center" vertical="center" wrapText="1"/>
    </xf>
    <xf numFmtId="170" fontId="15" fillId="0" borderId="0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10" fontId="15" fillId="0" borderId="0" xfId="0" applyNumberFormat="1" applyFont="1" applyFill="1" applyBorder="1" applyAlignment="1">
      <alignment horizontal="center" vertical="center" wrapText="1"/>
    </xf>
    <xf numFmtId="170" fontId="8" fillId="0" borderId="0" xfId="0" applyNumberFormat="1" applyFont="1" applyFill="1" applyBorder="1" applyAlignment="1">
      <alignment horizontal="center" vertical="center" wrapText="1"/>
    </xf>
    <xf numFmtId="10" fontId="18" fillId="0" borderId="0" xfId="0" applyNumberFormat="1" applyFont="1" applyFill="1" applyBorder="1" applyAlignment="1">
      <alignment horizontal="center" vertical="center" wrapText="1"/>
    </xf>
    <xf numFmtId="10" fontId="18" fillId="0" borderId="0" xfId="0" applyNumberFormat="1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170" fontId="27" fillId="0" borderId="0" xfId="0" applyNumberFormat="1" applyFont="1" applyFill="1" applyBorder="1" applyAlignment="1">
      <alignment horizontal="center" vertical="center" wrapText="1"/>
    </xf>
    <xf numFmtId="8" fontId="28" fillId="0" borderId="0" xfId="0" applyNumberFormat="1" applyFont="1" applyFill="1" applyBorder="1" applyAlignment="1">
      <alignment horizontal="center" vertical="center" wrapText="1"/>
    </xf>
    <xf numFmtId="0" fontId="10" fillId="10" borderId="28" xfId="0" applyFont="1" applyFill="1" applyBorder="1" applyAlignment="1">
      <alignment horizontal="center" vertical="center" wrapText="1"/>
    </xf>
    <xf numFmtId="170" fontId="27" fillId="0" borderId="29" xfId="0" applyNumberFormat="1" applyFont="1" applyBorder="1" applyAlignment="1">
      <alignment horizontal="center" vertical="center" wrapText="1"/>
    </xf>
    <xf numFmtId="0" fontId="10" fillId="10" borderId="25" xfId="0" applyFont="1" applyFill="1" applyBorder="1" applyAlignment="1">
      <alignment horizontal="center" vertical="center" wrapText="1"/>
    </xf>
    <xf numFmtId="1" fontId="18" fillId="0" borderId="0" xfId="0" applyNumberFormat="1" applyFont="1" applyFill="1" applyBorder="1" applyAlignment="1">
      <alignment horizontal="center" vertical="center"/>
    </xf>
    <xf numFmtId="170" fontId="10" fillId="0" borderId="0" xfId="0" applyNumberFormat="1" applyFont="1" applyFill="1" applyBorder="1" applyAlignment="1">
      <alignment horizontal="center" vertical="center" wrapText="1"/>
    </xf>
    <xf numFmtId="0" fontId="8" fillId="10" borderId="10" xfId="0" applyFont="1" applyFill="1" applyBorder="1" applyAlignment="1">
      <alignment horizontal="center" vertical="center"/>
    </xf>
    <xf numFmtId="1" fontId="15" fillId="18" borderId="10" xfId="0" applyNumberFormat="1" applyFont="1" applyFill="1" applyBorder="1" applyAlignment="1">
      <alignment horizontal="center" vertical="center" wrapText="1"/>
    </xf>
    <xf numFmtId="170" fontId="15" fillId="18" borderId="10" xfId="0" applyNumberFormat="1" applyFont="1" applyFill="1" applyBorder="1" applyAlignment="1">
      <alignment horizontal="center" vertical="center"/>
    </xf>
    <xf numFmtId="0" fontId="15" fillId="18" borderId="10" xfId="0" applyFont="1" applyFill="1" applyBorder="1" applyAlignment="1">
      <alignment horizontal="center" vertical="center"/>
    </xf>
    <xf numFmtId="10" fontId="15" fillId="18" borderId="10" xfId="0" applyNumberFormat="1" applyFont="1" applyFill="1" applyBorder="1" applyAlignment="1">
      <alignment horizontal="center" vertical="center" wrapText="1"/>
    </xf>
    <xf numFmtId="0" fontId="8" fillId="10" borderId="0" xfId="0" applyFont="1" applyFill="1" applyAlignment="1">
      <alignment horizontal="center" vertical="center" wrapText="1"/>
    </xf>
    <xf numFmtId="0" fontId="0" fillId="0" borderId="0" xfId="0" applyAlignment="1">
      <alignment vertical="center"/>
    </xf>
    <xf numFmtId="14" fontId="16" fillId="0" borderId="0" xfId="0" applyNumberFormat="1" applyFont="1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8" fillId="17" borderId="0" xfId="0" applyFont="1" applyFill="1" applyAlignment="1">
      <alignment horizontal="centerContinuous" vertical="center"/>
    </xf>
    <xf numFmtId="0" fontId="3" fillId="17" borderId="0" xfId="0" applyFont="1" applyFill="1" applyAlignment="1">
      <alignment horizontal="centerContinuous" vertical="center"/>
    </xf>
    <xf numFmtId="170" fontId="0" fillId="0" borderId="0" xfId="0" applyNumberFormat="1" applyAlignment="1">
      <alignment vertical="center"/>
    </xf>
    <xf numFmtId="0" fontId="20" fillId="0" borderId="0" xfId="5" applyFill="1" applyBorder="1" applyAlignment="1">
      <alignment vertical="center"/>
    </xf>
    <xf numFmtId="8" fontId="5" fillId="0" borderId="0" xfId="0" applyNumberFormat="1" applyFont="1" applyFill="1" applyBorder="1" applyAlignment="1">
      <alignment vertical="center"/>
    </xf>
    <xf numFmtId="170" fontId="5" fillId="0" borderId="0" xfId="0" applyNumberFormat="1" applyFont="1" applyFill="1" applyBorder="1" applyAlignment="1">
      <alignment vertical="center"/>
    </xf>
    <xf numFmtId="10" fontId="15" fillId="18" borderId="10" xfId="0" applyNumberFormat="1" applyFont="1" applyFill="1" applyBorder="1" applyAlignment="1">
      <alignment horizontal="centerContinuous" wrapText="1"/>
    </xf>
    <xf numFmtId="169" fontId="18" fillId="18" borderId="10" xfId="0" applyNumberFormat="1" applyFont="1" applyFill="1" applyBorder="1" applyAlignment="1">
      <alignment horizontal="center" vertical="center" wrapText="1"/>
    </xf>
    <xf numFmtId="169" fontId="18" fillId="18" borderId="1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5" fontId="5" fillId="0" borderId="0" xfId="0" applyNumberFormat="1" applyFont="1" applyAlignment="1">
      <alignment horizontal="center" vertical="center" wrapText="1"/>
    </xf>
    <xf numFmtId="165" fontId="25" fillId="0" borderId="0" xfId="2" applyNumberFormat="1" applyFont="1" applyAlignment="1">
      <alignment horizontal="center"/>
    </xf>
    <xf numFmtId="171" fontId="0" fillId="0" borderId="0" xfId="0" applyNumberFormat="1" applyAlignment="1">
      <alignment vertical="center"/>
    </xf>
    <xf numFmtId="0" fontId="28" fillId="18" borderId="26" xfId="0" applyFont="1" applyFill="1" applyBorder="1" applyAlignment="1">
      <alignment horizontal="center" vertical="center" wrapText="1"/>
    </xf>
    <xf numFmtId="8" fontId="28" fillId="18" borderId="29" xfId="0" applyNumberFormat="1" applyFont="1" applyFill="1" applyBorder="1" applyAlignment="1">
      <alignment horizontal="center" vertical="center" wrapText="1"/>
    </xf>
    <xf numFmtId="8" fontId="28" fillId="18" borderId="30" xfId="0" applyNumberFormat="1" applyFont="1" applyFill="1" applyBorder="1" applyAlignment="1">
      <alignment horizontal="center" vertical="center" wrapText="1"/>
    </xf>
    <xf numFmtId="0" fontId="8" fillId="10" borderId="10" xfId="0" applyFont="1" applyFill="1" applyBorder="1" applyAlignment="1">
      <alignment horizontal="left" vertical="center" wrapText="1"/>
    </xf>
    <xf numFmtId="0" fontId="7" fillId="0" borderId="0" xfId="0" applyFont="1" applyAlignment="1">
      <alignment vertical="center"/>
    </xf>
    <xf numFmtId="0" fontId="16" fillId="0" borderId="0" xfId="0" applyFont="1" applyAlignment="1">
      <alignment horizontal="left" vertical="center"/>
    </xf>
    <xf numFmtId="14" fontId="16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right"/>
    </xf>
    <xf numFmtId="0" fontId="19" fillId="9" borderId="10" xfId="0" applyFont="1" applyFill="1" applyBorder="1" applyAlignment="1">
      <alignment horizontal="left" vertical="center" wrapText="1" indent="1"/>
    </xf>
    <xf numFmtId="1" fontId="6" fillId="15" borderId="0" xfId="0" applyNumberFormat="1" applyFont="1" applyFill="1" applyAlignment="1">
      <alignment horizontal="center"/>
    </xf>
    <xf numFmtId="170" fontId="18" fillId="0" borderId="10" xfId="0" applyNumberFormat="1" applyFont="1" applyFill="1" applyBorder="1" applyAlignment="1">
      <alignment horizontal="center" vertical="center"/>
    </xf>
    <xf numFmtId="0" fontId="5" fillId="4" borderId="0" xfId="1" applyNumberFormat="1" applyFont="1" applyFill="1" applyAlignment="1">
      <alignment horizontal="center"/>
    </xf>
    <xf numFmtId="0" fontId="0" fillId="4" borderId="0" xfId="0" applyFill="1"/>
    <xf numFmtId="10" fontId="5" fillId="0" borderId="2" xfId="2" applyNumberFormat="1" applyFont="1" applyFill="1" applyBorder="1" applyAlignment="1">
      <alignment horizontal="center"/>
    </xf>
    <xf numFmtId="0" fontId="41" fillId="0" borderId="0" xfId="0" applyFont="1"/>
    <xf numFmtId="0" fontId="25" fillId="0" borderId="0" xfId="0" applyFont="1" applyAlignment="1">
      <alignment horizontal="center"/>
    </xf>
    <xf numFmtId="169" fontId="0" fillId="0" borderId="0" xfId="0" applyNumberFormat="1"/>
    <xf numFmtId="9" fontId="0" fillId="0" borderId="0" xfId="2" applyFont="1"/>
    <xf numFmtId="1" fontId="15" fillId="18" borderId="10" xfId="0" applyNumberFormat="1" applyFont="1" applyFill="1" applyBorder="1" applyAlignment="1">
      <alignment horizontal="center" vertical="center"/>
    </xf>
    <xf numFmtId="1" fontId="18" fillId="0" borderId="13" xfId="0" applyNumberFormat="1" applyFont="1" applyBorder="1" applyAlignment="1">
      <alignment horizontal="center" vertical="center" wrapText="1"/>
    </xf>
    <xf numFmtId="0" fontId="18" fillId="0" borderId="10" xfId="4" applyFont="1" applyBorder="1" applyAlignment="1">
      <alignment horizontal="center" vertical="center" wrapText="1"/>
    </xf>
    <xf numFmtId="1" fontId="18" fillId="0" borderId="10" xfId="4" applyNumberFormat="1" applyFont="1" applyBorder="1" applyAlignment="1">
      <alignment horizontal="center" vertical="center" wrapText="1"/>
    </xf>
    <xf numFmtId="1" fontId="18" fillId="0" borderId="10" xfId="0" applyNumberFormat="1" applyFont="1" applyBorder="1" applyAlignment="1">
      <alignment horizontal="center" vertical="center" wrapText="1"/>
    </xf>
    <xf numFmtId="1" fontId="10" fillId="16" borderId="0" xfId="0" applyNumberFormat="1" applyFont="1" applyFill="1" applyAlignment="1">
      <alignment horizontal="center"/>
    </xf>
    <xf numFmtId="14" fontId="5" fillId="3" borderId="12" xfId="0" applyNumberFormat="1" applyFont="1" applyFill="1" applyBorder="1" applyAlignment="1">
      <alignment horizontal="center"/>
    </xf>
    <xf numFmtId="14" fontId="5" fillId="8" borderId="12" xfId="0" applyNumberFormat="1" applyFont="1" applyFill="1" applyBorder="1" applyAlignment="1">
      <alignment horizontal="center"/>
    </xf>
    <xf numFmtId="14" fontId="5" fillId="0" borderId="0" xfId="0" applyNumberFormat="1" applyFont="1" applyAlignment="1">
      <alignment horizontal="center" vertical="center" wrapText="1"/>
    </xf>
    <xf numFmtId="1" fontId="16" fillId="19" borderId="36" xfId="11" applyNumberFormat="1" applyFont="1" applyAlignment="1">
      <alignment horizontal="center"/>
    </xf>
    <xf numFmtId="14" fontId="16" fillId="19" borderId="36" xfId="11" applyNumberFormat="1" applyFont="1" applyAlignment="1">
      <alignment horizontal="center"/>
    </xf>
    <xf numFmtId="17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42" fillId="0" borderId="0" xfId="0" applyFont="1"/>
    <xf numFmtId="176" fontId="0" fillId="0" borderId="0" xfId="2" applyNumberFormat="1" applyFont="1" applyAlignment="1">
      <alignment horizontal="center"/>
    </xf>
    <xf numFmtId="177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/>
    <xf numFmtId="177" fontId="3" fillId="0" borderId="0" xfId="0" applyNumberFormat="1" applyFont="1"/>
    <xf numFmtId="0" fontId="0" fillId="0" borderId="3" xfId="0" applyBorder="1" applyAlignment="1">
      <alignment horizontal="left"/>
    </xf>
    <xf numFmtId="0" fontId="0" fillId="0" borderId="3" xfId="0" applyBorder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43" fillId="0" borderId="0" xfId="0" applyFont="1"/>
    <xf numFmtId="0" fontId="0" fillId="0" borderId="0" xfId="0" applyFill="1" applyBorder="1" applyAlignment="1">
      <alignment horizontal="left" indent="1"/>
    </xf>
    <xf numFmtId="0" fontId="43" fillId="0" borderId="0" xfId="0" applyFont="1" applyFill="1" applyBorder="1" applyAlignment="1">
      <alignment horizontal="left"/>
    </xf>
    <xf numFmtId="9" fontId="0" fillId="5" borderId="15" xfId="2" applyFont="1" applyFill="1" applyBorder="1"/>
    <xf numFmtId="0" fontId="44" fillId="0" borderId="0" xfId="0" applyFont="1" applyFill="1" applyBorder="1" applyAlignment="1">
      <alignment horizontal="left"/>
    </xf>
    <xf numFmtId="9" fontId="44" fillId="0" borderId="0" xfId="0" applyNumberFormat="1" applyFont="1"/>
    <xf numFmtId="0" fontId="3" fillId="0" borderId="0" xfId="0" applyFont="1" applyAlignment="1">
      <alignment horizontal="left" indent="1"/>
    </xf>
    <xf numFmtId="14" fontId="0" fillId="5" borderId="15" xfId="9" applyNumberFormat="1" applyFont="1" applyAlignment="1">
      <alignment horizontal="right"/>
    </xf>
    <xf numFmtId="0" fontId="0" fillId="0" borderId="0" xfId="0" applyFont="1" applyAlignment="1">
      <alignment horizontal="left" indent="1"/>
    </xf>
    <xf numFmtId="0" fontId="0" fillId="5" borderId="15" xfId="9" applyFont="1" applyAlignment="1">
      <alignment horizontal="right"/>
    </xf>
    <xf numFmtId="10" fontId="0" fillId="5" borderId="15" xfId="2" applyNumberFormat="1" applyFont="1" applyFill="1" applyBorder="1"/>
    <xf numFmtId="0" fontId="0" fillId="0" borderId="0" xfId="0" applyAlignment="1">
      <alignment horizontal="right"/>
    </xf>
    <xf numFmtId="0" fontId="45" fillId="5" borderId="15" xfId="12" applyFill="1" applyBorder="1" applyAlignment="1">
      <alignment horizontal="right"/>
    </xf>
    <xf numFmtId="0" fontId="0" fillId="5" borderId="15" xfId="9" quotePrefix="1" applyFont="1" applyAlignment="1">
      <alignment horizontal="right"/>
    </xf>
    <xf numFmtId="3" fontId="18" fillId="0" borderId="10" xfId="0" applyNumberFormat="1" applyFont="1" applyFill="1" applyBorder="1" applyAlignment="1">
      <alignment horizontal="center" vertical="center" wrapText="1"/>
    </xf>
    <xf numFmtId="165" fontId="41" fillId="0" borderId="0" xfId="0" applyNumberFormat="1" applyFont="1"/>
    <xf numFmtId="43" fontId="0" fillId="5" borderId="15" xfId="9" applyNumberFormat="1" applyFont="1"/>
    <xf numFmtId="14" fontId="0" fillId="5" borderId="15" xfId="9" applyNumberFormat="1" applyFont="1"/>
    <xf numFmtId="176" fontId="0" fillId="5" borderId="15" xfId="9" applyNumberFormat="1" applyFont="1"/>
    <xf numFmtId="9" fontId="4" fillId="0" borderId="0" xfId="0" applyNumberFormat="1" applyFont="1"/>
    <xf numFmtId="178" fontId="4" fillId="0" borderId="0" xfId="1" applyNumberFormat="1" applyFont="1"/>
    <xf numFmtId="43" fontId="18" fillId="0" borderId="10" xfId="0" applyNumberFormat="1" applyFont="1" applyFill="1" applyBorder="1" applyAlignment="1">
      <alignment horizontal="center" vertical="center" wrapText="1"/>
    </xf>
    <xf numFmtId="44" fontId="0" fillId="0" borderId="0" xfId="13" applyFont="1"/>
    <xf numFmtId="179" fontId="0" fillId="0" borderId="0" xfId="0" applyNumberFormat="1"/>
    <xf numFmtId="0" fontId="15" fillId="0" borderId="0" xfId="0" applyFont="1" applyFill="1" applyBorder="1" applyAlignment="1">
      <alignment horizontal="center" vertical="center" wrapText="1"/>
    </xf>
    <xf numFmtId="0" fontId="46" fillId="11" borderId="0" xfId="0" applyFont="1" applyFill="1" applyAlignment="1">
      <alignment horizontal="center" vertical="center" wrapText="1"/>
    </xf>
    <xf numFmtId="0" fontId="47" fillId="11" borderId="0" xfId="0" applyFont="1" applyFill="1" applyAlignment="1">
      <alignment horizontal="right" vertical="center" wrapText="1"/>
    </xf>
    <xf numFmtId="4" fontId="47" fillId="11" borderId="0" xfId="0" applyNumberFormat="1" applyFont="1" applyFill="1" applyAlignment="1">
      <alignment horizontal="right" vertical="center" wrapText="1"/>
    </xf>
    <xf numFmtId="0" fontId="46" fillId="11" borderId="0" xfId="0" applyFont="1" applyFill="1" applyAlignment="1">
      <alignment vertical="center"/>
    </xf>
    <xf numFmtId="176" fontId="0" fillId="0" borderId="0" xfId="2" applyNumberFormat="1" applyFont="1"/>
    <xf numFmtId="180" fontId="0" fillId="0" borderId="0" xfId="2" applyNumberFormat="1" applyFont="1"/>
    <xf numFmtId="170" fontId="48" fillId="17" borderId="0" xfId="0" applyNumberFormat="1" applyFont="1" applyFill="1" applyAlignment="1">
      <alignment horizontal="centerContinuous" vertical="center"/>
    </xf>
    <xf numFmtId="170" fontId="15" fillId="20" borderId="10" xfId="0" applyNumberFormat="1" applyFont="1" applyFill="1" applyBorder="1" applyAlignment="1">
      <alignment horizontal="center" vertical="center"/>
    </xf>
    <xf numFmtId="170" fontId="6" fillId="0" borderId="3" xfId="0" applyNumberFormat="1" applyFont="1" applyBorder="1" applyAlignment="1">
      <alignment horizontal="center"/>
    </xf>
    <xf numFmtId="1" fontId="6" fillId="0" borderId="3" xfId="0" applyNumberFormat="1" applyFont="1" applyBorder="1" applyAlignment="1">
      <alignment horizontal="center"/>
    </xf>
    <xf numFmtId="181" fontId="5" fillId="0" borderId="0" xfId="1" applyNumberFormat="1" applyFont="1" applyAlignment="1">
      <alignment horizontal="center"/>
    </xf>
    <xf numFmtId="0" fontId="0" fillId="0" borderId="0" xfId="0"/>
    <xf numFmtId="0" fontId="49" fillId="0" borderId="0" xfId="0" applyFont="1"/>
    <xf numFmtId="170" fontId="15" fillId="0" borderId="10" xfId="0" applyNumberFormat="1" applyFont="1" applyFill="1" applyBorder="1" applyAlignment="1">
      <alignment horizontal="center" vertical="center"/>
    </xf>
    <xf numFmtId="0" fontId="18" fillId="0" borderId="10" xfId="0" applyFont="1" applyFill="1" applyBorder="1" applyAlignment="1">
      <alignment horizontal="center" vertical="center" wrapText="1"/>
    </xf>
    <xf numFmtId="3" fontId="5" fillId="0" borderId="5" xfId="0" applyNumberFormat="1" applyFont="1" applyBorder="1" applyAlignment="1">
      <alignment horizontal="center"/>
    </xf>
    <xf numFmtId="1" fontId="29" fillId="0" borderId="3" xfId="0" applyNumberFormat="1" applyFont="1" applyBorder="1" applyAlignment="1">
      <alignment horizontal="centerContinuous"/>
    </xf>
    <xf numFmtId="1" fontId="15" fillId="0" borderId="3" xfId="0" applyNumberFormat="1" applyFont="1" applyBorder="1" applyAlignment="1">
      <alignment horizontal="centerContinuous"/>
    </xf>
    <xf numFmtId="0" fontId="15" fillId="18" borderId="10" xfId="0" applyFont="1" applyFill="1" applyBorder="1" applyAlignment="1">
      <alignment horizontal="center" vertical="center" wrapText="1"/>
    </xf>
    <xf numFmtId="0" fontId="10" fillId="10" borderId="38" xfId="0" applyFont="1" applyFill="1" applyBorder="1" applyAlignment="1">
      <alignment horizontal="center" vertical="center" wrapText="1"/>
    </xf>
    <xf numFmtId="0" fontId="15" fillId="20" borderId="0" xfId="0" applyFont="1" applyFill="1" applyAlignment="1">
      <alignment horizontal="center" vertical="center" wrapText="1"/>
    </xf>
    <xf numFmtId="0" fontId="12" fillId="20" borderId="1" xfId="3" applyNumberFormat="1" applyFont="1" applyFill="1" applyAlignment="1">
      <alignment horizontal="center" vertical="center"/>
    </xf>
    <xf numFmtId="0" fontId="3" fillId="20" borderId="3" xfId="0" applyFont="1" applyFill="1" applyBorder="1" applyAlignment="1">
      <alignment horizontal="centerContinuous"/>
    </xf>
    <xf numFmtId="9" fontId="5" fillId="20" borderId="0" xfId="0" applyNumberFormat="1" applyFont="1" applyFill="1" applyAlignment="1">
      <alignment horizontal="center"/>
    </xf>
    <xf numFmtId="10" fontId="6" fillId="20" borderId="0" xfId="0" applyNumberFormat="1" applyFont="1" applyFill="1" applyAlignment="1">
      <alignment horizontal="center"/>
    </xf>
    <xf numFmtId="166" fontId="6" fillId="20" borderId="0" xfId="0" applyNumberFormat="1" applyFont="1" applyFill="1" applyAlignment="1">
      <alignment horizontal="center"/>
    </xf>
    <xf numFmtId="0" fontId="0" fillId="20" borderId="0" xfId="0" applyFill="1"/>
    <xf numFmtId="0" fontId="10" fillId="10" borderId="43" xfId="0" applyFont="1" applyFill="1" applyBorder="1" applyAlignment="1">
      <alignment horizontal="center" vertical="center" wrapText="1"/>
    </xf>
    <xf numFmtId="0" fontId="10" fillId="10" borderId="42" xfId="0" applyFont="1" applyFill="1" applyBorder="1" applyAlignment="1">
      <alignment horizontal="center" vertical="center" wrapText="1"/>
    </xf>
    <xf numFmtId="0" fontId="10" fillId="10" borderId="27" xfId="0" applyFont="1" applyFill="1" applyBorder="1" applyAlignment="1">
      <alignment horizontal="center" vertical="center" wrapText="1"/>
    </xf>
    <xf numFmtId="0" fontId="10" fillId="4" borderId="0" xfId="0" applyFont="1" applyFill="1" applyBorder="1" applyAlignment="1">
      <alignment horizontal="center" vertical="center" wrapText="1"/>
    </xf>
    <xf numFmtId="3" fontId="0" fillId="21" borderId="0" xfId="0" applyNumberFormat="1" applyFill="1" applyAlignment="1">
      <alignment vertical="center"/>
    </xf>
    <xf numFmtId="1" fontId="5" fillId="0" borderId="5" xfId="0" applyNumberFormat="1" applyFont="1" applyBorder="1" applyAlignment="1">
      <alignment horizontal="center"/>
    </xf>
    <xf numFmtId="165" fontId="0" fillId="0" borderId="3" xfId="0" applyNumberFormat="1" applyBorder="1"/>
    <xf numFmtId="0" fontId="5" fillId="0" borderId="4" xfId="0" applyFont="1" applyBorder="1" applyAlignment="1">
      <alignment horizontal="center"/>
    </xf>
    <xf numFmtId="44" fontId="0" fillId="0" borderId="0" xfId="0" applyNumberFormat="1"/>
    <xf numFmtId="8" fontId="0" fillId="0" borderId="0" xfId="0" applyNumberFormat="1"/>
    <xf numFmtId="10" fontId="0" fillId="0" borderId="0" xfId="2" applyNumberFormat="1" applyFont="1"/>
    <xf numFmtId="176" fontId="0" fillId="0" borderId="0" xfId="2" applyNumberFormat="1" applyFont="1" applyFill="1" applyAlignment="1">
      <alignment horizontal="center"/>
    </xf>
    <xf numFmtId="10" fontId="5" fillId="6" borderId="5" xfId="0" applyNumberFormat="1" applyFont="1" applyFill="1" applyBorder="1" applyAlignment="1">
      <alignment horizontal="center" vertical="center"/>
    </xf>
    <xf numFmtId="0" fontId="51" fillId="0" borderId="0" xfId="0" applyFont="1"/>
    <xf numFmtId="0" fontId="52" fillId="0" borderId="0" xfId="0" applyFont="1"/>
    <xf numFmtId="0" fontId="51" fillId="0" borderId="0" xfId="0" applyFont="1" applyAlignment="1">
      <alignment horizontal="center"/>
    </xf>
    <xf numFmtId="43" fontId="0" fillId="0" borderId="0" xfId="1" applyFont="1"/>
    <xf numFmtId="170" fontId="18" fillId="0" borderId="10" xfId="0" applyNumberFormat="1" applyFont="1" applyBorder="1" applyAlignment="1">
      <alignment horizontal="center" vertical="center" wrapText="1"/>
    </xf>
    <xf numFmtId="0" fontId="53" fillId="0" borderId="0" xfId="0" applyFont="1" applyAlignment="1">
      <alignment vertical="center"/>
    </xf>
    <xf numFmtId="49" fontId="18" fillId="0" borderId="10" xfId="0" applyNumberFormat="1" applyFont="1" applyBorder="1" applyAlignment="1">
      <alignment horizontal="center" vertical="center"/>
    </xf>
    <xf numFmtId="14" fontId="18" fillId="0" borderId="10" xfId="0" applyNumberFormat="1" applyFont="1" applyBorder="1" applyAlignment="1">
      <alignment horizontal="center" vertical="center"/>
    </xf>
    <xf numFmtId="0" fontId="19" fillId="20" borderId="10" xfId="0" applyFont="1" applyFill="1" applyBorder="1" applyAlignment="1">
      <alignment horizontal="center" vertical="center" wrapText="1"/>
    </xf>
    <xf numFmtId="0" fontId="8" fillId="17" borderId="10" xfId="0" applyFont="1" applyFill="1" applyBorder="1" applyAlignment="1">
      <alignment horizontal="center" vertical="center" wrapText="1"/>
    </xf>
    <xf numFmtId="0" fontId="8" fillId="17" borderId="10" xfId="0" applyFont="1" applyFill="1" applyBorder="1" applyAlignment="1">
      <alignment horizontal="center" vertical="center"/>
    </xf>
    <xf numFmtId="0" fontId="8" fillId="17" borderId="10" xfId="0" applyFont="1" applyFill="1" applyBorder="1" applyAlignment="1">
      <alignment horizontal="left" vertical="center" wrapText="1"/>
    </xf>
    <xf numFmtId="0" fontId="8" fillId="17" borderId="10" xfId="0" applyFont="1" applyFill="1" applyBorder="1" applyAlignment="1">
      <alignment horizontal="left" vertical="center" wrapText="1" indent="1"/>
    </xf>
    <xf numFmtId="0" fontId="48" fillId="17" borderId="10" xfId="0" applyFont="1" applyFill="1" applyBorder="1"/>
    <xf numFmtId="178" fontId="48" fillId="17" borderId="10" xfId="16" applyNumberFormat="1" applyFont="1" applyFill="1" applyBorder="1"/>
    <xf numFmtId="49" fontId="48" fillId="17" borderId="10" xfId="0" applyNumberFormat="1" applyFont="1" applyFill="1" applyBorder="1" applyAlignment="1">
      <alignment horizontal="left"/>
    </xf>
    <xf numFmtId="0" fontId="48" fillId="17" borderId="10" xfId="0" applyFont="1" applyFill="1" applyBorder="1" applyAlignment="1">
      <alignment horizontal="left"/>
    </xf>
    <xf numFmtId="9" fontId="48" fillId="17" borderId="10" xfId="2" applyFont="1" applyFill="1" applyBorder="1" applyAlignment="1"/>
    <xf numFmtId="0" fontId="54" fillId="17" borderId="10" xfId="0" applyFont="1" applyFill="1" applyBorder="1" applyAlignment="1">
      <alignment horizontal="center" vertical="center" wrapText="1"/>
    </xf>
    <xf numFmtId="0" fontId="4" fillId="17" borderId="10" xfId="0" applyFont="1" applyFill="1" applyBorder="1" applyAlignment="1">
      <alignment vertical="center"/>
    </xf>
    <xf numFmtId="14" fontId="0" fillId="0" borderId="10" xfId="0" applyNumberFormat="1" applyBorder="1" applyAlignment="1">
      <alignment vertical="center"/>
    </xf>
    <xf numFmtId="0" fontId="0" fillId="0" borderId="10" xfId="0" applyBorder="1" applyAlignment="1">
      <alignment vertical="center"/>
    </xf>
    <xf numFmtId="43" fontId="0" fillId="0" borderId="10" xfId="0" applyNumberFormat="1" applyBorder="1" applyAlignment="1">
      <alignment vertical="center"/>
    </xf>
    <xf numFmtId="3" fontId="0" fillId="0" borderId="10" xfId="0" applyNumberFormat="1" applyBorder="1" applyAlignment="1">
      <alignment vertical="center"/>
    </xf>
    <xf numFmtId="170" fontId="0" fillId="0" borderId="10" xfId="0" applyNumberFormat="1" applyBorder="1" applyAlignment="1">
      <alignment vertical="center"/>
    </xf>
    <xf numFmtId="49" fontId="0" fillId="0" borderId="10" xfId="0" applyNumberFormat="1" applyBorder="1" applyAlignment="1">
      <alignment vertical="center"/>
    </xf>
    <xf numFmtId="1" fontId="0" fillId="0" borderId="10" xfId="0" applyNumberFormat="1" applyBorder="1" applyAlignment="1">
      <alignment vertical="center"/>
    </xf>
    <xf numFmtId="176" fontId="0" fillId="0" borderId="10" xfId="0" applyNumberFormat="1" applyBorder="1" applyAlignment="1">
      <alignment vertical="center"/>
    </xf>
    <xf numFmtId="10" fontId="0" fillId="0" borderId="10" xfId="0" applyNumberFormat="1" applyBorder="1" applyAlignment="1">
      <alignment vertical="center"/>
    </xf>
    <xf numFmtId="0" fontId="42" fillId="6" borderId="10" xfId="0" applyFont="1" applyFill="1" applyBorder="1" applyAlignment="1">
      <alignment vertical="center"/>
    </xf>
    <xf numFmtId="10" fontId="42" fillId="6" borderId="10" xfId="0" applyNumberFormat="1" applyFont="1" applyFill="1" applyBorder="1" applyAlignment="1">
      <alignment vertical="center"/>
    </xf>
    <xf numFmtId="3" fontId="42" fillId="6" borderId="10" xfId="0" applyNumberFormat="1" applyFont="1" applyFill="1" applyBorder="1" applyAlignment="1">
      <alignment vertical="center"/>
    </xf>
    <xf numFmtId="1" fontId="42" fillId="6" borderId="10" xfId="0" applyNumberFormat="1" applyFont="1" applyFill="1" applyBorder="1" applyAlignment="1">
      <alignment vertical="center"/>
    </xf>
    <xf numFmtId="43" fontId="42" fillId="6" borderId="10" xfId="1" applyFont="1" applyFill="1" applyBorder="1" applyAlignment="1">
      <alignment vertical="center"/>
    </xf>
    <xf numFmtId="4" fontId="42" fillId="6" borderId="10" xfId="0" applyNumberFormat="1" applyFont="1" applyFill="1" applyBorder="1" applyAlignment="1">
      <alignment vertical="center"/>
    </xf>
    <xf numFmtId="8" fontId="0" fillId="0" borderId="10" xfId="0" applyNumberFormat="1" applyBorder="1" applyAlignment="1">
      <alignment vertical="center"/>
    </xf>
    <xf numFmtId="22" fontId="0" fillId="0" borderId="10" xfId="0" applyNumberFormat="1" applyBorder="1" applyAlignment="1">
      <alignment vertical="center"/>
    </xf>
    <xf numFmtId="0" fontId="0" fillId="0" borderId="10" xfId="0" applyNumberFormat="1" applyBorder="1" applyAlignment="1">
      <alignment vertical="center"/>
    </xf>
    <xf numFmtId="170" fontId="42" fillId="6" borderId="10" xfId="0" applyNumberFormat="1" applyFont="1" applyFill="1" applyBorder="1" applyAlignment="1">
      <alignment vertical="center"/>
    </xf>
    <xf numFmtId="0" fontId="55" fillId="10" borderId="0" xfId="0" applyFont="1" applyFill="1"/>
    <xf numFmtId="0" fontId="10" fillId="10" borderId="0" xfId="0" applyFont="1" applyFill="1"/>
    <xf numFmtId="0" fontId="5" fillId="10" borderId="0" xfId="0" applyFont="1" applyFill="1"/>
    <xf numFmtId="4" fontId="5" fillId="0" borderId="37" xfId="0" applyNumberFormat="1" applyFont="1" applyBorder="1"/>
    <xf numFmtId="0" fontId="6" fillId="0" borderId="0" xfId="0" applyFont="1"/>
    <xf numFmtId="167" fontId="5" fillId="22" borderId="0" xfId="0" applyNumberFormat="1" applyFont="1" applyFill="1"/>
    <xf numFmtId="167" fontId="5" fillId="23" borderId="0" xfId="0" applyNumberFormat="1" applyFont="1" applyFill="1"/>
    <xf numFmtId="167" fontId="10" fillId="10" borderId="0" xfId="0" applyNumberFormat="1" applyFont="1" applyFill="1"/>
    <xf numFmtId="167" fontId="29" fillId="23" borderId="0" xfId="0" applyNumberFormat="1" applyFont="1" applyFill="1" applyAlignment="1">
      <alignment horizontal="right"/>
    </xf>
    <xf numFmtId="0" fontId="5" fillId="8" borderId="0" xfId="0" applyFont="1" applyFill="1"/>
    <xf numFmtId="4" fontId="5" fillId="0" borderId="45" xfId="0" applyNumberFormat="1" applyFont="1" applyBorder="1"/>
    <xf numFmtId="4" fontId="5" fillId="0" borderId="51" xfId="0" applyNumberFormat="1" applyFont="1" applyBorder="1"/>
    <xf numFmtId="0" fontId="0" fillId="0" borderId="52" xfId="0" applyBorder="1" applyAlignment="1">
      <alignment vertical="center"/>
    </xf>
    <xf numFmtId="0" fontId="0" fillId="0" borderId="53" xfId="0" applyBorder="1" applyAlignment="1">
      <alignment vertical="center"/>
    </xf>
    <xf numFmtId="0" fontId="0" fillId="0" borderId="54" xfId="0" applyBorder="1" applyAlignment="1">
      <alignment vertical="center"/>
    </xf>
    <xf numFmtId="8" fontId="0" fillId="0" borderId="55" xfId="0" applyNumberFormat="1" applyBorder="1" applyAlignment="1">
      <alignment vertical="center"/>
    </xf>
    <xf numFmtId="4" fontId="0" fillId="0" borderId="55" xfId="0" applyNumberFormat="1" applyBorder="1" applyAlignment="1">
      <alignment vertical="center"/>
    </xf>
    <xf numFmtId="0" fontId="0" fillId="0" borderId="55" xfId="0" applyBorder="1" applyAlignment="1">
      <alignment vertical="center"/>
    </xf>
    <xf numFmtId="0" fontId="0" fillId="0" borderId="56" xfId="0" applyBorder="1" applyAlignment="1">
      <alignment vertical="center"/>
    </xf>
    <xf numFmtId="0" fontId="0" fillId="0" borderId="57" xfId="0" applyBorder="1" applyAlignment="1">
      <alignment vertical="center"/>
    </xf>
    <xf numFmtId="176" fontId="5" fillId="0" borderId="0" xfId="2" applyNumberFormat="1" applyFont="1" applyBorder="1" applyAlignment="1">
      <alignment horizontal="center"/>
    </xf>
    <xf numFmtId="176" fontId="5" fillId="0" borderId="17" xfId="2" applyNumberFormat="1" applyFont="1" applyBorder="1" applyAlignment="1">
      <alignment horizontal="center"/>
    </xf>
    <xf numFmtId="176" fontId="5" fillId="0" borderId="18" xfId="2" applyNumberFormat="1" applyFont="1" applyBorder="1" applyAlignment="1">
      <alignment horizontal="center"/>
    </xf>
    <xf numFmtId="176" fontId="5" fillId="0" borderId="20" xfId="2" applyNumberFormat="1" applyFont="1" applyBorder="1" applyAlignment="1">
      <alignment horizontal="center"/>
    </xf>
    <xf numFmtId="176" fontId="5" fillId="0" borderId="22" xfId="2" applyNumberFormat="1" applyFont="1" applyBorder="1" applyAlignment="1">
      <alignment horizontal="center"/>
    </xf>
    <xf numFmtId="176" fontId="5" fillId="0" borderId="23" xfId="2" applyNumberFormat="1" applyFont="1" applyBorder="1" applyAlignment="1">
      <alignment horizontal="center"/>
    </xf>
    <xf numFmtId="176" fontId="5" fillId="0" borderId="0" xfId="2" applyNumberFormat="1" applyFont="1" applyAlignment="1">
      <alignment horizontal="center"/>
    </xf>
    <xf numFmtId="176" fontId="5" fillId="0" borderId="3" xfId="2" applyNumberFormat="1" applyFont="1" applyBorder="1" applyAlignment="1">
      <alignment horizontal="center"/>
    </xf>
    <xf numFmtId="176" fontId="15" fillId="18" borderId="10" xfId="0" applyNumberFormat="1" applyFont="1" applyFill="1" applyBorder="1" applyAlignment="1">
      <alignment horizontal="center" vertical="center" wrapText="1"/>
    </xf>
    <xf numFmtId="0" fontId="38" fillId="24" borderId="32" xfId="5" applyFont="1" applyFill="1" applyBorder="1" applyAlignment="1" applyProtection="1">
      <alignment horizontal="center" vertical="center" wrapText="1"/>
      <protection hidden="1"/>
    </xf>
    <xf numFmtId="0" fontId="38" fillId="24" borderId="33" xfId="5" applyFont="1" applyFill="1" applyBorder="1" applyAlignment="1" applyProtection="1">
      <alignment horizontal="center" vertical="center" wrapText="1"/>
      <protection hidden="1"/>
    </xf>
    <xf numFmtId="0" fontId="38" fillId="24" borderId="34" xfId="5" applyFont="1" applyFill="1" applyBorder="1" applyAlignment="1" applyProtection="1">
      <alignment horizontal="center" vertical="center" wrapText="1"/>
      <protection hidden="1"/>
    </xf>
    <xf numFmtId="0" fontId="33" fillId="0" borderId="0" xfId="5" applyFont="1" applyAlignment="1" applyProtection="1">
      <alignment vertical="center"/>
      <protection hidden="1"/>
    </xf>
    <xf numFmtId="0" fontId="34" fillId="24" borderId="58" xfId="5" applyFont="1" applyFill="1" applyBorder="1" applyAlignment="1" applyProtection="1">
      <alignment vertical="center"/>
      <protection hidden="1"/>
    </xf>
    <xf numFmtId="0" fontId="35" fillId="24" borderId="58" xfId="5" applyFont="1" applyFill="1" applyBorder="1" applyAlignment="1" applyProtection="1">
      <alignment vertical="center"/>
      <protection hidden="1"/>
    </xf>
    <xf numFmtId="0" fontId="34" fillId="24" borderId="58" xfId="5" applyFont="1" applyFill="1" applyBorder="1" applyAlignment="1" applyProtection="1">
      <alignment horizontal="right" vertical="center"/>
      <protection hidden="1"/>
    </xf>
    <xf numFmtId="0" fontId="36" fillId="0" borderId="0" xfId="5" applyFont="1" applyBorder="1" applyAlignment="1" applyProtection="1">
      <alignment horizontal="left" vertical="center"/>
      <protection hidden="1"/>
    </xf>
    <xf numFmtId="4" fontId="33" fillId="25" borderId="0" xfId="5" applyNumberFormat="1" applyFont="1" applyFill="1" applyBorder="1" applyAlignment="1" applyProtection="1">
      <alignment horizontal="right" vertical="center"/>
      <protection hidden="1"/>
    </xf>
    <xf numFmtId="0" fontId="36" fillId="4" borderId="0" xfId="5" applyFont="1" applyFill="1" applyBorder="1" applyAlignment="1" applyProtection="1">
      <alignment horizontal="left" vertical="center"/>
      <protection hidden="1"/>
    </xf>
    <xf numFmtId="0" fontId="33" fillId="4" borderId="0" xfId="5" applyFont="1" applyFill="1" applyBorder="1" applyAlignment="1" applyProtection="1">
      <alignment vertical="center"/>
      <protection hidden="1"/>
    </xf>
    <xf numFmtId="10" fontId="33" fillId="4" borderId="0" xfId="5" applyNumberFormat="1" applyFont="1" applyFill="1" applyBorder="1" applyAlignment="1" applyProtection="1">
      <alignment vertical="center"/>
      <protection hidden="1"/>
    </xf>
    <xf numFmtId="43" fontId="33" fillId="4" borderId="0" xfId="5" applyNumberFormat="1" applyFont="1" applyFill="1" applyBorder="1" applyAlignment="1" applyProtection="1">
      <alignment vertical="center"/>
      <protection hidden="1"/>
    </xf>
    <xf numFmtId="0" fontId="36" fillId="0" borderId="0" xfId="5" applyFont="1" applyAlignment="1" applyProtection="1">
      <alignment horizontal="left" vertical="center"/>
      <protection hidden="1"/>
    </xf>
    <xf numFmtId="4" fontId="33" fillId="0" borderId="0" xfId="5" applyNumberFormat="1" applyFont="1" applyAlignment="1" applyProtection="1">
      <alignment vertical="center"/>
      <protection hidden="1"/>
    </xf>
    <xf numFmtId="9" fontId="33" fillId="0" borderId="0" xfId="5" applyNumberFormat="1" applyFont="1" applyAlignment="1" applyProtection="1">
      <alignment vertical="center"/>
      <protection hidden="1"/>
    </xf>
    <xf numFmtId="0" fontId="33" fillId="0" borderId="0" xfId="5" applyFont="1" applyAlignment="1">
      <alignment vertical="center"/>
    </xf>
    <xf numFmtId="10" fontId="33" fillId="0" borderId="0" xfId="2" applyNumberFormat="1" applyFont="1" applyAlignment="1" applyProtection="1">
      <alignment vertical="center"/>
      <protection hidden="1"/>
    </xf>
    <xf numFmtId="169" fontId="33" fillId="0" borderId="0" xfId="5" applyNumberFormat="1" applyFont="1" applyAlignment="1" applyProtection="1">
      <alignment vertical="center"/>
      <protection hidden="1"/>
    </xf>
    <xf numFmtId="14" fontId="33" fillId="25" borderId="35" xfId="10" quotePrefix="1" applyNumberFormat="1" applyFont="1" applyFill="1" applyBorder="1" applyAlignment="1" applyProtection="1">
      <alignment horizontal="center" vertical="center"/>
      <protection hidden="1"/>
    </xf>
    <xf numFmtId="174" fontId="33" fillId="25" borderId="35" xfId="1" applyNumberFormat="1" applyFont="1" applyFill="1" applyBorder="1" applyAlignment="1" applyProtection="1">
      <alignment horizontal="center" vertical="center"/>
      <protection hidden="1"/>
    </xf>
    <xf numFmtId="10" fontId="33" fillId="0" borderId="0" xfId="5" applyNumberFormat="1" applyFont="1" applyAlignment="1" applyProtection="1">
      <alignment vertical="center"/>
      <protection hidden="1"/>
    </xf>
    <xf numFmtId="43" fontId="33" fillId="0" borderId="0" xfId="5" applyNumberFormat="1" applyFont="1" applyAlignment="1" applyProtection="1">
      <alignment vertical="center"/>
      <protection hidden="1"/>
    </xf>
    <xf numFmtId="173" fontId="33" fillId="0" borderId="0" xfId="5" applyNumberFormat="1" applyFont="1" applyAlignment="1" applyProtection="1">
      <alignment vertical="center"/>
      <protection hidden="1"/>
    </xf>
    <xf numFmtId="14" fontId="33" fillId="26" borderId="35" xfId="10" quotePrefix="1" applyNumberFormat="1" applyFont="1" applyFill="1" applyBorder="1" applyAlignment="1" applyProtection="1">
      <alignment horizontal="center" vertical="center"/>
      <protection hidden="1"/>
    </xf>
    <xf numFmtId="174" fontId="33" fillId="26" borderId="35" xfId="1" applyNumberFormat="1" applyFont="1" applyFill="1" applyBorder="1" applyAlignment="1" applyProtection="1">
      <alignment horizontal="center" vertical="center"/>
      <protection hidden="1"/>
    </xf>
    <xf numFmtId="169" fontId="33" fillId="0" borderId="0" xfId="2" applyNumberFormat="1" applyFont="1" applyAlignment="1" applyProtection="1">
      <alignment vertical="center"/>
      <protection hidden="1"/>
    </xf>
    <xf numFmtId="14" fontId="33" fillId="0" borderId="0" xfId="5" applyNumberFormat="1" applyFont="1" applyAlignment="1" applyProtection="1">
      <alignment vertical="center"/>
      <protection hidden="1"/>
    </xf>
    <xf numFmtId="0" fontId="33" fillId="0" borderId="37" xfId="5" applyFont="1" applyBorder="1" applyAlignment="1" applyProtection="1">
      <alignment vertical="center"/>
      <protection hidden="1"/>
    </xf>
    <xf numFmtId="4" fontId="37" fillId="0" borderId="31" xfId="5" applyNumberFormat="1" applyFont="1" applyFill="1" applyBorder="1" applyAlignment="1" applyProtection="1">
      <alignment horizontal="centerContinuous" vertical="center"/>
      <protection hidden="1"/>
    </xf>
    <xf numFmtId="4" fontId="37" fillId="0" borderId="0" xfId="5" applyNumberFormat="1" applyFont="1" applyFill="1" applyAlignment="1" applyProtection="1">
      <alignment horizontal="centerContinuous" vertical="center"/>
      <protection hidden="1"/>
    </xf>
    <xf numFmtId="0" fontId="56" fillId="24" borderId="33" xfId="5" applyFont="1" applyFill="1" applyBorder="1" applyAlignment="1" applyProtection="1">
      <alignment horizontal="center" vertical="center" wrapText="1"/>
      <protection hidden="1"/>
    </xf>
    <xf numFmtId="0" fontId="33" fillId="0" borderId="0" xfId="5" applyFont="1" applyAlignment="1" applyProtection="1">
      <alignment horizontal="right" vertical="center"/>
      <protection hidden="1"/>
    </xf>
    <xf numFmtId="0" fontId="33" fillId="25" borderId="0" xfId="5" applyFont="1" applyFill="1" applyAlignment="1" applyProtection="1">
      <alignment vertical="center"/>
      <protection hidden="1"/>
    </xf>
    <xf numFmtId="0" fontId="33" fillId="25" borderId="0" xfId="5" applyFont="1" applyFill="1" applyAlignment="1" applyProtection="1">
      <alignment horizontal="right" vertical="center"/>
      <protection hidden="1"/>
    </xf>
    <xf numFmtId="0" fontId="59" fillId="25" borderId="0" xfId="0" applyFont="1" applyFill="1"/>
    <xf numFmtId="0" fontId="60" fillId="25" borderId="0" xfId="5" applyFont="1" applyFill="1" applyAlignment="1" applyProtection="1">
      <alignment vertical="center"/>
      <protection hidden="1"/>
    </xf>
    <xf numFmtId="0" fontId="61" fillId="25" borderId="0" xfId="0" applyFont="1" applyFill="1"/>
    <xf numFmtId="0" fontId="62" fillId="25" borderId="0" xfId="0" applyFont="1" applyFill="1"/>
    <xf numFmtId="10" fontId="63" fillId="25" borderId="0" xfId="0" applyNumberFormat="1" applyFont="1" applyFill="1" applyAlignment="1">
      <alignment horizontal="left"/>
    </xf>
    <xf numFmtId="0" fontId="63" fillId="25" borderId="0" xfId="0" applyFont="1" applyFill="1" applyAlignment="1">
      <alignment horizontal="left"/>
    </xf>
    <xf numFmtId="4" fontId="63" fillId="25" borderId="0" xfId="0" applyNumberFormat="1" applyFont="1" applyFill="1" applyAlignment="1">
      <alignment horizontal="left"/>
    </xf>
    <xf numFmtId="170" fontId="63" fillId="25" borderId="0" xfId="13" applyNumberFormat="1" applyFont="1" applyFill="1" applyAlignment="1">
      <alignment horizontal="left"/>
    </xf>
    <xf numFmtId="1" fontId="63" fillId="25" borderId="0" xfId="0" applyNumberFormat="1" applyFont="1" applyFill="1" applyAlignment="1">
      <alignment horizontal="left"/>
    </xf>
    <xf numFmtId="0" fontId="33" fillId="24" borderId="0" xfId="5" applyFont="1" applyFill="1" applyAlignment="1" applyProtection="1">
      <alignment vertical="center"/>
      <protection hidden="1"/>
    </xf>
    <xf numFmtId="4" fontId="33" fillId="25" borderId="0" xfId="5" applyNumberFormat="1" applyFont="1" applyFill="1" applyBorder="1" applyAlignment="1" applyProtection="1">
      <alignment horizontal="left" vertical="center"/>
      <protection hidden="1"/>
    </xf>
    <xf numFmtId="1" fontId="33" fillId="25" borderId="0" xfId="5" applyNumberFormat="1" applyFont="1" applyFill="1" applyBorder="1" applyAlignment="1" applyProtection="1">
      <alignment horizontal="left" vertical="center"/>
      <protection hidden="1"/>
    </xf>
    <xf numFmtId="3" fontId="33" fillId="25" borderId="0" xfId="5" applyNumberFormat="1" applyFont="1" applyFill="1" applyBorder="1" applyAlignment="1" applyProtection="1">
      <alignment horizontal="left" vertical="center"/>
      <protection hidden="1"/>
    </xf>
    <xf numFmtId="0" fontId="33" fillId="25" borderId="0" xfId="5" applyFont="1" applyFill="1" applyBorder="1" applyAlignment="1" applyProtection="1">
      <alignment horizontal="left" vertical="center"/>
      <protection hidden="1"/>
    </xf>
    <xf numFmtId="10" fontId="33" fillId="25" borderId="0" xfId="5" applyNumberFormat="1" applyFont="1" applyFill="1" applyBorder="1" applyAlignment="1" applyProtection="1">
      <alignment horizontal="left" vertical="center"/>
      <protection hidden="1"/>
    </xf>
    <xf numFmtId="0" fontId="36" fillId="25" borderId="0" xfId="5" applyFont="1" applyFill="1" applyBorder="1" applyAlignment="1" applyProtection="1">
      <alignment horizontal="left" vertical="center"/>
      <protection hidden="1"/>
    </xf>
    <xf numFmtId="0" fontId="33" fillId="25" borderId="0" xfId="5" applyFont="1" applyFill="1" applyBorder="1" applyAlignment="1" applyProtection="1">
      <alignment vertical="center"/>
      <protection hidden="1"/>
    </xf>
    <xf numFmtId="43" fontId="33" fillId="25" borderId="0" xfId="1" applyFont="1" applyFill="1" applyBorder="1" applyAlignment="1" applyProtection="1">
      <alignment vertical="center"/>
      <protection hidden="1"/>
    </xf>
    <xf numFmtId="0" fontId="64" fillId="0" borderId="0" xfId="5" applyFont="1" applyAlignment="1" applyProtection="1">
      <alignment vertical="center"/>
      <protection hidden="1"/>
    </xf>
    <xf numFmtId="10" fontId="0" fillId="0" borderId="0" xfId="0" applyNumberFormat="1" applyAlignment="1">
      <alignment vertical="center"/>
    </xf>
    <xf numFmtId="9" fontId="0" fillId="0" borderId="0" xfId="0" applyNumberFormat="1" applyAlignment="1">
      <alignment vertical="center"/>
    </xf>
    <xf numFmtId="44" fontId="0" fillId="0" borderId="0" xfId="13" applyFont="1" applyAlignment="1">
      <alignment vertical="center"/>
    </xf>
    <xf numFmtId="0" fontId="33" fillId="0" borderId="63" xfId="5" applyFont="1" applyBorder="1" applyAlignment="1" applyProtection="1">
      <alignment vertical="center"/>
      <protection hidden="1"/>
    </xf>
    <xf numFmtId="0" fontId="18" fillId="0" borderId="10" xfId="0" applyNumberFormat="1" applyFont="1" applyBorder="1" applyAlignment="1">
      <alignment horizontal="center" vertical="center"/>
    </xf>
    <xf numFmtId="49" fontId="10" fillId="10" borderId="26" xfId="0" applyNumberFormat="1" applyFont="1" applyFill="1" applyBorder="1" applyAlignment="1">
      <alignment horizontal="center" vertical="center" wrapText="1"/>
    </xf>
    <xf numFmtId="49" fontId="10" fillId="10" borderId="24" xfId="0" applyNumberFormat="1" applyFont="1" applyFill="1" applyBorder="1" applyAlignment="1">
      <alignment horizontal="center" vertical="center" wrapText="1"/>
    </xf>
    <xf numFmtId="0" fontId="42" fillId="0" borderId="0" xfId="0" applyFont="1" applyFill="1" applyBorder="1" applyAlignment="1">
      <alignment vertical="center"/>
    </xf>
    <xf numFmtId="0" fontId="69" fillId="0" borderId="0" xfId="17" applyFont="1" applyAlignment="1" applyProtection="1">
      <alignment vertical="center"/>
      <protection locked="0"/>
    </xf>
    <xf numFmtId="0" fontId="70" fillId="0" borderId="0" xfId="17" applyFont="1" applyAlignment="1" applyProtection="1">
      <alignment vertical="center"/>
      <protection locked="0"/>
    </xf>
    <xf numFmtId="40" fontId="69" fillId="0" borderId="0" xfId="17" applyNumberFormat="1" applyFont="1" applyAlignment="1" applyProtection="1">
      <alignment horizontal="center" vertical="center"/>
      <protection locked="0"/>
    </xf>
    <xf numFmtId="0" fontId="72" fillId="0" borderId="37" xfId="17" applyFont="1" applyBorder="1" applyAlignment="1" applyProtection="1">
      <alignment vertical="center"/>
      <protection locked="0"/>
    </xf>
    <xf numFmtId="0" fontId="70" fillId="0" borderId="37" xfId="17" applyFont="1" applyBorder="1" applyAlignment="1" applyProtection="1">
      <alignment vertical="center"/>
      <protection locked="0"/>
    </xf>
    <xf numFmtId="0" fontId="70" fillId="0" borderId="37" xfId="17" applyFont="1" applyBorder="1" applyAlignment="1" applyProtection="1">
      <alignment horizontal="right" vertical="center"/>
      <protection locked="0"/>
    </xf>
    <xf numFmtId="0" fontId="71" fillId="0" borderId="0" xfId="17" applyFont="1" applyAlignment="1" applyProtection="1">
      <alignment horizontal="center" vertical="center"/>
      <protection locked="0"/>
    </xf>
    <xf numFmtId="0" fontId="8" fillId="10" borderId="67" xfId="0" applyFont="1" applyFill="1" applyBorder="1" applyAlignment="1">
      <alignment horizontal="left" vertical="center" wrapText="1"/>
    </xf>
    <xf numFmtId="4" fontId="70" fillId="0" borderId="13" xfId="17" applyNumberFormat="1" applyFont="1" applyBorder="1" applyAlignment="1" applyProtection="1">
      <alignment vertical="center"/>
      <protection locked="0"/>
    </xf>
    <xf numFmtId="0" fontId="74" fillId="22" borderId="68" xfId="17" applyFont="1" applyFill="1" applyBorder="1" applyAlignment="1" applyProtection="1">
      <alignment horizontal="center" vertical="center"/>
      <protection locked="0"/>
    </xf>
    <xf numFmtId="0" fontId="8" fillId="10" borderId="69" xfId="0" applyFont="1" applyFill="1" applyBorder="1" applyAlignment="1">
      <alignment horizontal="left" vertical="center" wrapText="1"/>
    </xf>
    <xf numFmtId="4" fontId="70" fillId="0" borderId="10" xfId="17" applyNumberFormat="1" applyFont="1" applyBorder="1" applyAlignment="1" applyProtection="1">
      <alignment vertical="center"/>
      <protection locked="0"/>
    </xf>
    <xf numFmtId="0" fontId="70" fillId="0" borderId="13" xfId="17" applyFont="1" applyBorder="1" applyAlignment="1" applyProtection="1">
      <alignment vertical="center"/>
      <protection locked="0"/>
    </xf>
    <xf numFmtId="0" fontId="69" fillId="0" borderId="71" xfId="17" applyFont="1" applyBorder="1" applyAlignment="1" applyProtection="1">
      <alignment vertical="center"/>
      <protection locked="0"/>
    </xf>
    <xf numFmtId="0" fontId="8" fillId="10" borderId="72" xfId="0" applyFont="1" applyFill="1" applyBorder="1" applyAlignment="1">
      <alignment horizontal="left" vertical="center" wrapText="1"/>
    </xf>
    <xf numFmtId="182" fontId="70" fillId="0" borderId="14" xfId="0" applyNumberFormat="1" applyFont="1" applyBorder="1" applyAlignment="1">
      <alignment horizontal="left" vertical="center"/>
    </xf>
    <xf numFmtId="4" fontId="70" fillId="0" borderId="70" xfId="17" applyNumberFormat="1" applyFont="1" applyBorder="1" applyAlignment="1" applyProtection="1">
      <alignment vertical="center"/>
      <protection locked="0"/>
    </xf>
    <xf numFmtId="4" fontId="70" fillId="0" borderId="0" xfId="17" applyNumberFormat="1" applyFont="1" applyAlignment="1" applyProtection="1">
      <alignment vertical="center"/>
      <protection locked="0"/>
    </xf>
    <xf numFmtId="182" fontId="70" fillId="28" borderId="14" xfId="0" applyNumberFormat="1" applyFont="1" applyFill="1" applyBorder="1" applyAlignment="1">
      <alignment horizontal="left" vertical="center"/>
    </xf>
    <xf numFmtId="4" fontId="70" fillId="28" borderId="70" xfId="17" applyNumberFormat="1" applyFont="1" applyFill="1" applyBorder="1" applyAlignment="1" applyProtection="1">
      <alignment vertical="center"/>
      <protection locked="0"/>
    </xf>
    <xf numFmtId="173" fontId="75" fillId="4" borderId="10" xfId="20" applyFont="1" applyFill="1" applyBorder="1" applyAlignment="1" applyProtection="1">
      <alignment horizontal="left" vertical="center"/>
      <protection locked="0"/>
    </xf>
    <xf numFmtId="0" fontId="70" fillId="0" borderId="7" xfId="17" applyFont="1" applyBorder="1" applyAlignment="1" applyProtection="1">
      <alignment vertical="center"/>
      <protection locked="0"/>
    </xf>
    <xf numFmtId="173" fontId="75" fillId="29" borderId="10" xfId="20" applyFont="1" applyFill="1" applyBorder="1" applyAlignment="1" applyProtection="1">
      <alignment horizontal="left" vertical="center"/>
      <protection locked="0"/>
    </xf>
    <xf numFmtId="0" fontId="70" fillId="12" borderId="7" xfId="17" applyFont="1" applyFill="1" applyBorder="1" applyAlignment="1" applyProtection="1">
      <alignment vertical="center"/>
      <protection locked="0"/>
    </xf>
    <xf numFmtId="4" fontId="70" fillId="12" borderId="10" xfId="17" applyNumberFormat="1" applyFont="1" applyFill="1" applyBorder="1" applyAlignment="1" applyProtection="1">
      <alignment vertical="center"/>
      <protection locked="0"/>
    </xf>
    <xf numFmtId="3" fontId="70" fillId="0" borderId="0" xfId="19" applyNumberFormat="1" applyFont="1" applyAlignment="1" applyProtection="1">
      <alignment vertical="center"/>
      <protection locked="0"/>
    </xf>
    <xf numFmtId="4" fontId="70" fillId="0" borderId="0" xfId="17" applyNumberFormat="1" applyFont="1" applyAlignment="1" applyProtection="1">
      <alignment horizontal="left" vertical="center"/>
      <protection locked="0"/>
    </xf>
    <xf numFmtId="4" fontId="70" fillId="0" borderId="5" xfId="17" applyNumberFormat="1" applyFont="1" applyBorder="1" applyAlignment="1" applyProtection="1">
      <alignment vertical="center"/>
      <protection locked="0"/>
    </xf>
    <xf numFmtId="0" fontId="8" fillId="10" borderId="73" xfId="0" applyFont="1" applyFill="1" applyBorder="1" applyAlignment="1">
      <alignment horizontal="left" vertical="center" wrapText="1"/>
    </xf>
    <xf numFmtId="0" fontId="70" fillId="28" borderId="7" xfId="19" applyFont="1" applyFill="1" applyBorder="1" applyAlignment="1" applyProtection="1">
      <alignment vertical="center"/>
      <protection locked="0"/>
    </xf>
    <xf numFmtId="0" fontId="70" fillId="28" borderId="70" xfId="17" applyFont="1" applyFill="1" applyBorder="1" applyAlignment="1" applyProtection="1">
      <alignment vertical="center"/>
      <protection locked="0"/>
    </xf>
    <xf numFmtId="0" fontId="70" fillId="0" borderId="0" xfId="17" applyFont="1" applyAlignment="1" applyProtection="1">
      <alignment vertical="center" wrapText="1"/>
      <protection locked="0"/>
    </xf>
    <xf numFmtId="0" fontId="70" fillId="0" borderId="0" xfId="17" applyFont="1" applyAlignment="1" applyProtection="1">
      <alignment horizontal="center" vertical="center"/>
      <protection locked="0"/>
    </xf>
    <xf numFmtId="182" fontId="70" fillId="0" borderId="0" xfId="0" applyNumberFormat="1" applyFont="1" applyAlignment="1">
      <alignment horizontal="center" vertical="center"/>
    </xf>
    <xf numFmtId="0" fontId="76" fillId="0" borderId="37" xfId="0" applyFont="1" applyBorder="1" applyAlignment="1">
      <alignment horizontal="left" vertical="center" wrapText="1"/>
    </xf>
    <xf numFmtId="182" fontId="70" fillId="0" borderId="37" xfId="0" applyNumberFormat="1" applyFont="1" applyBorder="1" applyAlignment="1">
      <alignment horizontal="center" vertical="center"/>
    </xf>
    <xf numFmtId="4" fontId="70" fillId="0" borderId="37" xfId="17" applyNumberFormat="1" applyFont="1" applyBorder="1" applyAlignment="1" applyProtection="1">
      <alignment horizontal="center" vertical="center"/>
      <protection locked="0"/>
    </xf>
    <xf numFmtId="0" fontId="70" fillId="0" borderId="37" xfId="17" applyFont="1" applyBorder="1" applyAlignment="1" applyProtection="1">
      <alignment horizontal="center" vertical="center"/>
      <protection locked="0"/>
    </xf>
    <xf numFmtId="0" fontId="8" fillId="10" borderId="67" xfId="0" applyFont="1" applyFill="1" applyBorder="1" applyAlignment="1">
      <alignment horizontal="center" vertical="center" wrapText="1"/>
    </xf>
    <xf numFmtId="182" fontId="70" fillId="0" borderId="13" xfId="0" applyNumberFormat="1" applyFont="1" applyBorder="1" applyAlignment="1">
      <alignment horizontal="center" vertical="center"/>
    </xf>
    <xf numFmtId="0" fontId="70" fillId="3" borderId="10" xfId="17" applyFont="1" applyFill="1" applyBorder="1" applyAlignment="1" applyProtection="1">
      <alignment vertical="center"/>
      <protection locked="0"/>
    </xf>
    <xf numFmtId="182" fontId="70" fillId="3" borderId="10" xfId="0" applyNumberFormat="1" applyFont="1" applyFill="1" applyBorder="1" applyAlignment="1">
      <alignment horizontal="center" vertical="center"/>
    </xf>
    <xf numFmtId="0" fontId="70" fillId="0" borderId="10" xfId="17" applyFont="1" applyBorder="1" applyAlignment="1" applyProtection="1">
      <alignment vertical="center"/>
      <protection locked="0"/>
    </xf>
    <xf numFmtId="182" fontId="70" fillId="0" borderId="10" xfId="0" applyNumberFormat="1" applyFont="1" applyBorder="1" applyAlignment="1">
      <alignment horizontal="center" vertical="center"/>
    </xf>
    <xf numFmtId="0" fontId="77" fillId="10" borderId="10" xfId="17" applyFont="1" applyFill="1" applyBorder="1" applyAlignment="1" applyProtection="1">
      <alignment vertical="center"/>
      <protection locked="0"/>
    </xf>
    <xf numFmtId="0" fontId="77" fillId="10" borderId="0" xfId="19" applyFont="1" applyFill="1" applyAlignment="1" applyProtection="1">
      <alignment vertical="center"/>
      <protection locked="0"/>
    </xf>
    <xf numFmtId="0" fontId="70" fillId="0" borderId="0" xfId="19" applyFont="1" applyAlignment="1" applyProtection="1">
      <alignment vertical="center"/>
      <protection locked="0"/>
    </xf>
    <xf numFmtId="0" fontId="70" fillId="0" borderId="0" xfId="0" applyFont="1" applyAlignment="1">
      <alignment horizontal="center"/>
    </xf>
    <xf numFmtId="0" fontId="70" fillId="0" borderId="0" xfId="0" applyFont="1" applyAlignment="1">
      <alignment vertical="center"/>
    </xf>
    <xf numFmtId="183" fontId="77" fillId="30" borderId="10" xfId="18" applyNumberFormat="1" applyFont="1" applyFill="1" applyBorder="1" applyAlignment="1">
      <alignment horizontal="center" vertical="center" wrapText="1"/>
    </xf>
    <xf numFmtId="0" fontId="8" fillId="10" borderId="66" xfId="0" applyFont="1" applyFill="1" applyBorder="1" applyAlignment="1">
      <alignment horizontal="left" vertical="center" wrapText="1"/>
    </xf>
    <xf numFmtId="0" fontId="70" fillId="0" borderId="10" xfId="0" applyFont="1" applyBorder="1" applyAlignment="1">
      <alignment horizontal="center"/>
    </xf>
    <xf numFmtId="0" fontId="70" fillId="32" borderId="10" xfId="0" applyFont="1" applyFill="1" applyBorder="1" applyAlignment="1">
      <alignment horizontal="center" vertical="center"/>
    </xf>
    <xf numFmtId="37" fontId="70" fillId="0" borderId="10" xfId="0" applyNumberFormat="1" applyFont="1" applyBorder="1" applyAlignment="1">
      <alignment horizontal="center" vertical="center"/>
    </xf>
    <xf numFmtId="182" fontId="70" fillId="32" borderId="10" xfId="0" applyNumberFormat="1" applyFont="1" applyFill="1" applyBorder="1" applyAlignment="1">
      <alignment horizontal="center" vertical="center"/>
    </xf>
    <xf numFmtId="184" fontId="70" fillId="0" borderId="0" xfId="17" applyNumberFormat="1" applyFont="1" applyAlignment="1" applyProtection="1">
      <alignment vertical="center"/>
      <protection locked="0"/>
    </xf>
    <xf numFmtId="0" fontId="70" fillId="0" borderId="0" xfId="17" applyFont="1" applyAlignment="1" applyProtection="1">
      <alignment horizontal="left" vertical="top"/>
      <protection locked="0"/>
    </xf>
    <xf numFmtId="0" fontId="78" fillId="0" borderId="0" xfId="17" applyFont="1" applyAlignment="1" applyProtection="1">
      <alignment vertical="center"/>
      <protection locked="0"/>
    </xf>
    <xf numFmtId="0" fontId="79" fillId="0" borderId="0" xfId="4" applyFont="1" applyAlignment="1" applyProtection="1">
      <alignment vertical="center"/>
      <protection locked="0"/>
    </xf>
    <xf numFmtId="0" fontId="80" fillId="0" borderId="37" xfId="4" applyFont="1" applyBorder="1" applyAlignment="1" applyProtection="1">
      <alignment vertical="center"/>
      <protection locked="0"/>
    </xf>
    <xf numFmtId="0" fontId="78" fillId="0" borderId="37" xfId="17" applyFont="1" applyBorder="1" applyAlignment="1" applyProtection="1">
      <alignment vertical="center"/>
      <protection locked="0"/>
    </xf>
    <xf numFmtId="0" fontId="80" fillId="0" borderId="37" xfId="4" applyFont="1" applyBorder="1" applyAlignment="1" applyProtection="1">
      <alignment horizontal="right" vertical="center"/>
      <protection locked="0"/>
    </xf>
    <xf numFmtId="0" fontId="81" fillId="0" borderId="37" xfId="4" applyFont="1" applyBorder="1" applyAlignment="1" applyProtection="1">
      <alignment vertical="center"/>
      <protection locked="0"/>
    </xf>
    <xf numFmtId="0" fontId="81" fillId="0" borderId="0" xfId="4" applyFont="1" applyAlignment="1" applyProtection="1">
      <alignment vertical="center"/>
      <protection locked="0"/>
    </xf>
    <xf numFmtId="39" fontId="79" fillId="0" borderId="3" xfId="17" applyNumberFormat="1" applyFont="1" applyBorder="1" applyAlignment="1" applyProtection="1">
      <alignment horizontal="centerContinuous" vertical="center"/>
      <protection locked="0"/>
    </xf>
    <xf numFmtId="39" fontId="79" fillId="4" borderId="0" xfId="17" applyNumberFormat="1" applyFont="1" applyFill="1" applyAlignment="1" applyProtection="1">
      <alignment horizontal="centerContinuous" vertical="center"/>
      <protection locked="0"/>
    </xf>
    <xf numFmtId="39" fontId="79" fillId="0" borderId="0" xfId="17" applyNumberFormat="1" applyFont="1" applyAlignment="1" applyProtection="1">
      <alignment horizontal="centerContinuous" vertical="center"/>
      <protection locked="0"/>
    </xf>
    <xf numFmtId="39" fontId="79" fillId="0" borderId="0" xfId="17" applyNumberFormat="1" applyFont="1" applyAlignment="1" applyProtection="1">
      <alignment horizontal="center" vertical="center"/>
      <protection locked="0"/>
    </xf>
    <xf numFmtId="0" fontId="78" fillId="4" borderId="0" xfId="17" applyFont="1" applyFill="1" applyAlignment="1" applyProtection="1">
      <alignment vertical="center"/>
      <protection locked="0"/>
    </xf>
    <xf numFmtId="0" fontId="78" fillId="0" borderId="0" xfId="17" applyFont="1" applyAlignment="1">
      <alignment vertical="center"/>
    </xf>
    <xf numFmtId="39" fontId="79" fillId="4" borderId="0" xfId="17" applyNumberFormat="1" applyFont="1" applyFill="1" applyAlignment="1" applyProtection="1">
      <alignment vertical="center"/>
      <protection locked="0"/>
    </xf>
    <xf numFmtId="183" fontId="83" fillId="10" borderId="0" xfId="18" applyNumberFormat="1" applyFont="1" applyFill="1" applyAlignment="1" applyProtection="1">
      <alignment horizontal="center" vertical="center" wrapText="1"/>
      <protection locked="0"/>
    </xf>
    <xf numFmtId="0" fontId="83" fillId="10" borderId="81" xfId="18" applyFont="1" applyFill="1" applyBorder="1" applyAlignment="1" applyProtection="1">
      <alignment horizontal="center" vertical="center" wrapText="1"/>
      <protection locked="0"/>
    </xf>
    <xf numFmtId="0" fontId="82" fillId="4" borderId="0" xfId="17" applyFont="1" applyFill="1" applyAlignment="1" applyProtection="1">
      <alignment vertical="center"/>
      <protection locked="0"/>
    </xf>
    <xf numFmtId="166" fontId="82" fillId="4" borderId="0" xfId="17" applyNumberFormat="1" applyFont="1" applyFill="1" applyAlignment="1" applyProtection="1">
      <alignment vertical="center"/>
      <protection locked="0"/>
    </xf>
    <xf numFmtId="166" fontId="82" fillId="10" borderId="0" xfId="17" applyNumberFormat="1" applyFont="1" applyFill="1" applyAlignment="1" applyProtection="1">
      <alignment vertical="center"/>
      <protection locked="0"/>
    </xf>
    <xf numFmtId="0" fontId="83" fillId="0" borderId="0" xfId="18" applyFont="1" applyAlignment="1" applyProtection="1">
      <alignment horizontal="center" vertical="center" wrapText="1"/>
      <protection locked="0"/>
    </xf>
    <xf numFmtId="39" fontId="84" fillId="0" borderId="0" xfId="17" applyNumberFormat="1" applyFont="1" applyAlignment="1" applyProtection="1">
      <alignment horizontal="center" vertical="center"/>
      <protection locked="0"/>
    </xf>
    <xf numFmtId="0" fontId="82" fillId="0" borderId="0" xfId="17" applyFont="1" applyAlignment="1" applyProtection="1">
      <alignment vertical="center"/>
      <protection locked="0"/>
    </xf>
    <xf numFmtId="183" fontId="83" fillId="10" borderId="83" xfId="18" applyNumberFormat="1" applyFont="1" applyFill="1" applyBorder="1" applyAlignment="1">
      <alignment horizontal="center" vertical="center" wrapText="1"/>
    </xf>
    <xf numFmtId="183" fontId="83" fillId="10" borderId="83" xfId="18" applyNumberFormat="1" applyFont="1" applyFill="1" applyBorder="1" applyAlignment="1" applyProtection="1">
      <alignment horizontal="center" vertical="center" wrapText="1"/>
      <protection locked="0"/>
    </xf>
    <xf numFmtId="183" fontId="85" fillId="10" borderId="0" xfId="18" applyNumberFormat="1" applyFont="1" applyFill="1" applyAlignment="1" applyProtection="1">
      <alignment horizontal="center" vertical="center" wrapText="1"/>
      <protection locked="0"/>
    </xf>
    <xf numFmtId="183" fontId="83" fillId="10" borderId="85" xfId="18" applyNumberFormat="1" applyFont="1" applyFill="1" applyBorder="1" applyAlignment="1" applyProtection="1">
      <alignment horizontal="center" vertical="center" wrapText="1"/>
      <protection locked="0"/>
    </xf>
    <xf numFmtId="0" fontId="83" fillId="10" borderId="83" xfId="18" applyFont="1" applyFill="1" applyBorder="1" applyAlignment="1" applyProtection="1">
      <alignment horizontal="center" vertical="center" wrapText="1"/>
      <protection locked="0"/>
    </xf>
    <xf numFmtId="39" fontId="84" fillId="4" borderId="0" xfId="17" applyNumberFormat="1" applyFont="1" applyFill="1" applyAlignment="1" applyProtection="1">
      <alignment horizontal="center" vertical="center"/>
      <protection locked="0"/>
    </xf>
    <xf numFmtId="0" fontId="83" fillId="10" borderId="83" xfId="19" applyFont="1" applyFill="1" applyBorder="1" applyAlignment="1">
      <alignment horizontal="center" vertical="center" wrapText="1"/>
    </xf>
    <xf numFmtId="0" fontId="83" fillId="10" borderId="83" xfId="24" applyFont="1" applyFill="1" applyBorder="1" applyAlignment="1" applyProtection="1">
      <alignment horizontal="center" vertical="center" wrapText="1"/>
      <protection locked="0"/>
    </xf>
    <xf numFmtId="0" fontId="83" fillId="10" borderId="83" xfId="25" applyFont="1" applyFill="1" applyBorder="1" applyAlignment="1" applyProtection="1">
      <alignment horizontal="center" vertical="center" wrapText="1"/>
      <protection locked="0"/>
    </xf>
    <xf numFmtId="39" fontId="84" fillId="4" borderId="3" xfId="17" applyNumberFormat="1" applyFont="1" applyFill="1" applyBorder="1" applyAlignment="1" applyProtection="1">
      <alignment horizontal="centerContinuous" vertical="center"/>
      <protection locked="0"/>
    </xf>
    <xf numFmtId="39" fontId="84" fillId="4" borderId="0" xfId="17" applyNumberFormat="1" applyFont="1" applyFill="1" applyAlignment="1" applyProtection="1">
      <alignment horizontal="centerContinuous" vertical="center"/>
      <protection locked="0"/>
    </xf>
    <xf numFmtId="0" fontId="82" fillId="4" borderId="3" xfId="17" applyFont="1" applyFill="1" applyBorder="1" applyAlignment="1" applyProtection="1">
      <alignment vertical="center"/>
      <protection locked="0"/>
    </xf>
    <xf numFmtId="0" fontId="82" fillId="4" borderId="3" xfId="17" applyFont="1" applyFill="1" applyBorder="1" applyAlignment="1">
      <alignment vertical="center"/>
    </xf>
    <xf numFmtId="39" fontId="84" fillId="4" borderId="3" xfId="17" applyNumberFormat="1" applyFont="1" applyFill="1" applyBorder="1" applyAlignment="1" applyProtection="1">
      <alignment vertical="center"/>
      <protection locked="0"/>
    </xf>
    <xf numFmtId="39" fontId="84" fillId="4" borderId="3" xfId="17" applyNumberFormat="1" applyFont="1" applyFill="1" applyBorder="1" applyAlignment="1" applyProtection="1">
      <alignment horizontal="right" vertical="center"/>
      <protection locked="0"/>
    </xf>
    <xf numFmtId="39" fontId="82" fillId="34" borderId="3" xfId="17" applyNumberFormat="1" applyFont="1" applyFill="1" applyBorder="1" applyAlignment="1" applyProtection="1">
      <alignment horizontal="center" vertical="center"/>
      <protection locked="0"/>
    </xf>
    <xf numFmtId="39" fontId="82" fillId="34" borderId="3" xfId="17" applyNumberFormat="1" applyFont="1" applyFill="1" applyBorder="1" applyAlignment="1">
      <alignment horizontal="center" vertical="center"/>
    </xf>
    <xf numFmtId="39" fontId="82" fillId="34" borderId="3" xfId="17" applyNumberFormat="1" applyFont="1" applyFill="1" applyBorder="1" applyAlignment="1">
      <alignment horizontal="left" vertical="center"/>
    </xf>
    <xf numFmtId="39" fontId="82" fillId="34" borderId="3" xfId="17" applyNumberFormat="1" applyFont="1" applyFill="1" applyBorder="1" applyAlignment="1">
      <alignment horizontal="left" vertical="center" wrapText="1"/>
    </xf>
    <xf numFmtId="39" fontId="82" fillId="34" borderId="3" xfId="17" applyNumberFormat="1" applyFont="1" applyFill="1" applyBorder="1" applyAlignment="1">
      <alignment horizontal="center" vertical="center" wrapText="1"/>
    </xf>
    <xf numFmtId="185" fontId="82" fillId="34" borderId="3" xfId="17" applyNumberFormat="1" applyFont="1" applyFill="1" applyBorder="1" applyAlignment="1">
      <alignment horizontal="center" vertical="center"/>
    </xf>
    <xf numFmtId="37" fontId="82" fillId="34" borderId="3" xfId="26" applyNumberFormat="1" applyFont="1" applyFill="1" applyBorder="1" applyAlignment="1" applyProtection="1">
      <alignment horizontal="center" vertical="center" wrapText="1"/>
    </xf>
    <xf numFmtId="184" fontId="86" fillId="30" borderId="3" xfId="17" applyNumberFormat="1" applyFont="1" applyFill="1" applyBorder="1" applyAlignment="1" applyProtection="1">
      <alignment horizontal="center" vertical="center"/>
      <protection locked="0"/>
    </xf>
    <xf numFmtId="39" fontId="82" fillId="34" borderId="14" xfId="17" applyNumberFormat="1" applyFont="1" applyFill="1" applyBorder="1" applyAlignment="1" applyProtection="1">
      <alignment horizontal="center" vertical="center"/>
      <protection locked="0"/>
    </xf>
    <xf numFmtId="39" fontId="82" fillId="0" borderId="0" xfId="17" applyNumberFormat="1" applyFont="1" applyAlignment="1" applyProtection="1">
      <alignment horizontal="center" vertical="center"/>
      <protection locked="0"/>
    </xf>
    <xf numFmtId="0" fontId="82" fillId="34" borderId="14" xfId="17" applyFont="1" applyFill="1" applyBorder="1" applyAlignment="1">
      <alignment horizontal="center" vertical="center"/>
    </xf>
    <xf numFmtId="1" fontId="82" fillId="34" borderId="14" xfId="17" applyNumberFormat="1" applyFont="1" applyFill="1" applyBorder="1" applyAlignment="1">
      <alignment horizontal="center" vertical="center"/>
    </xf>
    <xf numFmtId="37" fontId="82" fillId="34" borderId="14" xfId="17" applyNumberFormat="1" applyFont="1" applyFill="1" applyBorder="1" applyAlignment="1">
      <alignment horizontal="center" vertical="center"/>
    </xf>
    <xf numFmtId="166" fontId="82" fillId="34" borderId="14" xfId="17" applyNumberFormat="1" applyFont="1" applyFill="1" applyBorder="1" applyAlignment="1">
      <alignment horizontal="center" vertical="center"/>
    </xf>
    <xf numFmtId="166" fontId="82" fillId="0" borderId="0" xfId="17" applyNumberFormat="1" applyFont="1" applyAlignment="1" applyProtection="1">
      <alignment vertical="center"/>
      <protection locked="0"/>
    </xf>
    <xf numFmtId="10" fontId="82" fillId="34" borderId="3" xfId="27" applyNumberFormat="1" applyFont="1" applyFill="1" applyBorder="1" applyAlignment="1" applyProtection="1">
      <alignment horizontal="center" vertical="center"/>
    </xf>
    <xf numFmtId="166" fontId="82" fillId="34" borderId="3" xfId="17" applyNumberFormat="1" applyFont="1" applyFill="1" applyBorder="1" applyAlignment="1">
      <alignment vertical="center"/>
    </xf>
    <xf numFmtId="39" fontId="82" fillId="34" borderId="3" xfId="17" applyNumberFormat="1" applyFont="1" applyFill="1" applyBorder="1" applyAlignment="1" applyProtection="1">
      <alignment horizontal="center" vertical="center" wrapText="1"/>
      <protection locked="0"/>
    </xf>
    <xf numFmtId="39" fontId="82" fillId="34" borderId="3" xfId="17" applyNumberFormat="1" applyFont="1" applyFill="1" applyBorder="1" applyAlignment="1" applyProtection="1">
      <alignment horizontal="left" vertical="center" wrapText="1"/>
      <protection locked="0"/>
    </xf>
    <xf numFmtId="39" fontId="86" fillId="30" borderId="3" xfId="17" applyNumberFormat="1" applyFont="1" applyFill="1" applyBorder="1" applyAlignment="1" applyProtection="1">
      <alignment horizontal="center" vertical="center"/>
      <protection locked="0"/>
    </xf>
    <xf numFmtId="40" fontId="86" fillId="30" borderId="3" xfId="17" applyNumberFormat="1" applyFont="1" applyFill="1" applyBorder="1" applyAlignment="1" applyProtection="1">
      <alignment horizontal="center" vertical="center"/>
      <protection locked="0"/>
    </xf>
    <xf numFmtId="40" fontId="82" fillId="0" borderId="0" xfId="17" applyNumberFormat="1" applyFont="1" applyAlignment="1" applyProtection="1">
      <alignment horizontal="center" vertical="center"/>
      <protection locked="0"/>
    </xf>
    <xf numFmtId="0" fontId="84" fillId="0" borderId="0" xfId="17" applyFont="1" applyAlignment="1">
      <alignment vertical="center"/>
    </xf>
    <xf numFmtId="0" fontId="82" fillId="0" borderId="0" xfId="17" applyFont="1" applyAlignment="1">
      <alignment vertical="center"/>
    </xf>
    <xf numFmtId="39" fontId="84" fillId="0" borderId="0" xfId="17" applyNumberFormat="1" applyFont="1" applyAlignment="1" applyProtection="1">
      <alignment horizontal="centerContinuous" vertical="center"/>
      <protection locked="0"/>
    </xf>
    <xf numFmtId="39" fontId="84" fillId="0" borderId="0" xfId="17" applyNumberFormat="1" applyFont="1" applyAlignment="1" applyProtection="1">
      <alignment horizontal="left" vertical="center"/>
      <protection locked="0"/>
    </xf>
    <xf numFmtId="37" fontId="84" fillId="0" borderId="0" xfId="17" applyNumberFormat="1" applyFont="1" applyAlignment="1" applyProtection="1">
      <alignment horizontal="center" vertical="center"/>
      <protection locked="0"/>
    </xf>
    <xf numFmtId="37" fontId="84" fillId="0" borderId="0" xfId="17" applyNumberFormat="1" applyFont="1" applyAlignment="1" applyProtection="1">
      <alignment horizontal="centerContinuous" vertical="center"/>
      <protection locked="0"/>
    </xf>
    <xf numFmtId="0" fontId="84" fillId="4" borderId="87" xfId="17" applyFont="1" applyFill="1" applyBorder="1" applyAlignment="1" applyProtection="1">
      <alignment vertical="center"/>
      <protection locked="0"/>
    </xf>
    <xf numFmtId="166" fontId="82" fillId="4" borderId="0" xfId="17" applyNumberFormat="1" applyFont="1" applyFill="1" applyAlignment="1" applyProtection="1">
      <alignment horizontal="center" vertical="center"/>
      <protection locked="0"/>
    </xf>
    <xf numFmtId="166" fontId="82" fillId="4" borderId="0" xfId="17" applyNumberFormat="1" applyFont="1" applyFill="1" applyAlignment="1">
      <alignment vertical="center"/>
    </xf>
    <xf numFmtId="39" fontId="84" fillId="4" borderId="0" xfId="17" applyNumberFormat="1" applyFont="1" applyFill="1" applyAlignment="1" applyProtection="1">
      <alignment vertical="center"/>
      <protection locked="0"/>
    </xf>
    <xf numFmtId="0" fontId="86" fillId="10" borderId="28" xfId="28" applyFont="1" applyFill="1" applyBorder="1" applyAlignment="1">
      <alignment horizontal="center"/>
    </xf>
    <xf numFmtId="0" fontId="86" fillId="10" borderId="25" xfId="28" applyFont="1" applyFill="1" applyBorder="1" applyAlignment="1">
      <alignment horizontal="center"/>
    </xf>
    <xf numFmtId="0" fontId="86" fillId="10" borderId="39" xfId="28" applyFont="1" applyFill="1" applyBorder="1" applyAlignment="1">
      <alignment horizontal="center"/>
    </xf>
    <xf numFmtId="0" fontId="87" fillId="10" borderId="38" xfId="28" applyFont="1" applyFill="1" applyBorder="1" applyAlignment="1">
      <alignment horizontal="center"/>
    </xf>
    <xf numFmtId="0" fontId="87" fillId="30" borderId="0" xfId="17" applyFont="1" applyFill="1" applyAlignment="1" applyProtection="1">
      <alignment horizontal="center" vertical="center"/>
      <protection locked="0"/>
    </xf>
    <xf numFmtId="0" fontId="82" fillId="33" borderId="0" xfId="17" applyFont="1" applyFill="1" applyAlignment="1" applyProtection="1">
      <alignment horizontal="center" vertical="center"/>
      <protection locked="0"/>
    </xf>
    <xf numFmtId="0" fontId="82" fillId="4" borderId="0" xfId="17" applyFont="1" applyFill="1" applyAlignment="1">
      <alignment horizontal="center" vertical="center"/>
    </xf>
    <xf numFmtId="0" fontId="82" fillId="4" borderId="0" xfId="17" applyFont="1" applyFill="1" applyAlignment="1" applyProtection="1">
      <alignment horizontal="center" vertical="center"/>
      <protection locked="0"/>
    </xf>
    <xf numFmtId="39" fontId="82" fillId="4" borderId="0" xfId="17" applyNumberFormat="1" applyFont="1" applyFill="1" applyAlignment="1" applyProtection="1">
      <alignment horizontal="left" vertical="center"/>
      <protection locked="0"/>
    </xf>
    <xf numFmtId="39" fontId="82" fillId="4" borderId="0" xfId="17" applyNumberFormat="1" applyFont="1" applyFill="1" applyAlignment="1" applyProtection="1">
      <alignment horizontal="center" vertical="center"/>
      <protection locked="0"/>
    </xf>
    <xf numFmtId="37" fontId="82" fillId="4" borderId="0" xfId="17" applyNumberFormat="1" applyFont="1" applyFill="1" applyAlignment="1" applyProtection="1">
      <alignment horizontal="center" vertical="center"/>
      <protection locked="0"/>
    </xf>
    <xf numFmtId="184" fontId="82" fillId="4" borderId="0" xfId="17" applyNumberFormat="1" applyFont="1" applyFill="1" applyAlignment="1" applyProtection="1">
      <alignment horizontal="center" vertical="center"/>
      <protection locked="0"/>
    </xf>
    <xf numFmtId="39" fontId="82" fillId="4" borderId="0" xfId="17" applyNumberFormat="1" applyFont="1" applyFill="1" applyAlignment="1" applyProtection="1">
      <alignment horizontal="center" vertical="center" wrapText="1"/>
      <protection locked="0"/>
    </xf>
    <xf numFmtId="167" fontId="82" fillId="4" borderId="0" xfId="17" applyNumberFormat="1" applyFont="1" applyFill="1" applyAlignment="1" applyProtection="1">
      <alignment horizontal="center" vertical="center"/>
      <protection locked="0"/>
    </xf>
    <xf numFmtId="186" fontId="82" fillId="4" borderId="0" xfId="17" applyNumberFormat="1" applyFont="1" applyFill="1" applyAlignment="1" applyProtection="1">
      <alignment horizontal="center" vertical="center"/>
      <protection locked="0"/>
    </xf>
    <xf numFmtId="10" fontId="82" fillId="4" borderId="0" xfId="27" applyNumberFormat="1" applyFont="1" applyFill="1" applyBorder="1" applyAlignment="1" applyProtection="1">
      <alignment horizontal="center" vertical="center"/>
    </xf>
    <xf numFmtId="39" fontId="82" fillId="4" borderId="0" xfId="17" applyNumberFormat="1" applyFont="1" applyFill="1" applyAlignment="1">
      <alignment horizontal="center" vertical="center"/>
    </xf>
    <xf numFmtId="37" fontId="82" fillId="4" borderId="0" xfId="17" applyNumberFormat="1" applyFont="1" applyFill="1" applyAlignment="1">
      <alignment horizontal="center" vertical="center"/>
    </xf>
    <xf numFmtId="39" fontId="82" fillId="4" borderId="0" xfId="17" applyNumberFormat="1" applyFont="1" applyFill="1" applyAlignment="1">
      <alignment horizontal="left" vertical="center"/>
    </xf>
    <xf numFmtId="39" fontId="82" fillId="4" borderId="0" xfId="17" applyNumberFormat="1" applyFont="1" applyFill="1" applyAlignment="1">
      <alignment horizontal="center" vertical="center" wrapText="1"/>
    </xf>
    <xf numFmtId="187" fontId="82" fillId="4" borderId="0" xfId="26" applyNumberFormat="1" applyFont="1" applyFill="1" applyBorder="1" applyAlignment="1" applyProtection="1">
      <alignment horizontal="center" vertical="center" wrapText="1"/>
    </xf>
    <xf numFmtId="187" fontId="82" fillId="0" borderId="0" xfId="26" applyNumberFormat="1" applyFont="1" applyFill="1" applyBorder="1" applyAlignment="1" applyProtection="1">
      <alignment horizontal="center" vertical="center" wrapText="1"/>
    </xf>
    <xf numFmtId="187" fontId="82" fillId="35" borderId="0" xfId="26" applyNumberFormat="1" applyFont="1" applyFill="1" applyBorder="1" applyAlignment="1" applyProtection="1">
      <alignment horizontal="center" vertical="center" wrapText="1"/>
    </xf>
    <xf numFmtId="173" fontId="82" fillId="36" borderId="0" xfId="26" applyFont="1" applyFill="1" applyBorder="1" applyAlignment="1" applyProtection="1">
      <alignment horizontal="center" vertical="center" wrapText="1"/>
    </xf>
    <xf numFmtId="0" fontId="88" fillId="37" borderId="41" xfId="28" applyFont="1" applyFill="1" applyBorder="1" applyAlignment="1">
      <alignment horizontal="center"/>
    </xf>
    <xf numFmtId="173" fontId="88" fillId="37" borderId="42" xfId="26" applyFont="1" applyFill="1" applyBorder="1" applyAlignment="1" applyProtection="1">
      <alignment horizontal="center"/>
    </xf>
    <xf numFmtId="0" fontId="89" fillId="37" borderId="28" xfId="28" applyFont="1" applyFill="1" applyBorder="1" applyAlignment="1">
      <alignment horizontal="center"/>
    </xf>
    <xf numFmtId="188" fontId="89" fillId="0" borderId="25" xfId="29" applyFont="1" applyFill="1" applyBorder="1" applyAlignment="1" applyProtection="1">
      <alignment horizontal="center"/>
    </xf>
    <xf numFmtId="0" fontId="82" fillId="32" borderId="0" xfId="17" applyFont="1" applyFill="1" applyAlignment="1">
      <alignment horizontal="center" vertical="center"/>
    </xf>
    <xf numFmtId="0" fontId="82" fillId="32" borderId="0" xfId="17" applyFont="1" applyFill="1" applyAlignment="1" applyProtection="1">
      <alignment horizontal="center" vertical="center"/>
      <protection locked="0"/>
    </xf>
    <xf numFmtId="39" fontId="82" fillId="32" borderId="0" xfId="17" applyNumberFormat="1" applyFont="1" applyFill="1" applyAlignment="1" applyProtection="1">
      <alignment horizontal="left" vertical="center"/>
      <protection locked="0"/>
    </xf>
    <xf numFmtId="39" fontId="82" fillId="32" borderId="0" xfId="17" applyNumberFormat="1" applyFont="1" applyFill="1" applyAlignment="1" applyProtection="1">
      <alignment horizontal="center" vertical="center"/>
      <protection locked="0"/>
    </xf>
    <xf numFmtId="37" fontId="82" fillId="32" borderId="0" xfId="17" applyNumberFormat="1" applyFont="1" applyFill="1" applyAlignment="1" applyProtection="1">
      <alignment horizontal="center" vertical="center"/>
      <protection locked="0"/>
    </xf>
    <xf numFmtId="184" fontId="82" fillId="32" borderId="0" xfId="17" applyNumberFormat="1" applyFont="1" applyFill="1" applyAlignment="1" applyProtection="1">
      <alignment horizontal="center" vertical="center"/>
      <protection locked="0"/>
    </xf>
    <xf numFmtId="39" fontId="82" fillId="32" borderId="0" xfId="17" applyNumberFormat="1" applyFont="1" applyFill="1" applyAlignment="1" applyProtection="1">
      <alignment horizontal="center" vertical="center" wrapText="1"/>
      <protection locked="0"/>
    </xf>
    <xf numFmtId="167" fontId="82" fillId="32" borderId="0" xfId="17" applyNumberFormat="1" applyFont="1" applyFill="1" applyAlignment="1" applyProtection="1">
      <alignment horizontal="center" vertical="center"/>
      <protection locked="0"/>
    </xf>
    <xf numFmtId="186" fontId="82" fillId="32" borderId="0" xfId="17" applyNumberFormat="1" applyFont="1" applyFill="1" applyAlignment="1" applyProtection="1">
      <alignment horizontal="center" vertical="center"/>
      <protection locked="0"/>
    </xf>
    <xf numFmtId="166" fontId="82" fillId="0" borderId="0" xfId="17" applyNumberFormat="1" applyFont="1" applyAlignment="1" applyProtection="1">
      <alignment horizontal="left" vertical="center"/>
      <protection locked="0"/>
    </xf>
    <xf numFmtId="10" fontId="82" fillId="32" borderId="0" xfId="27" applyNumberFormat="1" applyFont="1" applyFill="1" applyBorder="1" applyAlignment="1" applyProtection="1">
      <alignment horizontal="center" vertical="center"/>
    </xf>
    <xf numFmtId="189" fontId="82" fillId="32" borderId="0" xfId="17" applyNumberFormat="1" applyFont="1" applyFill="1" applyAlignment="1">
      <alignment horizontal="center" vertical="center"/>
    </xf>
    <xf numFmtId="37" fontId="82" fillId="32" borderId="0" xfId="17" applyNumberFormat="1" applyFont="1" applyFill="1" applyAlignment="1">
      <alignment horizontal="center" vertical="center"/>
    </xf>
    <xf numFmtId="39" fontId="82" fillId="32" borderId="0" xfId="17" applyNumberFormat="1" applyFont="1" applyFill="1" applyAlignment="1">
      <alignment horizontal="left" vertical="center"/>
    </xf>
    <xf numFmtId="39" fontId="82" fillId="32" borderId="0" xfId="17" applyNumberFormat="1" applyFont="1" applyFill="1" applyAlignment="1">
      <alignment horizontal="center" vertical="center" wrapText="1"/>
    </xf>
    <xf numFmtId="187" fontId="82" fillId="32" borderId="0" xfId="26" applyNumberFormat="1" applyFont="1" applyFill="1" applyBorder="1" applyAlignment="1" applyProtection="1">
      <alignment horizontal="center" vertical="center" wrapText="1"/>
    </xf>
    <xf numFmtId="190" fontId="88" fillId="3" borderId="42" xfId="26" applyNumberFormat="1" applyFont="1" applyFill="1" applyBorder="1" applyAlignment="1" applyProtection="1">
      <alignment horizontal="center"/>
    </xf>
    <xf numFmtId="173" fontId="89" fillId="37" borderId="25" xfId="26" applyFont="1" applyFill="1" applyBorder="1" applyAlignment="1" applyProtection="1">
      <alignment horizontal="center"/>
    </xf>
    <xf numFmtId="173" fontId="88" fillId="3" borderId="42" xfId="26" applyFont="1" applyFill="1" applyBorder="1" applyAlignment="1" applyProtection="1">
      <alignment horizontal="center"/>
    </xf>
    <xf numFmtId="173" fontId="89" fillId="37" borderId="25" xfId="27" applyNumberFormat="1" applyFont="1" applyFill="1" applyBorder="1" applyAlignment="1" applyProtection="1">
      <alignment horizontal="right"/>
    </xf>
    <xf numFmtId="0" fontId="88" fillId="37" borderId="43" xfId="28" applyFont="1" applyFill="1" applyBorder="1" applyAlignment="1">
      <alignment horizontal="center"/>
    </xf>
    <xf numFmtId="173" fontId="88" fillId="3" borderId="27" xfId="26" applyFont="1" applyFill="1" applyBorder="1" applyAlignment="1" applyProtection="1">
      <alignment horizontal="center"/>
    </xf>
    <xf numFmtId="188" fontId="84" fillId="0" borderId="25" xfId="30" applyFont="1" applyFill="1" applyBorder="1" applyAlignment="1" applyProtection="1">
      <alignment horizontal="center"/>
    </xf>
    <xf numFmtId="173" fontId="89" fillId="37" borderId="29" xfId="26" applyFont="1" applyFill="1" applyBorder="1" applyAlignment="1" applyProtection="1">
      <alignment horizontal="center"/>
    </xf>
    <xf numFmtId="173" fontId="89" fillId="37" borderId="0" xfId="26" applyFont="1" applyFill="1" applyBorder="1" applyAlignment="1" applyProtection="1">
      <alignment horizontal="center"/>
    </xf>
    <xf numFmtId="2" fontId="89" fillId="37" borderId="0" xfId="28" applyNumberFormat="1" applyFont="1" applyFill="1" applyAlignment="1">
      <alignment horizontal="center"/>
    </xf>
    <xf numFmtId="0" fontId="82" fillId="37" borderId="89" xfId="28" applyFont="1" applyFill="1" applyBorder="1" applyAlignment="1">
      <alignment horizontal="center"/>
    </xf>
    <xf numFmtId="2" fontId="82" fillId="37" borderId="90" xfId="28" applyNumberFormat="1" applyFont="1" applyFill="1" applyBorder="1" applyAlignment="1">
      <alignment horizontal="center"/>
    </xf>
    <xf numFmtId="0" fontId="82" fillId="0" borderId="91" xfId="28" applyFont="1" applyBorder="1" applyAlignment="1">
      <alignment horizontal="center"/>
    </xf>
    <xf numFmtId="188" fontId="82" fillId="0" borderId="27" xfId="29" applyFont="1" applyBorder="1" applyAlignment="1" applyProtection="1">
      <alignment horizontal="center"/>
    </xf>
    <xf numFmtId="0" fontId="82" fillId="37" borderId="43" xfId="28" applyFont="1" applyFill="1" applyBorder="1" applyAlignment="1">
      <alignment horizontal="center"/>
    </xf>
    <xf numFmtId="2" fontId="82" fillId="37" borderId="27" xfId="28" applyNumberFormat="1" applyFont="1" applyFill="1" applyBorder="1" applyAlignment="1">
      <alignment horizontal="center"/>
    </xf>
    <xf numFmtId="0" fontId="82" fillId="37" borderId="90" xfId="28" applyFont="1" applyFill="1" applyBorder="1" applyAlignment="1">
      <alignment horizontal="center"/>
    </xf>
    <xf numFmtId="0" fontId="82" fillId="37" borderId="27" xfId="28" applyFont="1" applyFill="1" applyBorder="1" applyAlignment="1">
      <alignment horizontal="center"/>
    </xf>
    <xf numFmtId="0" fontId="84" fillId="3" borderId="43" xfId="28" applyFont="1" applyFill="1" applyBorder="1" applyAlignment="1">
      <alignment horizontal="left"/>
    </xf>
    <xf numFmtId="0" fontId="84" fillId="3" borderId="27" xfId="29" applyNumberFormat="1" applyFont="1" applyFill="1" applyBorder="1" applyAlignment="1" applyProtection="1">
      <alignment horizontal="center"/>
    </xf>
    <xf numFmtId="39" fontId="90" fillId="0" borderId="0" xfId="17" applyNumberFormat="1" applyFont="1" applyAlignment="1" applyProtection="1">
      <alignment horizontal="left" vertical="center"/>
      <protection locked="0"/>
    </xf>
    <xf numFmtId="166" fontId="91" fillId="0" borderId="0" xfId="17" applyNumberFormat="1" applyFont="1" applyAlignment="1" applyProtection="1">
      <alignment horizontal="left" vertical="center"/>
      <protection locked="0"/>
    </xf>
    <xf numFmtId="0" fontId="91" fillId="0" borderId="0" xfId="17" applyFont="1" applyAlignment="1" applyProtection="1">
      <alignment vertical="center"/>
      <protection locked="0"/>
    </xf>
    <xf numFmtId="191" fontId="82" fillId="0" borderId="0" xfId="17" quotePrefix="1" applyNumberFormat="1" applyFont="1" applyAlignment="1">
      <alignment horizontal="left" vertical="center" wrapText="1"/>
    </xf>
    <xf numFmtId="0" fontId="92" fillId="0" borderId="0" xfId="17" applyFont="1" applyAlignment="1" applyProtection="1">
      <alignment vertical="center"/>
      <protection locked="0"/>
    </xf>
    <xf numFmtId="0" fontId="84" fillId="0" borderId="0" xfId="28" applyFont="1" applyAlignment="1">
      <alignment horizontal="center"/>
    </xf>
    <xf numFmtId="0" fontId="84" fillId="0" borderId="0" xfId="28" applyFont="1"/>
    <xf numFmtId="2" fontId="82" fillId="0" borderId="0" xfId="28" applyNumberFormat="1" applyFont="1"/>
    <xf numFmtId="2" fontId="82" fillId="0" borderId="0" xfId="28" applyNumberFormat="1" applyFont="1" applyAlignment="1">
      <alignment horizontal="center"/>
    </xf>
    <xf numFmtId="0" fontId="82" fillId="0" borderId="0" xfId="17" applyFont="1" applyAlignment="1" applyProtection="1">
      <alignment horizontal="center" vertical="center"/>
      <protection locked="0"/>
    </xf>
    <xf numFmtId="0" fontId="82" fillId="0" borderId="0" xfId="17" applyFont="1" applyProtection="1">
      <protection locked="0"/>
    </xf>
    <xf numFmtId="39" fontId="82" fillId="0" borderId="0" xfId="17" applyNumberFormat="1" applyFont="1" applyAlignment="1" applyProtection="1">
      <alignment horizontal="left" vertical="center"/>
      <protection locked="0"/>
    </xf>
    <xf numFmtId="37" fontId="82" fillId="0" borderId="0" xfId="17" applyNumberFormat="1" applyFont="1" applyAlignment="1" applyProtection="1">
      <alignment horizontal="center" vertical="center"/>
      <protection locked="0"/>
    </xf>
    <xf numFmtId="192" fontId="82" fillId="0" borderId="0" xfId="17" applyNumberFormat="1" applyFont="1" applyAlignment="1" applyProtection="1">
      <alignment horizontal="center" vertical="center"/>
      <protection locked="0"/>
    </xf>
    <xf numFmtId="193" fontId="82" fillId="0" borderId="0" xfId="17" applyNumberFormat="1" applyFont="1" applyAlignment="1" applyProtection="1">
      <alignment horizontal="right" vertical="center"/>
      <protection locked="0"/>
    </xf>
    <xf numFmtId="7" fontId="82" fillId="0" borderId="0" xfId="17" applyNumberFormat="1" applyFont="1" applyAlignment="1" applyProtection="1">
      <alignment horizontal="center" vertical="center"/>
      <protection locked="0"/>
    </xf>
    <xf numFmtId="39" fontId="93" fillId="0" borderId="0" xfId="17" applyNumberFormat="1" applyFont="1" applyAlignment="1" applyProtection="1">
      <alignment horizontal="center" vertical="center"/>
      <protection locked="0"/>
    </xf>
    <xf numFmtId="192" fontId="94" fillId="0" borderId="0" xfId="17" applyNumberFormat="1" applyFont="1" applyAlignment="1" applyProtection="1">
      <alignment horizontal="center" vertical="center"/>
      <protection locked="0"/>
    </xf>
    <xf numFmtId="39" fontId="94" fillId="0" borderId="0" xfId="17" applyNumberFormat="1" applyFont="1" applyAlignment="1" applyProtection="1">
      <alignment horizontal="center" vertical="center"/>
      <protection locked="0"/>
    </xf>
    <xf numFmtId="166" fontId="94" fillId="0" borderId="0" xfId="17" applyNumberFormat="1" applyFont="1" applyAlignment="1" applyProtection="1">
      <alignment horizontal="center" vertical="center"/>
      <protection locked="0"/>
    </xf>
    <xf numFmtId="166" fontId="94" fillId="0" borderId="0" xfId="17" applyNumberFormat="1" applyFont="1" applyAlignment="1" applyProtection="1">
      <alignment vertical="center"/>
      <protection locked="0"/>
    </xf>
    <xf numFmtId="37" fontId="94" fillId="4" borderId="0" xfId="17" applyNumberFormat="1" applyFont="1" applyFill="1" applyAlignment="1" applyProtection="1">
      <alignment horizontal="center" vertical="center"/>
      <protection locked="0"/>
    </xf>
    <xf numFmtId="39" fontId="94" fillId="4" borderId="0" xfId="17" applyNumberFormat="1" applyFont="1" applyFill="1" applyAlignment="1" applyProtection="1">
      <alignment horizontal="left" vertical="center"/>
      <protection locked="0"/>
    </xf>
    <xf numFmtId="39" fontId="94" fillId="4" borderId="0" xfId="17" applyNumberFormat="1" applyFont="1" applyFill="1" applyAlignment="1" applyProtection="1">
      <alignment horizontal="center" vertical="center" wrapText="1"/>
      <protection locked="0"/>
    </xf>
    <xf numFmtId="187" fontId="94" fillId="4" borderId="0" xfId="26" applyNumberFormat="1" applyFont="1" applyFill="1" applyBorder="1" applyAlignment="1" applyProtection="1">
      <alignment horizontal="center" vertical="center" wrapText="1"/>
      <protection locked="0"/>
    </xf>
    <xf numFmtId="187" fontId="82" fillId="0" borderId="0" xfId="26" applyNumberFormat="1" applyFont="1" applyFill="1" applyBorder="1" applyAlignment="1" applyProtection="1">
      <alignment horizontal="center" vertical="center" wrapText="1"/>
      <protection locked="0"/>
    </xf>
    <xf numFmtId="0" fontId="95" fillId="0" borderId="0" xfId="17" applyFont="1" applyAlignment="1" applyProtection="1">
      <alignment vertical="center"/>
      <protection locked="0"/>
    </xf>
    <xf numFmtId="0" fontId="84" fillId="0" borderId="0" xfId="17" applyFont="1" applyAlignment="1" applyProtection="1">
      <alignment horizontal="right" vertical="center"/>
      <protection locked="0"/>
    </xf>
    <xf numFmtId="37" fontId="82" fillId="0" borderId="0" xfId="17" applyNumberFormat="1" applyFont="1" applyAlignment="1" applyProtection="1">
      <alignment vertical="center"/>
      <protection locked="0"/>
    </xf>
    <xf numFmtId="37" fontId="82" fillId="0" borderId="0" xfId="17" applyNumberFormat="1" applyFont="1" applyAlignment="1" applyProtection="1">
      <alignment horizontal="right" vertical="center"/>
      <protection locked="0"/>
    </xf>
    <xf numFmtId="184" fontId="82" fillId="0" borderId="0" xfId="17" applyNumberFormat="1" applyFont="1" applyAlignment="1" applyProtection="1">
      <alignment horizontal="center" vertical="center"/>
      <protection locked="0"/>
    </xf>
    <xf numFmtId="173" fontId="82" fillId="0" borderId="0" xfId="17" applyNumberFormat="1" applyFont="1" applyAlignment="1" applyProtection="1">
      <alignment vertical="center"/>
      <protection locked="0"/>
    </xf>
    <xf numFmtId="0" fontId="97" fillId="38" borderId="0" xfId="31" applyFont="1" applyFill="1"/>
    <xf numFmtId="0" fontId="98" fillId="38" borderId="0" xfId="31" applyFont="1" applyFill="1"/>
    <xf numFmtId="0" fontId="98" fillId="0" borderId="0" xfId="31" applyFont="1" applyProtection="1">
      <protection locked="0"/>
    </xf>
    <xf numFmtId="0" fontId="94" fillId="0" borderId="0" xfId="17" applyFont="1" applyAlignment="1" applyProtection="1">
      <alignment vertical="center"/>
      <protection locked="0"/>
    </xf>
    <xf numFmtId="0" fontId="94" fillId="4" borderId="0" xfId="17" applyFont="1" applyFill="1" applyAlignment="1" applyProtection="1">
      <alignment vertical="center"/>
      <protection locked="0"/>
    </xf>
    <xf numFmtId="0" fontId="99" fillId="4" borderId="0" xfId="32" applyFont="1" applyFill="1" applyAlignment="1" applyProtection="1">
      <alignment vertical="center" wrapText="1"/>
      <protection locked="0"/>
    </xf>
    <xf numFmtId="0" fontId="100" fillId="10" borderId="0" xfId="32" applyFont="1" applyFill="1" applyAlignment="1" applyProtection="1">
      <alignment vertical="center"/>
      <protection locked="0"/>
    </xf>
    <xf numFmtId="0" fontId="101" fillId="10" borderId="0" xfId="32" applyFont="1" applyFill="1" applyAlignment="1" applyProtection="1">
      <alignment vertical="center"/>
      <protection locked="0"/>
    </xf>
    <xf numFmtId="195" fontId="100" fillId="10" borderId="0" xfId="33" applyNumberFormat="1" applyFont="1" applyFill="1" applyBorder="1" applyAlignment="1" applyProtection="1">
      <alignment horizontal="right" vertical="center"/>
      <protection locked="0"/>
    </xf>
    <xf numFmtId="0" fontId="89" fillId="0" borderId="0" xfId="32" applyFont="1" applyAlignment="1" applyProtection="1">
      <alignment horizontal="left" vertical="center"/>
      <protection locked="0"/>
    </xf>
    <xf numFmtId="0" fontId="86" fillId="0" borderId="0" xfId="17" applyFont="1" applyProtection="1">
      <protection locked="0"/>
    </xf>
    <xf numFmtId="0" fontId="82" fillId="0" borderId="0" xfId="17" applyFont="1" applyAlignment="1" applyProtection="1">
      <alignment horizontal="right" vertical="center"/>
      <protection locked="0"/>
    </xf>
    <xf numFmtId="0" fontId="94" fillId="29" borderId="0" xfId="31" applyFont="1" applyFill="1" applyAlignment="1">
      <alignment horizontal="center"/>
    </xf>
    <xf numFmtId="0" fontId="102" fillId="29" borderId="0" xfId="31" applyFont="1" applyFill="1"/>
    <xf numFmtId="9" fontId="102" fillId="29" borderId="0" xfId="31" applyNumberFormat="1" applyFont="1" applyFill="1" applyAlignment="1">
      <alignment horizontal="center"/>
    </xf>
    <xf numFmtId="0" fontId="102" fillId="0" borderId="0" xfId="31" applyFont="1" applyProtection="1">
      <protection locked="0"/>
    </xf>
    <xf numFmtId="9" fontId="102" fillId="4" borderId="0" xfId="32" applyNumberFormat="1" applyFont="1" applyFill="1" applyAlignment="1" applyProtection="1">
      <alignment vertical="center"/>
      <protection locked="0"/>
    </xf>
    <xf numFmtId="40" fontId="94" fillId="4" borderId="0" xfId="17" applyNumberFormat="1" applyFont="1" applyFill="1" applyAlignment="1" applyProtection="1">
      <alignment horizontal="center" vertical="center"/>
      <protection locked="0"/>
    </xf>
    <xf numFmtId="17" fontId="83" fillId="0" borderId="0" xfId="17" applyNumberFormat="1" applyFont="1" applyAlignment="1" applyProtection="1">
      <alignment horizontal="center" vertical="center"/>
      <protection locked="0"/>
    </xf>
    <xf numFmtId="0" fontId="83" fillId="0" borderId="0" xfId="17" applyFont="1" applyAlignment="1" applyProtection="1">
      <alignment horizontal="center" vertical="center"/>
      <protection locked="0"/>
    </xf>
    <xf numFmtId="0" fontId="84" fillId="0" borderId="0" xfId="17" applyFont="1" applyProtection="1">
      <protection locked="0"/>
    </xf>
    <xf numFmtId="173" fontId="84" fillId="0" borderId="0" xfId="17" applyNumberFormat="1" applyFont="1" applyAlignment="1" applyProtection="1">
      <alignment horizontal="right" vertical="center"/>
      <protection locked="0"/>
    </xf>
    <xf numFmtId="5" fontId="82" fillId="0" borderId="0" xfId="17" applyNumberFormat="1" applyFont="1" applyAlignment="1" applyProtection="1">
      <alignment horizontal="left" vertical="center"/>
      <protection locked="0"/>
    </xf>
    <xf numFmtId="0" fontId="94" fillId="0" borderId="0" xfId="31" applyFont="1" applyAlignment="1">
      <alignment horizontal="center"/>
    </xf>
    <xf numFmtId="0" fontId="102" fillId="0" borderId="0" xfId="31" applyFont="1"/>
    <xf numFmtId="10" fontId="102" fillId="0" borderId="0" xfId="31" applyNumberFormat="1" applyFont="1" applyAlignment="1">
      <alignment horizontal="center"/>
    </xf>
    <xf numFmtId="40" fontId="93" fillId="4" borderId="0" xfId="33" applyNumberFormat="1" applyFont="1" applyFill="1" applyBorder="1" applyAlignment="1" applyProtection="1">
      <alignment horizontal="center" vertical="center"/>
      <protection locked="0"/>
    </xf>
    <xf numFmtId="0" fontId="100" fillId="39" borderId="0" xfId="32" applyFont="1" applyFill="1" applyAlignment="1" applyProtection="1">
      <alignment vertical="center"/>
      <protection locked="0"/>
    </xf>
    <xf numFmtId="173" fontId="100" fillId="39" borderId="0" xfId="26" applyFont="1" applyFill="1" applyBorder="1" applyAlignment="1" applyProtection="1">
      <alignment vertical="center"/>
      <protection locked="0"/>
    </xf>
    <xf numFmtId="7" fontId="84" fillId="0" borderId="0" xfId="17" applyNumberFormat="1" applyFont="1" applyAlignment="1" applyProtection="1">
      <alignment horizontal="center" vertical="center"/>
      <protection locked="0"/>
    </xf>
    <xf numFmtId="10" fontId="85" fillId="0" borderId="0" xfId="27" applyNumberFormat="1" applyFont="1" applyFill="1" applyBorder="1" applyAlignment="1" applyProtection="1">
      <alignment vertical="center"/>
      <protection locked="0"/>
    </xf>
    <xf numFmtId="5" fontId="84" fillId="0" borderId="0" xfId="17" applyNumberFormat="1" applyFont="1" applyAlignment="1" applyProtection="1">
      <alignment vertical="center"/>
      <protection locked="0"/>
    </xf>
    <xf numFmtId="10" fontId="102" fillId="29" borderId="0" xfId="31" applyNumberFormat="1" applyFont="1" applyFill="1" applyAlignment="1">
      <alignment horizontal="center"/>
    </xf>
    <xf numFmtId="0" fontId="102" fillId="4" borderId="0" xfId="32" applyFont="1" applyFill="1" applyAlignment="1" applyProtection="1">
      <alignment vertical="center"/>
      <protection locked="0"/>
    </xf>
    <xf numFmtId="173" fontId="102" fillId="4" borderId="0" xfId="20" applyFont="1" applyFill="1" applyBorder="1" applyAlignment="1" applyProtection="1">
      <alignment vertical="center"/>
      <protection locked="0"/>
    </xf>
    <xf numFmtId="39" fontId="82" fillId="4" borderId="3" xfId="17" applyNumberFormat="1" applyFont="1" applyFill="1" applyBorder="1" applyAlignment="1" applyProtection="1">
      <alignment horizontal="center" vertical="center"/>
      <protection locked="0"/>
    </xf>
    <xf numFmtId="39" fontId="82" fillId="4" borderId="3" xfId="17" applyNumberFormat="1" applyFont="1" applyFill="1" applyBorder="1" applyAlignment="1" applyProtection="1">
      <alignment horizontal="left" vertical="center" wrapText="1"/>
      <protection locked="0"/>
    </xf>
    <xf numFmtId="39" fontId="82" fillId="4" borderId="3" xfId="17" applyNumberFormat="1" applyFont="1" applyFill="1" applyBorder="1" applyAlignment="1" applyProtection="1">
      <alignment horizontal="left" vertical="center"/>
      <protection locked="0"/>
    </xf>
    <xf numFmtId="39" fontId="84" fillId="4" borderId="3" xfId="17" applyNumberFormat="1" applyFont="1" applyFill="1" applyBorder="1" applyAlignment="1" applyProtection="1">
      <alignment horizontal="center" vertical="center"/>
      <protection locked="0"/>
    </xf>
    <xf numFmtId="0" fontId="100" fillId="10" borderId="0" xfId="32" applyFont="1" applyFill="1" applyAlignment="1" applyProtection="1">
      <alignment horizontal="left" vertical="center"/>
      <protection locked="0"/>
    </xf>
    <xf numFmtId="2" fontId="94" fillId="4" borderId="0" xfId="17" applyNumberFormat="1" applyFont="1" applyFill="1" applyAlignment="1" applyProtection="1">
      <alignment horizontal="right" vertical="center"/>
      <protection locked="0"/>
    </xf>
    <xf numFmtId="173" fontId="102" fillId="4" borderId="0" xfId="20" applyFont="1" applyFill="1" applyBorder="1" applyAlignment="1" applyProtection="1">
      <alignment horizontal="left" vertical="center"/>
      <protection locked="0"/>
    </xf>
    <xf numFmtId="173" fontId="99" fillId="4" borderId="0" xfId="20" applyFont="1" applyFill="1" applyBorder="1" applyAlignment="1" applyProtection="1">
      <alignment horizontal="center" vertical="center"/>
      <protection locked="0"/>
    </xf>
    <xf numFmtId="195" fontId="102" fillId="4" borderId="0" xfId="33" applyNumberFormat="1" applyFont="1" applyFill="1" applyBorder="1" applyAlignment="1" applyProtection="1">
      <alignment horizontal="right" vertical="center"/>
      <protection locked="0"/>
    </xf>
    <xf numFmtId="7" fontId="95" fillId="0" borderId="0" xfId="17" applyNumberFormat="1" applyFont="1" applyAlignment="1" applyProtection="1">
      <alignment horizontal="center" vertical="center"/>
      <protection locked="0"/>
    </xf>
    <xf numFmtId="39" fontId="82" fillId="4" borderId="0" xfId="17" applyNumberFormat="1" applyFont="1" applyFill="1" applyAlignment="1" applyProtection="1">
      <alignment horizontal="left" vertical="center" wrapText="1"/>
      <protection locked="0"/>
    </xf>
    <xf numFmtId="10" fontId="82" fillId="0" borderId="0" xfId="27" applyNumberFormat="1" applyFont="1" applyFill="1" applyBorder="1" applyAlignment="1" applyProtection="1">
      <alignment vertical="center"/>
      <protection locked="0"/>
    </xf>
    <xf numFmtId="0" fontId="103" fillId="0" borderId="0" xfId="17" applyFont="1" applyAlignment="1" applyProtection="1">
      <alignment vertical="center"/>
      <protection locked="0"/>
    </xf>
    <xf numFmtId="10" fontId="82" fillId="0" borderId="0" xfId="34" applyNumberFormat="1" applyFont="1" applyFill="1" applyBorder="1" applyAlignment="1" applyProtection="1">
      <alignment horizontal="center" vertical="center" wrapText="1"/>
      <protection locked="0"/>
    </xf>
    <xf numFmtId="0" fontId="99" fillId="4" borderId="0" xfId="32" applyFont="1" applyFill="1" applyAlignment="1" applyProtection="1">
      <alignment horizontal="left" vertical="center" wrapText="1"/>
      <protection locked="0"/>
    </xf>
    <xf numFmtId="173" fontId="102" fillId="29" borderId="0" xfId="20" applyFont="1" applyFill="1" applyBorder="1" applyAlignment="1" applyProtection="1">
      <alignment horizontal="left" vertical="center"/>
      <protection locked="0"/>
    </xf>
    <xf numFmtId="9" fontId="102" fillId="29" borderId="0" xfId="32" applyNumberFormat="1" applyFont="1" applyFill="1" applyAlignment="1" applyProtection="1">
      <alignment vertical="center"/>
      <protection locked="0"/>
    </xf>
    <xf numFmtId="195" fontId="102" fillId="29" borderId="0" xfId="33" applyNumberFormat="1" applyFont="1" applyFill="1" applyBorder="1" applyAlignment="1" applyProtection="1">
      <alignment horizontal="right" vertical="center"/>
      <protection locked="0"/>
    </xf>
    <xf numFmtId="37" fontId="82" fillId="3" borderId="0" xfId="17" applyNumberFormat="1" applyFont="1" applyFill="1" applyAlignment="1" applyProtection="1">
      <alignment horizontal="center" vertical="center"/>
      <protection locked="0"/>
    </xf>
    <xf numFmtId="39" fontId="82" fillId="3" borderId="0" xfId="17" applyNumberFormat="1" applyFont="1" applyFill="1" applyAlignment="1" applyProtection="1">
      <alignment horizontal="left" vertical="center"/>
      <protection locked="0"/>
    </xf>
    <xf numFmtId="39" fontId="82" fillId="3" borderId="0" xfId="17" applyNumberFormat="1" applyFont="1" applyFill="1" applyAlignment="1" applyProtection="1">
      <alignment horizontal="left" vertical="center" wrapText="1"/>
      <protection locked="0"/>
    </xf>
    <xf numFmtId="39" fontId="82" fillId="3" borderId="0" xfId="17" applyNumberFormat="1" applyFont="1" applyFill="1" applyAlignment="1" applyProtection="1">
      <alignment horizontal="center" vertical="center" wrapText="1"/>
      <protection locked="0"/>
    </xf>
    <xf numFmtId="10" fontId="102" fillId="4" borderId="0" xfId="32" applyNumberFormat="1" applyFont="1" applyFill="1" applyAlignment="1" applyProtection="1">
      <alignment vertical="center"/>
      <protection locked="0"/>
    </xf>
    <xf numFmtId="0" fontId="100" fillId="10" borderId="0" xfId="32" applyFont="1" applyFill="1" applyAlignment="1">
      <alignment vertical="center"/>
    </xf>
    <xf numFmtId="183" fontId="100" fillId="10" borderId="0" xfId="32" applyNumberFormat="1" applyFont="1" applyFill="1" applyAlignment="1" applyProtection="1">
      <alignment vertical="center"/>
      <protection locked="0"/>
    </xf>
    <xf numFmtId="173" fontId="82" fillId="0" borderId="0" xfId="26" applyFont="1" applyFill="1" applyAlignment="1" applyProtection="1">
      <alignment vertical="center"/>
      <protection locked="0"/>
    </xf>
    <xf numFmtId="0" fontId="102" fillId="4" borderId="0" xfId="32" applyFont="1" applyFill="1" applyAlignment="1" applyProtection="1">
      <alignment horizontal="left" vertical="center"/>
      <protection locked="0"/>
    </xf>
    <xf numFmtId="0" fontId="102" fillId="4" borderId="0" xfId="32" applyFont="1" applyFill="1" applyAlignment="1" applyProtection="1">
      <alignment horizontal="center" vertical="center"/>
      <protection locked="0"/>
    </xf>
    <xf numFmtId="183" fontId="102" fillId="4" borderId="0" xfId="32" applyNumberFormat="1" applyFont="1" applyFill="1" applyAlignment="1" applyProtection="1">
      <alignment vertical="center"/>
      <protection locked="0"/>
    </xf>
    <xf numFmtId="0" fontId="94" fillId="0" borderId="0" xfId="31" applyFont="1" applyAlignment="1" applyProtection="1">
      <alignment horizontal="center"/>
      <protection locked="0"/>
    </xf>
    <xf numFmtId="0" fontId="94" fillId="29" borderId="0" xfId="32" applyFont="1" applyFill="1" applyAlignment="1" applyProtection="1">
      <alignment horizontal="left" vertical="center"/>
      <protection locked="0"/>
    </xf>
    <xf numFmtId="0" fontId="94" fillId="29" borderId="0" xfId="32" applyFont="1" applyFill="1" applyAlignment="1" applyProtection="1">
      <alignment horizontal="center" vertical="center" wrapText="1"/>
      <protection locked="0"/>
    </xf>
    <xf numFmtId="183" fontId="94" fillId="29" borderId="0" xfId="32" applyNumberFormat="1" applyFont="1" applyFill="1" applyAlignment="1" applyProtection="1">
      <alignment vertical="center"/>
      <protection locked="0"/>
    </xf>
    <xf numFmtId="183" fontId="100" fillId="30" borderId="83" xfId="18" applyNumberFormat="1" applyFont="1" applyFill="1" applyBorder="1" applyAlignment="1">
      <alignment horizontal="center" vertical="center" wrapText="1"/>
    </xf>
    <xf numFmtId="10" fontId="104" fillId="0" borderId="0" xfId="27" applyNumberFormat="1" applyFont="1" applyFill="1" applyBorder="1" applyAlignment="1" applyProtection="1">
      <alignment vertical="center"/>
      <protection locked="0"/>
    </xf>
    <xf numFmtId="4" fontId="82" fillId="0" borderId="0" xfId="17" applyNumberFormat="1" applyFont="1" applyAlignment="1" applyProtection="1">
      <alignment vertical="center"/>
      <protection locked="0"/>
    </xf>
    <xf numFmtId="0" fontId="94" fillId="0" borderId="0" xfId="0" applyFont="1" applyAlignment="1">
      <alignment horizontal="center"/>
    </xf>
    <xf numFmtId="0" fontId="102" fillId="4" borderId="0" xfId="32" applyFont="1" applyFill="1" applyAlignment="1" applyProtection="1">
      <alignment horizontal="left" vertical="center" wrapText="1"/>
      <protection locked="0"/>
    </xf>
    <xf numFmtId="173" fontId="94" fillId="29" borderId="0" xfId="26" applyFont="1" applyFill="1" applyBorder="1" applyAlignment="1" applyProtection="1">
      <alignment vertical="center"/>
      <protection locked="0"/>
    </xf>
    <xf numFmtId="0" fontId="100" fillId="10" borderId="0" xfId="17" applyFont="1" applyFill="1" applyAlignment="1" applyProtection="1">
      <alignment horizontal="left"/>
      <protection locked="0"/>
    </xf>
    <xf numFmtId="0" fontId="100" fillId="10" borderId="0" xfId="17" applyFont="1" applyFill="1" applyAlignment="1" applyProtection="1">
      <alignment horizontal="center"/>
      <protection locked="0"/>
    </xf>
    <xf numFmtId="0" fontId="100" fillId="10" borderId="0" xfId="35" applyFont="1" applyFill="1" applyAlignment="1" applyProtection="1">
      <alignment horizontal="center" vertical="center" wrapText="1"/>
      <protection locked="0"/>
    </xf>
    <xf numFmtId="0" fontId="82" fillId="40" borderId="3" xfId="17" applyFont="1" applyFill="1" applyBorder="1" applyAlignment="1" applyProtection="1">
      <alignment horizontal="right" vertical="center"/>
      <protection locked="0"/>
    </xf>
    <xf numFmtId="164" fontId="82" fillId="40" borderId="3" xfId="17" applyNumberFormat="1" applyFont="1" applyFill="1" applyBorder="1" applyAlignment="1" applyProtection="1">
      <alignment horizontal="center" vertical="center"/>
      <protection locked="0"/>
    </xf>
    <xf numFmtId="0" fontId="77" fillId="10" borderId="81" xfId="18" applyFont="1" applyFill="1" applyBorder="1" applyAlignment="1" applyProtection="1">
      <alignment vertical="center" wrapText="1"/>
      <protection locked="0"/>
    </xf>
    <xf numFmtId="0" fontId="70" fillId="4" borderId="0" xfId="17" applyFont="1" applyFill="1" applyAlignment="1" applyProtection="1">
      <alignment vertical="center"/>
      <protection locked="0"/>
    </xf>
    <xf numFmtId="0" fontId="70" fillId="29" borderId="0" xfId="32" applyFont="1" applyFill="1" applyAlignment="1" applyProtection="1">
      <alignment horizontal="left" vertical="center"/>
      <protection locked="0"/>
    </xf>
    <xf numFmtId="0" fontId="70" fillId="29" borderId="0" xfId="32" applyFont="1" applyFill="1" applyAlignment="1" applyProtection="1">
      <alignment horizontal="center" vertical="center" wrapText="1"/>
      <protection locked="0"/>
    </xf>
    <xf numFmtId="183" fontId="70" fillId="29" borderId="0" xfId="32" applyNumberFormat="1" applyFont="1" applyFill="1" applyAlignment="1" applyProtection="1">
      <alignment vertical="center"/>
      <protection locked="0"/>
    </xf>
    <xf numFmtId="0" fontId="81" fillId="0" borderId="0" xfId="32" applyFont="1" applyAlignment="1" applyProtection="1">
      <alignment horizontal="left" vertical="center"/>
      <protection locked="0"/>
    </xf>
    <xf numFmtId="0" fontId="84" fillId="40" borderId="8" xfId="17" applyFont="1" applyFill="1" applyBorder="1" applyAlignment="1" applyProtection="1">
      <alignment horizontal="center" vertical="center" wrapText="1"/>
      <protection locked="0"/>
    </xf>
    <xf numFmtId="170" fontId="82" fillId="32" borderId="0" xfId="17" applyNumberFormat="1" applyFont="1" applyFill="1" applyAlignment="1" applyProtection="1">
      <alignment horizontal="center" vertical="center"/>
      <protection locked="0"/>
    </xf>
    <xf numFmtId="170" fontId="84" fillId="32" borderId="0" xfId="17" applyNumberFormat="1" applyFont="1" applyFill="1" applyAlignment="1" applyProtection="1">
      <alignment horizontal="center" vertical="center"/>
      <protection locked="0"/>
    </xf>
    <xf numFmtId="39" fontId="70" fillId="0" borderId="0" xfId="17" applyNumberFormat="1" applyFont="1" applyAlignment="1" applyProtection="1">
      <alignment horizontal="center" vertical="center" wrapText="1"/>
      <protection locked="0"/>
    </xf>
    <xf numFmtId="187" fontId="70" fillId="0" borderId="0" xfId="26" applyNumberFormat="1" applyFont="1" applyFill="1" applyBorder="1" applyAlignment="1" applyProtection="1">
      <alignment horizontal="center" vertical="center" wrapText="1"/>
      <protection locked="0"/>
    </xf>
    <xf numFmtId="39" fontId="70" fillId="4" borderId="0" xfId="17" applyNumberFormat="1" applyFont="1" applyFill="1" applyAlignment="1" applyProtection="1">
      <alignment horizontal="center" vertical="center" wrapText="1"/>
      <protection locked="0"/>
    </xf>
    <xf numFmtId="187" fontId="70" fillId="4" borderId="0" xfId="26" applyNumberFormat="1" applyFont="1" applyFill="1" applyBorder="1" applyAlignment="1" applyProtection="1">
      <alignment horizontal="center" vertical="center" wrapText="1"/>
      <protection locked="0"/>
    </xf>
    <xf numFmtId="195" fontId="80" fillId="0" borderId="0" xfId="35" applyNumberFormat="1" applyFont="1" applyAlignment="1" applyProtection="1">
      <alignment horizontal="center" vertical="center" wrapText="1"/>
      <protection locked="0"/>
    </xf>
    <xf numFmtId="40" fontId="70" fillId="0" borderId="0" xfId="17" applyNumberFormat="1" applyFont="1" applyAlignment="1" applyProtection="1">
      <alignment horizontal="center" vertical="center"/>
      <protection locked="0"/>
    </xf>
    <xf numFmtId="14" fontId="45" fillId="0" borderId="10" xfId="12" applyNumberFormat="1" applyBorder="1" applyAlignment="1">
      <alignment horizontal="center" vertical="center"/>
    </xf>
    <xf numFmtId="4" fontId="70" fillId="20" borderId="7" xfId="19" applyNumberFormat="1" applyFont="1" applyFill="1" applyBorder="1" applyAlignment="1" applyProtection="1">
      <alignment vertical="center"/>
      <protection locked="0"/>
    </xf>
    <xf numFmtId="14" fontId="18" fillId="0" borderId="10" xfId="0" applyNumberFormat="1" applyFont="1" applyBorder="1" applyAlignment="1">
      <alignment horizontal="center" vertical="center" wrapText="1"/>
    </xf>
    <xf numFmtId="49" fontId="18" fillId="0" borderId="10" xfId="0" applyNumberFormat="1" applyFont="1" applyBorder="1" applyAlignment="1">
      <alignment horizontal="center" vertical="center" wrapText="1"/>
    </xf>
    <xf numFmtId="0" fontId="5" fillId="20" borderId="0" xfId="0" applyFont="1" applyFill="1"/>
    <xf numFmtId="167" fontId="45" fillId="4" borderId="0" xfId="12" applyNumberFormat="1" applyFill="1" applyAlignment="1" applyProtection="1">
      <alignment horizontal="center" vertical="center"/>
      <protection locked="0"/>
    </xf>
    <xf numFmtId="167" fontId="45" fillId="32" borderId="0" xfId="12" applyNumberFormat="1" applyFill="1" applyAlignment="1" applyProtection="1">
      <alignment horizontal="center" vertical="center"/>
      <protection locked="0"/>
    </xf>
    <xf numFmtId="8" fontId="106" fillId="18" borderId="29" xfId="0" applyNumberFormat="1" applyFont="1" applyFill="1" applyBorder="1" applyAlignment="1">
      <alignment horizontal="center" vertical="center" wrapText="1"/>
    </xf>
    <xf numFmtId="0" fontId="33" fillId="0" borderId="0" xfId="5" applyFont="1" applyAlignment="1" applyProtection="1">
      <alignment horizontal="center" vertical="center"/>
      <protection hidden="1"/>
    </xf>
    <xf numFmtId="49" fontId="57" fillId="0" borderId="0" xfId="0" applyNumberFormat="1" applyFont="1" applyAlignment="1">
      <alignment horizontal="right"/>
    </xf>
    <xf numFmtId="0" fontId="57" fillId="0" borderId="0" xfId="0" applyFont="1" applyAlignment="1">
      <alignment horizontal="right"/>
    </xf>
    <xf numFmtId="0" fontId="58" fillId="0" borderId="0" xfId="0" applyFont="1" applyAlignment="1">
      <alignment horizontal="right" vertical="center"/>
    </xf>
    <xf numFmtId="0" fontId="65" fillId="8" borderId="59" xfId="5" applyFont="1" applyFill="1" applyBorder="1" applyAlignment="1" applyProtection="1">
      <alignment horizontal="justify" vertical="justify" wrapText="1"/>
      <protection hidden="1"/>
    </xf>
    <xf numFmtId="0" fontId="65" fillId="8" borderId="60" xfId="5" applyFont="1" applyFill="1" applyBorder="1" applyAlignment="1" applyProtection="1">
      <alignment horizontal="justify" vertical="justify" wrapText="1"/>
      <protection hidden="1"/>
    </xf>
    <xf numFmtId="0" fontId="65" fillId="8" borderId="64" xfId="5" applyFont="1" applyFill="1" applyBorder="1" applyAlignment="1" applyProtection="1">
      <alignment horizontal="justify" vertical="justify" wrapText="1"/>
      <protection hidden="1"/>
    </xf>
    <xf numFmtId="0" fontId="65" fillId="8" borderId="61" xfId="5" applyFont="1" applyFill="1" applyBorder="1" applyAlignment="1" applyProtection="1">
      <alignment horizontal="justify" vertical="justify" wrapText="1"/>
      <protection hidden="1"/>
    </xf>
    <xf numFmtId="0" fontId="65" fillId="8" borderId="62" xfId="5" applyFont="1" applyFill="1" applyBorder="1" applyAlignment="1" applyProtection="1">
      <alignment horizontal="justify" vertical="justify" wrapText="1"/>
      <protection hidden="1"/>
    </xf>
    <xf numFmtId="0" fontId="65" fillId="8" borderId="65" xfId="5" applyFont="1" applyFill="1" applyBorder="1" applyAlignment="1" applyProtection="1">
      <alignment horizontal="justify" vertical="justify" wrapText="1"/>
      <protection hidden="1"/>
    </xf>
    <xf numFmtId="14" fontId="16" fillId="20" borderId="0" xfId="0" applyNumberFormat="1" applyFont="1" applyFill="1" applyBorder="1" applyAlignment="1">
      <alignment horizontal="center" vertical="center"/>
    </xf>
    <xf numFmtId="0" fontId="5" fillId="0" borderId="44" xfId="0" applyFont="1" applyBorder="1" applyAlignment="1">
      <alignment horizontal="left" vertical="top" wrapText="1"/>
    </xf>
    <xf numFmtId="0" fontId="5" fillId="0" borderId="45" xfId="0" applyFont="1" applyBorder="1" applyAlignment="1">
      <alignment horizontal="left" vertical="top" wrapText="1"/>
    </xf>
    <xf numFmtId="0" fontId="5" fillId="0" borderId="46" xfId="0" applyFont="1" applyBorder="1" applyAlignment="1">
      <alignment horizontal="left" vertical="top" wrapText="1"/>
    </xf>
    <xf numFmtId="0" fontId="5" fillId="0" borderId="47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48" xfId="0" applyFont="1" applyBorder="1" applyAlignment="1">
      <alignment horizontal="left" vertical="top" wrapText="1"/>
    </xf>
    <xf numFmtId="0" fontId="5" fillId="0" borderId="49" xfId="0" applyFont="1" applyBorder="1" applyAlignment="1">
      <alignment horizontal="left" vertical="top" wrapText="1"/>
    </xf>
    <xf numFmtId="0" fontId="5" fillId="0" borderId="37" xfId="0" applyFont="1" applyBorder="1" applyAlignment="1">
      <alignment horizontal="left" vertical="top" wrapText="1"/>
    </xf>
    <xf numFmtId="0" fontId="5" fillId="0" borderId="50" xfId="0" applyFont="1" applyBorder="1" applyAlignment="1">
      <alignment horizontal="left" vertical="top" wrapText="1"/>
    </xf>
    <xf numFmtId="4" fontId="5" fillId="0" borderId="37" xfId="0" applyNumberFormat="1" applyFont="1" applyBorder="1" applyAlignment="1">
      <alignment horizontal="left"/>
    </xf>
    <xf numFmtId="0" fontId="71" fillId="0" borderId="0" xfId="17" applyFont="1" applyAlignment="1" applyProtection="1">
      <alignment horizontal="center" vertical="center"/>
      <protection locked="0"/>
    </xf>
    <xf numFmtId="0" fontId="73" fillId="10" borderId="66" xfId="18" applyFont="1" applyFill="1" applyBorder="1" applyAlignment="1">
      <alignment horizontal="center" vertical="center" wrapText="1"/>
    </xf>
    <xf numFmtId="0" fontId="70" fillId="0" borderId="13" xfId="19" applyFont="1" applyBorder="1" applyAlignment="1" applyProtection="1">
      <alignment horizontal="left" vertical="center"/>
      <protection locked="0"/>
    </xf>
    <xf numFmtId="0" fontId="73" fillId="27" borderId="13" xfId="18" applyFont="1" applyFill="1" applyBorder="1" applyAlignment="1">
      <alignment horizontal="center" vertical="center" wrapText="1"/>
    </xf>
    <xf numFmtId="4" fontId="70" fillId="0" borderId="13" xfId="1" applyNumberFormat="1" applyFont="1" applyBorder="1" applyAlignment="1" applyProtection="1">
      <alignment horizontal="center" vertical="center"/>
      <protection locked="0"/>
    </xf>
    <xf numFmtId="0" fontId="70" fillId="0" borderId="13" xfId="17" applyFont="1" applyBorder="1" applyAlignment="1" applyProtection="1">
      <alignment horizontal="left" vertical="top"/>
      <protection locked="0"/>
    </xf>
    <xf numFmtId="0" fontId="70" fillId="0" borderId="10" xfId="17" applyFont="1" applyBorder="1" applyAlignment="1" applyProtection="1">
      <alignment horizontal="left" vertical="top"/>
      <protection locked="0"/>
    </xf>
    <xf numFmtId="0" fontId="70" fillId="28" borderId="10" xfId="19" applyFont="1" applyFill="1" applyBorder="1" applyAlignment="1" applyProtection="1">
      <alignment horizontal="center" vertical="center"/>
      <protection locked="0"/>
    </xf>
    <xf numFmtId="0" fontId="73" fillId="27" borderId="10" xfId="18" applyFont="1" applyFill="1" applyBorder="1" applyAlignment="1">
      <alignment horizontal="center" vertical="center" wrapText="1"/>
    </xf>
    <xf numFmtId="4" fontId="70" fillId="0" borderId="10" xfId="1" applyNumberFormat="1" applyFont="1" applyBorder="1" applyAlignment="1" applyProtection="1">
      <alignment horizontal="center" vertical="center"/>
      <protection locked="0"/>
    </xf>
    <xf numFmtId="0" fontId="70" fillId="0" borderId="10" xfId="19" applyFont="1" applyBorder="1" applyAlignment="1" applyProtection="1">
      <alignment horizontal="center" vertical="center"/>
      <protection locked="0"/>
    </xf>
    <xf numFmtId="0" fontId="73" fillId="10" borderId="67" xfId="18" applyFont="1" applyFill="1" applyBorder="1" applyAlignment="1">
      <alignment horizontal="center" vertical="center" wrapText="1"/>
    </xf>
    <xf numFmtId="4" fontId="70" fillId="0" borderId="13" xfId="17" applyNumberFormat="1" applyFont="1" applyBorder="1" applyAlignment="1" applyProtection="1">
      <alignment horizontal="center" vertical="center"/>
      <protection locked="0"/>
    </xf>
    <xf numFmtId="0" fontId="8" fillId="10" borderId="10" xfId="0" applyFont="1" applyFill="1" applyBorder="1" applyAlignment="1">
      <alignment horizontal="center" vertical="center" wrapText="1"/>
    </xf>
    <xf numFmtId="0" fontId="73" fillId="27" borderId="7" xfId="18" applyFont="1" applyFill="1" applyBorder="1" applyAlignment="1">
      <alignment horizontal="center" vertical="center" wrapText="1"/>
    </xf>
    <xf numFmtId="0" fontId="73" fillId="27" borderId="14" xfId="18" applyFont="1" applyFill="1" applyBorder="1" applyAlignment="1">
      <alignment horizontal="center" vertical="center" wrapText="1"/>
    </xf>
    <xf numFmtId="0" fontId="70" fillId="0" borderId="7" xfId="17" applyFont="1" applyBorder="1" applyAlignment="1" applyProtection="1">
      <alignment horizontal="center" vertical="center"/>
      <protection locked="0"/>
    </xf>
    <xf numFmtId="0" fontId="70" fillId="0" borderId="14" xfId="17" applyFont="1" applyBorder="1" applyAlignment="1" applyProtection="1">
      <alignment horizontal="center" vertical="center"/>
      <protection locked="0"/>
    </xf>
    <xf numFmtId="0" fontId="70" fillId="0" borderId="70" xfId="17" applyFont="1" applyBorder="1" applyAlignment="1" applyProtection="1">
      <alignment horizontal="center" vertical="center"/>
      <protection locked="0"/>
    </xf>
    <xf numFmtId="1" fontId="70" fillId="28" borderId="10" xfId="19" applyNumberFormat="1" applyFont="1" applyFill="1" applyBorder="1" applyAlignment="1" applyProtection="1">
      <alignment horizontal="center" vertical="center"/>
      <protection locked="0"/>
    </xf>
    <xf numFmtId="0" fontId="73" fillId="10" borderId="10" xfId="18" applyFont="1" applyFill="1" applyBorder="1" applyAlignment="1">
      <alignment horizontal="center" vertical="center" wrapText="1"/>
    </xf>
    <xf numFmtId="4" fontId="70" fillId="0" borderId="14" xfId="17" applyNumberFormat="1" applyFont="1" applyBorder="1" applyAlignment="1" applyProtection="1">
      <alignment horizontal="center" vertical="center"/>
      <protection locked="0"/>
    </xf>
    <xf numFmtId="4" fontId="70" fillId="0" borderId="70" xfId="17" applyNumberFormat="1" applyFont="1" applyBorder="1" applyAlignment="1" applyProtection="1">
      <alignment horizontal="center" vertical="center"/>
      <protection locked="0"/>
    </xf>
    <xf numFmtId="4" fontId="70" fillId="12" borderId="14" xfId="17" applyNumberFormat="1" applyFont="1" applyFill="1" applyBorder="1" applyAlignment="1" applyProtection="1">
      <alignment horizontal="center" vertical="center"/>
      <protection locked="0"/>
    </xf>
    <xf numFmtId="4" fontId="70" fillId="12" borderId="70" xfId="17" applyNumberFormat="1" applyFont="1" applyFill="1" applyBorder="1" applyAlignment="1" applyProtection="1">
      <alignment horizontal="center" vertical="center"/>
      <protection locked="0"/>
    </xf>
    <xf numFmtId="0" fontId="73" fillId="10" borderId="73" xfId="18" applyFont="1" applyFill="1" applyBorder="1" applyAlignment="1">
      <alignment horizontal="center" vertical="center" wrapText="1"/>
    </xf>
    <xf numFmtId="4" fontId="70" fillId="28" borderId="10" xfId="17" applyNumberFormat="1" applyFont="1" applyFill="1" applyBorder="1" applyAlignment="1" applyProtection="1">
      <alignment horizontal="center" vertical="center"/>
      <protection locked="0"/>
    </xf>
    <xf numFmtId="4" fontId="70" fillId="0" borderId="10" xfId="17" applyNumberFormat="1" applyFont="1" applyBorder="1" applyAlignment="1" applyProtection="1">
      <alignment horizontal="center" vertical="center"/>
      <protection locked="0"/>
    </xf>
    <xf numFmtId="0" fontId="70" fillId="0" borderId="6" xfId="17" applyFont="1" applyBorder="1" applyAlignment="1" applyProtection="1">
      <alignment horizontal="center" vertical="top"/>
      <protection locked="0"/>
    </xf>
    <xf numFmtId="0" fontId="70" fillId="0" borderId="0" xfId="17" applyFont="1" applyAlignment="1" applyProtection="1">
      <alignment horizontal="center" vertical="top"/>
      <protection locked="0"/>
    </xf>
    <xf numFmtId="0" fontId="70" fillId="0" borderId="5" xfId="17" applyFont="1" applyBorder="1" applyAlignment="1" applyProtection="1">
      <alignment horizontal="center" vertical="top"/>
      <protection locked="0"/>
    </xf>
    <xf numFmtId="0" fontId="70" fillId="0" borderId="4" xfId="17" applyFont="1" applyBorder="1" applyAlignment="1" applyProtection="1">
      <alignment horizontal="center" vertical="top"/>
      <protection locked="0"/>
    </xf>
    <xf numFmtId="0" fontId="70" fillId="0" borderId="3" xfId="17" applyFont="1" applyBorder="1" applyAlignment="1" applyProtection="1">
      <alignment horizontal="center" vertical="top"/>
      <protection locked="0"/>
    </xf>
    <xf numFmtId="0" fontId="70" fillId="0" borderId="2" xfId="17" applyFont="1" applyBorder="1" applyAlignment="1" applyProtection="1">
      <alignment horizontal="center" vertical="top"/>
      <protection locked="0"/>
    </xf>
    <xf numFmtId="0" fontId="77" fillId="10" borderId="0" xfId="19" applyFont="1" applyFill="1" applyAlignment="1" applyProtection="1">
      <alignment horizontal="center" vertical="center"/>
      <protection locked="0"/>
    </xf>
    <xf numFmtId="0" fontId="73" fillId="10" borderId="74" xfId="18" applyFont="1" applyFill="1" applyBorder="1" applyAlignment="1">
      <alignment horizontal="center" vertical="center" wrapText="1"/>
    </xf>
    <xf numFmtId="4" fontId="70" fillId="31" borderId="75" xfId="17" applyNumberFormat="1" applyFont="1" applyFill="1" applyBorder="1" applyAlignment="1" applyProtection="1">
      <alignment horizontal="center" vertical="center"/>
      <protection locked="0"/>
    </xf>
    <xf numFmtId="0" fontId="73" fillId="10" borderId="76" xfId="18" applyFont="1" applyFill="1" applyBorder="1" applyAlignment="1">
      <alignment horizontal="center" vertical="center" wrapText="1"/>
    </xf>
    <xf numFmtId="0" fontId="73" fillId="10" borderId="77" xfId="18" applyFont="1" applyFill="1" applyBorder="1" applyAlignment="1">
      <alignment horizontal="center" vertical="center" wrapText="1"/>
    </xf>
    <xf numFmtId="2" fontId="73" fillId="4" borderId="78" xfId="18" applyNumberFormat="1" applyFont="1" applyFill="1" applyBorder="1" applyAlignment="1">
      <alignment horizontal="center" vertical="center" wrapText="1"/>
    </xf>
    <xf numFmtId="2" fontId="73" fillId="4" borderId="79" xfId="18" applyNumberFormat="1" applyFont="1" applyFill="1" applyBorder="1" applyAlignment="1">
      <alignment horizontal="center" vertical="center" wrapText="1"/>
    </xf>
    <xf numFmtId="0" fontId="73" fillId="10" borderId="80" xfId="18" applyFont="1" applyFill="1" applyBorder="1" applyAlignment="1">
      <alignment horizontal="center" vertical="center" wrapText="1"/>
    </xf>
    <xf numFmtId="0" fontId="73" fillId="10" borderId="78" xfId="18" applyFont="1" applyFill="1" applyBorder="1" applyAlignment="1">
      <alignment horizontal="center" vertical="center" wrapText="1"/>
    </xf>
    <xf numFmtId="0" fontId="73" fillId="10" borderId="79" xfId="18" applyFont="1" applyFill="1" applyBorder="1" applyAlignment="1">
      <alignment horizontal="center" vertical="center" wrapText="1"/>
    </xf>
    <xf numFmtId="183" fontId="83" fillId="10" borderId="0" xfId="18" applyNumberFormat="1" applyFont="1" applyFill="1" applyAlignment="1" applyProtection="1">
      <alignment horizontal="center" vertical="center" wrapText="1"/>
      <protection locked="0"/>
    </xf>
    <xf numFmtId="0" fontId="79" fillId="0" borderId="37" xfId="4" applyFont="1" applyBorder="1" applyAlignment="1" applyProtection="1">
      <alignment horizontal="left" vertical="center"/>
      <protection locked="0"/>
    </xf>
    <xf numFmtId="39" fontId="79" fillId="4" borderId="0" xfId="17" applyNumberFormat="1" applyFont="1" applyFill="1" applyAlignment="1" applyProtection="1">
      <alignment horizontal="center" vertical="center"/>
      <protection locked="0"/>
    </xf>
    <xf numFmtId="0" fontId="82" fillId="33" borderId="0" xfId="18" applyFont="1" applyFill="1" applyAlignment="1" applyProtection="1">
      <alignment horizontal="center" vertical="center" textRotation="90"/>
      <protection locked="0"/>
    </xf>
    <xf numFmtId="0" fontId="83" fillId="10" borderId="81" xfId="18" applyFont="1" applyFill="1" applyBorder="1" applyAlignment="1" applyProtection="1">
      <alignment horizontal="center" vertical="center"/>
      <protection locked="0"/>
    </xf>
    <xf numFmtId="0" fontId="83" fillId="10" borderId="83" xfId="18" applyFont="1" applyFill="1" applyBorder="1" applyAlignment="1" applyProtection="1">
      <alignment horizontal="center" vertical="center"/>
      <protection locked="0"/>
    </xf>
    <xf numFmtId="0" fontId="83" fillId="10" borderId="81" xfId="18" applyFont="1" applyFill="1" applyBorder="1" applyAlignment="1" applyProtection="1">
      <alignment horizontal="center" vertical="center" wrapText="1"/>
      <protection locked="0"/>
    </xf>
    <xf numFmtId="0" fontId="83" fillId="10" borderId="83" xfId="18" applyFont="1" applyFill="1" applyBorder="1" applyAlignment="1" applyProtection="1">
      <alignment horizontal="center" vertical="center" wrapText="1"/>
      <protection locked="0"/>
    </xf>
    <xf numFmtId="0" fontId="83" fillId="10" borderId="0" xfId="18" applyFont="1" applyFill="1" applyAlignment="1" applyProtection="1">
      <alignment horizontal="center" vertical="center" wrapText="1"/>
      <protection locked="0"/>
    </xf>
    <xf numFmtId="0" fontId="83" fillId="10" borderId="84" xfId="18" applyFont="1" applyFill="1" applyBorder="1" applyAlignment="1" applyProtection="1">
      <alignment horizontal="center" vertical="center" wrapText="1"/>
      <protection locked="0"/>
    </xf>
    <xf numFmtId="183" fontId="83" fillId="10" borderId="0" xfId="18" applyNumberFormat="1" applyFont="1" applyFill="1" applyAlignment="1" applyProtection="1">
      <alignment horizontal="center" vertical="center"/>
      <protection locked="0"/>
    </xf>
    <xf numFmtId="0" fontId="83" fillId="10" borderId="0" xfId="19" applyFont="1" applyFill="1" applyAlignment="1">
      <alignment horizontal="center" vertical="center" wrapText="1"/>
    </xf>
    <xf numFmtId="183" fontId="83" fillId="10" borderId="81" xfId="18" applyNumberFormat="1" applyFont="1" applyFill="1" applyBorder="1" applyAlignment="1" applyProtection="1">
      <alignment horizontal="center" vertical="center" wrapText="1"/>
      <protection locked="0"/>
    </xf>
    <xf numFmtId="0" fontId="85" fillId="10" borderId="83" xfId="17" applyFont="1" applyFill="1" applyBorder="1" applyAlignment="1" applyProtection="1">
      <alignment horizontal="center" vertical="center" wrapText="1"/>
      <protection locked="0"/>
    </xf>
    <xf numFmtId="39" fontId="84" fillId="4" borderId="3" xfId="17" applyNumberFormat="1" applyFont="1" applyFill="1" applyBorder="1" applyAlignment="1" applyProtection="1">
      <alignment horizontal="center" vertical="center"/>
      <protection locked="0"/>
    </xf>
    <xf numFmtId="0" fontId="83" fillId="10" borderId="82" xfId="18" applyFont="1" applyFill="1" applyBorder="1" applyAlignment="1" applyProtection="1">
      <alignment horizontal="center" vertical="center" wrapText="1"/>
      <protection locked="0"/>
    </xf>
    <xf numFmtId="0" fontId="85" fillId="10" borderId="86" xfId="17" applyFont="1" applyFill="1" applyBorder="1" applyAlignment="1" applyProtection="1">
      <alignment horizontal="center" vertical="center" wrapText="1"/>
      <protection locked="0"/>
    </xf>
    <xf numFmtId="183" fontId="83" fillId="10" borderId="81" xfId="21" applyNumberFormat="1" applyFont="1" applyFill="1" applyBorder="1" applyAlignment="1">
      <alignment horizontal="center" vertical="center"/>
    </xf>
    <xf numFmtId="183" fontId="83" fillId="10" borderId="0" xfId="21" applyNumberFormat="1" applyFont="1" applyFill="1" applyAlignment="1" applyProtection="1">
      <alignment horizontal="center" vertical="center" wrapText="1"/>
      <protection locked="0"/>
    </xf>
    <xf numFmtId="0" fontId="83" fillId="10" borderId="0" xfId="22" applyFont="1" applyFill="1" applyAlignment="1" applyProtection="1">
      <alignment horizontal="center" vertical="center" wrapText="1"/>
      <protection locked="0"/>
    </xf>
    <xf numFmtId="0" fontId="83" fillId="10" borderId="0" xfId="23" applyFont="1" applyFill="1" applyAlignment="1" applyProtection="1">
      <alignment horizontal="center" vertical="center" wrapText="1"/>
      <protection locked="0"/>
    </xf>
    <xf numFmtId="39" fontId="84" fillId="0" borderId="0" xfId="17" applyNumberFormat="1" applyFont="1" applyAlignment="1" applyProtection="1">
      <alignment horizontal="center" vertical="center"/>
      <protection locked="0"/>
    </xf>
    <xf numFmtId="0" fontId="86" fillId="10" borderId="28" xfId="28" applyFont="1" applyFill="1" applyBorder="1" applyAlignment="1">
      <alignment horizontal="center"/>
    </xf>
    <xf numFmtId="0" fontId="86" fillId="10" borderId="88" xfId="28" applyFont="1" applyFill="1" applyBorder="1" applyAlignment="1">
      <alignment horizontal="center"/>
    </xf>
    <xf numFmtId="0" fontId="86" fillId="10" borderId="25" xfId="28" applyFont="1" applyFill="1" applyBorder="1" applyAlignment="1">
      <alignment horizontal="center"/>
    </xf>
    <xf numFmtId="10" fontId="82" fillId="37" borderId="89" xfId="27" applyNumberFormat="1" applyFont="1" applyFill="1" applyBorder="1" applyAlignment="1" applyProtection="1">
      <alignment horizontal="center"/>
    </xf>
    <xf numFmtId="10" fontId="82" fillId="37" borderId="90" xfId="27" applyNumberFormat="1" applyFont="1" applyFill="1" applyBorder="1" applyAlignment="1" applyProtection="1">
      <alignment horizontal="center"/>
    </xf>
    <xf numFmtId="0" fontId="50" fillId="0" borderId="39" xfId="0" applyFont="1" applyBorder="1" applyAlignment="1">
      <alignment horizontal="left" vertical="top" wrapText="1"/>
    </xf>
    <xf numFmtId="0" fontId="50" fillId="0" borderId="40" xfId="0" applyFont="1" applyBorder="1" applyAlignment="1">
      <alignment horizontal="left" vertical="top" wrapText="1"/>
    </xf>
    <xf numFmtId="0" fontId="50" fillId="0" borderId="38" xfId="0" applyFont="1" applyBorder="1" applyAlignment="1">
      <alignment horizontal="left" vertical="top" wrapText="1"/>
    </xf>
    <xf numFmtId="0" fontId="50" fillId="0" borderId="41" xfId="0" applyFont="1" applyBorder="1" applyAlignment="1">
      <alignment horizontal="left" vertical="top" wrapText="1"/>
    </xf>
    <xf numFmtId="0" fontId="50" fillId="0" borderId="0" xfId="0" applyFont="1" applyBorder="1" applyAlignment="1">
      <alignment horizontal="left" vertical="top" wrapText="1"/>
    </xf>
    <xf numFmtId="0" fontId="50" fillId="0" borderId="42" xfId="0" applyFont="1" applyBorder="1" applyAlignment="1">
      <alignment horizontal="left" vertical="top" wrapText="1"/>
    </xf>
    <xf numFmtId="0" fontId="50" fillId="0" borderId="43" xfId="0" applyFont="1" applyBorder="1" applyAlignment="1">
      <alignment horizontal="left" vertical="top" wrapText="1"/>
    </xf>
    <xf numFmtId="0" fontId="50" fillId="0" borderId="29" xfId="0" applyFont="1" applyBorder="1" applyAlignment="1">
      <alignment horizontal="left" vertical="top" wrapText="1"/>
    </xf>
    <xf numFmtId="0" fontId="50" fillId="0" borderId="27" xfId="0" applyFont="1" applyBorder="1" applyAlignment="1">
      <alignment horizontal="left" vertical="top" wrapText="1"/>
    </xf>
  </cellXfs>
  <cellStyles count="36">
    <cellStyle name="1. Contábil" xfId="10" xr:uid="{00000000-0005-0000-0000-000000000000}"/>
    <cellStyle name="3. Cabeçalho" xfId="7" xr:uid="{00000000-0005-0000-0000-000001000000}"/>
    <cellStyle name="4. Cabeçalho 2" xfId="8" xr:uid="{00000000-0005-0000-0000-000002000000}"/>
    <cellStyle name="Entrada" xfId="3" builtinId="20"/>
    <cellStyle name="Hiperlink" xfId="12" builtinId="8"/>
    <cellStyle name="Input 2" xfId="9" xr:uid="{00000000-0005-0000-0000-000006000000}"/>
    <cellStyle name="Moeda" xfId="13" builtinId="4"/>
    <cellStyle name="Moeda 10" xfId="33" xr:uid="{3CB2C013-9D96-47F8-9171-F1A4D5683B31}"/>
    <cellStyle name="Moeda 2" xfId="15" xr:uid="{6D065658-29BC-4491-8893-D28A1342EDD7}"/>
    <cellStyle name="Moeda_Cálculos Tap RB 311 lj B" xfId="29" xr:uid="{FFF661BA-7FFD-4351-8234-6ADA9C11DA8B}"/>
    <cellStyle name="Moeda_Comp_Loc_Loj" xfId="30" xr:uid="{336DF1C8-F9B2-43A5-BCEC-54642CE510F0}"/>
    <cellStyle name="Normal" xfId="0" builtinId="0"/>
    <cellStyle name="Normal 10" xfId="32" xr:uid="{59FFFB76-5F55-479A-8F28-80380F9F069A}"/>
    <cellStyle name="Normal 2" xfId="4" xr:uid="{00000000-0005-0000-0000-000008000000}"/>
    <cellStyle name="Normal 2 2" xfId="6" xr:uid="{00000000-0005-0000-0000-000009000000}"/>
    <cellStyle name="Normal 3" xfId="5" xr:uid="{00000000-0005-0000-0000-00000A000000}"/>
    <cellStyle name="Normal 3 2" xfId="18" xr:uid="{D7E77599-4CF2-4FA7-9319-F75BE2BAD57E}"/>
    <cellStyle name="Normal 4" xfId="17" xr:uid="{52B81E76-F756-47E5-8C08-8A5199901D72}"/>
    <cellStyle name="Normal 4 2" xfId="19" xr:uid="{FB4D7CBA-B55A-49AE-9380-93E62A6FB1FF}"/>
    <cellStyle name="Normal 5" xfId="24" xr:uid="{9D35A840-D3C2-4931-934A-79A528D26828}"/>
    <cellStyle name="Normal 6" xfId="25" xr:uid="{B7F063A5-A25B-4D64-8F69-8B06C8EDBDDD}"/>
    <cellStyle name="Normal 7" xfId="22" xr:uid="{EDC38000-126E-4866-9B03-DDF301DDE4CE}"/>
    <cellStyle name="Normal 8" xfId="23" xr:uid="{ED1FADCE-03E3-4C18-A8FA-9153BFE78477}"/>
    <cellStyle name="Normal 9" xfId="21" xr:uid="{682AE07F-FFDA-4BAD-BF62-091688FE7B50}"/>
    <cellStyle name="Normal_1263" xfId="35" xr:uid="{CD37B8BB-796C-499E-A110-C7ACC51EB7B0}"/>
    <cellStyle name="Normal_Comp_Loc_Loj" xfId="28" xr:uid="{B9C2D862-569E-470B-96C7-4D855D342CFD}"/>
    <cellStyle name="Normal_TABELA DE ROSS-HEIDECKE" xfId="31" xr:uid="{274F70C8-ECCC-4298-8681-E16742974951}"/>
    <cellStyle name="Nota" xfId="11" builtinId="10"/>
    <cellStyle name="Porcentagem" xfId="2" builtinId="5"/>
    <cellStyle name="Porcentagem 10" xfId="27" xr:uid="{ED0140A2-EF81-40E8-ABBB-1F7306D908B2}"/>
    <cellStyle name="Porcentagem 14" xfId="34" xr:uid="{16CBCA5F-6FDE-4FC1-A7DC-B3097EA773B6}"/>
    <cellStyle name="Separador de milhares 10" xfId="20" xr:uid="{38A861C6-B0A8-4901-A9CE-7FC6F8F218BD}"/>
    <cellStyle name="Vírgula" xfId="1" builtinId="3"/>
    <cellStyle name="Vírgula 2" xfId="14" xr:uid="{8BBE08E5-06B5-4C94-B575-FBFD5EA1E679}"/>
    <cellStyle name="Vírgula 3" xfId="26" xr:uid="{FACD7AD7-4038-42A7-AB3E-A2472BE0FE7D}"/>
    <cellStyle name="Vírgula 4" xfId="16" xr:uid="{5F1D7860-C4BF-4DCC-B868-8B9A6223EA6A}"/>
  </cellStyles>
  <dxfs count="24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indexed="3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</dxfs>
  <tableStyles count="1" defaultTableStyle="TableStyleMedium2" defaultPivotStyle="PivotStyleLight16">
    <tableStyle name="Invisible" pivot="0" table="0" count="0" xr9:uid="{F98E2BAD-065F-43E1-8659-1ECF23B0D81F}"/>
  </tableStyles>
  <colors>
    <mruColors>
      <color rgb="FFF2F2F2"/>
      <color rgb="FFA461A3"/>
      <color rgb="FFECECEC"/>
      <color rgb="FFE7E7E7"/>
      <color rgb="FFCCECFF"/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externalLink" Target="externalLinks/externalLink16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styles" Target="styles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 SAC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Graficos!$B$8</c:f>
              <c:strCache>
                <c:ptCount val="1"/>
                <c:pt idx="0">
                  <c:v>Amortização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535-436F-8E69-2712790522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Graficos!$A$9:$A$19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Graficos!$B$9:$B$19</c:f>
              <c:numCache>
                <c:formatCode>_-"R$"\ * #,##0_-;\-"R$"\ * #,##0_-;_-"R$"\ * "-"??_-;_-@_-</c:formatCode>
                <c:ptCount val="11"/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35-436F-8E69-271279052225}"/>
            </c:ext>
          </c:extLst>
        </c:ser>
        <c:ser>
          <c:idx val="1"/>
          <c:order val="1"/>
          <c:tx>
            <c:strRef>
              <c:f>Graficos!$C$8</c:f>
              <c:strCache>
                <c:ptCount val="1"/>
                <c:pt idx="0">
                  <c:v>Juros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Graficos!$A$9:$A$19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Graficos!$C$9:$C$19</c:f>
              <c:numCache>
                <c:formatCode>_-"R$"\ * #,##0_-;\-"R$"\ * #,##0_-;_-"R$"\ * "-"??_-;_-@_-</c:formatCode>
                <c:ptCount val="11"/>
                <c:pt idx="1">
                  <c:v>60</c:v>
                </c:pt>
                <c:pt idx="2">
                  <c:v>54</c:v>
                </c:pt>
                <c:pt idx="3">
                  <c:v>48</c:v>
                </c:pt>
                <c:pt idx="4">
                  <c:v>42</c:v>
                </c:pt>
                <c:pt idx="5">
                  <c:v>36</c:v>
                </c:pt>
                <c:pt idx="6">
                  <c:v>30</c:v>
                </c:pt>
                <c:pt idx="7">
                  <c:v>24</c:v>
                </c:pt>
                <c:pt idx="8">
                  <c:v>18</c:v>
                </c:pt>
                <c:pt idx="9">
                  <c:v>12</c:v>
                </c:pt>
                <c:pt idx="10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535-436F-8E69-271279052225}"/>
            </c:ext>
          </c:extLst>
        </c:ser>
        <c:ser>
          <c:idx val="2"/>
          <c:order val="2"/>
          <c:tx>
            <c:strRef>
              <c:f>Graficos!$D$8</c:f>
              <c:strCache>
                <c:ptCount val="1"/>
                <c:pt idx="0">
                  <c:v>Parcela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Graficos!$A$9:$A$19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Graficos!$D$9:$D$19</c:f>
              <c:numCache>
                <c:formatCode>_-"R$"\ * #,##0_-;\-"R$"\ * #,##0_-;_-"R$"\ * "-"??_-;_-@_-</c:formatCode>
                <c:ptCount val="11"/>
                <c:pt idx="1">
                  <c:v>110</c:v>
                </c:pt>
                <c:pt idx="2">
                  <c:v>104</c:v>
                </c:pt>
                <c:pt idx="3">
                  <c:v>98</c:v>
                </c:pt>
                <c:pt idx="4">
                  <c:v>92</c:v>
                </c:pt>
                <c:pt idx="5">
                  <c:v>86</c:v>
                </c:pt>
                <c:pt idx="6">
                  <c:v>80</c:v>
                </c:pt>
                <c:pt idx="7">
                  <c:v>74</c:v>
                </c:pt>
                <c:pt idx="8">
                  <c:v>68</c:v>
                </c:pt>
                <c:pt idx="9">
                  <c:v>62</c:v>
                </c:pt>
                <c:pt idx="10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35-436F-8E69-2712790522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78063"/>
        <c:axId val="334134735"/>
      </c:lineChart>
      <c:catAx>
        <c:axId val="457678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4134735"/>
        <c:crosses val="autoZero"/>
        <c:auto val="1"/>
        <c:lblAlgn val="ctr"/>
        <c:lblOffset val="100"/>
        <c:noMultiLvlLbl val="0"/>
      </c:catAx>
      <c:valAx>
        <c:axId val="33413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67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Evolução Price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Graficos!$B$8</c:f>
              <c:strCache>
                <c:ptCount val="1"/>
                <c:pt idx="0">
                  <c:v>Amortização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Graficos!$A$23:$A$33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Graficos!$B$23:$B$33</c:f>
              <c:numCache>
                <c:formatCode>_-"R$"\ * #,##0_-;\-"R$"\ * #,##0_-;_-"R$"\ * "-"??_-;_-@_-</c:formatCode>
                <c:ptCount val="11"/>
                <c:pt idx="1">
                  <c:v>28.492082079922042</c:v>
                </c:pt>
                <c:pt idx="2">
                  <c:v>31.911131929512692</c:v>
                </c:pt>
                <c:pt idx="3">
                  <c:v>35.740467761054212</c:v>
                </c:pt>
                <c:pt idx="4">
                  <c:v>40.029323892380717</c:v>
                </c:pt>
                <c:pt idx="5">
                  <c:v>44.832842759466409</c:v>
                </c:pt>
                <c:pt idx="6">
                  <c:v>50.212783890602374</c:v>
                </c:pt>
                <c:pt idx="7">
                  <c:v>56.238317957474663</c:v>
                </c:pt>
                <c:pt idx="8">
                  <c:v>62.986916112371624</c:v>
                </c:pt>
                <c:pt idx="9">
                  <c:v>70.54534604585622</c:v>
                </c:pt>
                <c:pt idx="10">
                  <c:v>79.010787571358961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01-4ED1-82D7-CC62EA44F782}"/>
            </c:ext>
          </c:extLst>
        </c:ser>
        <c:ser>
          <c:idx val="1"/>
          <c:order val="1"/>
          <c:tx>
            <c:strRef>
              <c:f>Graficos!$C$8</c:f>
              <c:strCache>
                <c:ptCount val="1"/>
                <c:pt idx="0">
                  <c:v>Juros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Graficos!$A$23:$A$33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Graficos!$C$23:$C$33</c:f>
              <c:numCache>
                <c:formatCode>_-"R$"\ * #,##0_-;\-"R$"\ * #,##0_-;_-"R$"\ * "-"??_-;_-@_-</c:formatCode>
                <c:ptCount val="11"/>
                <c:pt idx="1">
                  <c:v>60</c:v>
                </c:pt>
                <c:pt idx="2">
                  <c:v>56.58095015040935</c:v>
                </c:pt>
                <c:pt idx="3">
                  <c:v>52.75161431886783</c:v>
                </c:pt>
                <c:pt idx="4">
                  <c:v>48.462758187541326</c:v>
                </c:pt>
                <c:pt idx="5">
                  <c:v>43.659239320455633</c:v>
                </c:pt>
                <c:pt idx="6">
                  <c:v>38.279298189319668</c:v>
                </c:pt>
                <c:pt idx="7">
                  <c:v>32.253764122447379</c:v>
                </c:pt>
                <c:pt idx="8">
                  <c:v>25.505165967550418</c:v>
                </c:pt>
                <c:pt idx="9">
                  <c:v>17.946736034065825</c:v>
                </c:pt>
                <c:pt idx="10">
                  <c:v>9.481294508563078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01-4ED1-82D7-CC62EA44F782}"/>
            </c:ext>
          </c:extLst>
        </c:ser>
        <c:ser>
          <c:idx val="2"/>
          <c:order val="2"/>
          <c:tx>
            <c:strRef>
              <c:f>Graficos!$D$8</c:f>
              <c:strCache>
                <c:ptCount val="1"/>
                <c:pt idx="0">
                  <c:v>Parcela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Graficos!$A$23:$A$33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Graficos!$D$23:$D$33</c:f>
              <c:numCache>
                <c:formatCode>_-"R$"\ * #,##0_-;\-"R$"\ * #,##0_-;_-"R$"\ * "-"??_-;_-@_-</c:formatCode>
                <c:ptCount val="11"/>
                <c:pt idx="1">
                  <c:v>88.492082079922042</c:v>
                </c:pt>
                <c:pt idx="2">
                  <c:v>88.492082079922042</c:v>
                </c:pt>
                <c:pt idx="3">
                  <c:v>88.492082079922042</c:v>
                </c:pt>
                <c:pt idx="4">
                  <c:v>88.492082079922042</c:v>
                </c:pt>
                <c:pt idx="5">
                  <c:v>88.492082079922042</c:v>
                </c:pt>
                <c:pt idx="6">
                  <c:v>88.492082079922042</c:v>
                </c:pt>
                <c:pt idx="7">
                  <c:v>88.492082079922042</c:v>
                </c:pt>
                <c:pt idx="8">
                  <c:v>88.492082079922042</c:v>
                </c:pt>
                <c:pt idx="9">
                  <c:v>88.492082079922042</c:v>
                </c:pt>
                <c:pt idx="10">
                  <c:v>88.492082079922042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01-4ED1-82D7-CC62EA44F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7678063"/>
        <c:axId val="334134735"/>
      </c:lineChart>
      <c:catAx>
        <c:axId val="4576780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34134735"/>
        <c:crosses val="autoZero"/>
        <c:auto val="1"/>
        <c:lblAlgn val="ctr"/>
        <c:lblOffset val="100"/>
        <c:noMultiLvlLbl val="0"/>
      </c:catAx>
      <c:valAx>
        <c:axId val="33413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5767806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" Type="http://schemas.openxmlformats.org/officeDocument/2006/relationships/image" Target="../media/image3.jpeg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38099</xdr:colOff>
      <xdr:row>2</xdr:row>
      <xdr:rowOff>95250</xdr:rowOff>
    </xdr:from>
    <xdr:to>
      <xdr:col>18</xdr:col>
      <xdr:colOff>314324</xdr:colOff>
      <xdr:row>16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8CE171-A60F-4296-9E17-3618940D2D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21</xdr:row>
      <xdr:rowOff>0</xdr:rowOff>
    </xdr:from>
    <xdr:to>
      <xdr:col>18</xdr:col>
      <xdr:colOff>276225</xdr:colOff>
      <xdr:row>35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B30D3A8-2074-48BF-B78A-ADC0BCA751B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2</xdr:col>
      <xdr:colOff>1276833</xdr:colOff>
      <xdr:row>3</xdr:row>
      <xdr:rowOff>37682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8F96BA37-3F9D-4C03-8FEC-A9C2D3A0E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581633" cy="567272"/>
        </a:xfrm>
        <a:prstGeom prst="rect">
          <a:avLst/>
        </a:prstGeom>
      </xdr:spPr>
    </xdr:pic>
    <xdr:clientData/>
  </xdr:twoCellAnchor>
  <xdr:twoCellAnchor>
    <xdr:from>
      <xdr:col>5</xdr:col>
      <xdr:colOff>514350</xdr:colOff>
      <xdr:row>1</xdr:row>
      <xdr:rowOff>19051</xdr:rowOff>
    </xdr:from>
    <xdr:to>
      <xdr:col>7</xdr:col>
      <xdr:colOff>76199</xdr:colOff>
      <xdr:row>2</xdr:row>
      <xdr:rowOff>152401</xdr:rowOff>
    </xdr:to>
    <xdr:sp macro="[0]!Taxa_Quela" textlink="">
      <xdr:nvSpPr>
        <xdr:cNvPr id="3" name="Rectangle 2">
          <a:extLst>
            <a:ext uri="{FF2B5EF4-FFF2-40B4-BE49-F238E27FC236}">
              <a16:creationId xmlns:a16="http://schemas.microsoft.com/office/drawing/2014/main" id="{5A31FB16-5C0B-47AD-BE7B-CB7AA09E8C83}"/>
            </a:ext>
          </a:extLst>
        </xdr:cNvPr>
        <xdr:cNvSpPr/>
      </xdr:nvSpPr>
      <xdr:spPr>
        <a:xfrm>
          <a:off x="4872990" y="201931"/>
          <a:ext cx="1626869" cy="31623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Calcular</a:t>
          </a:r>
          <a:r>
            <a:rPr lang="en-US" sz="1100" baseline="0"/>
            <a:t> Taxa 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19050</xdr:rowOff>
    </xdr:from>
    <xdr:to>
      <xdr:col>2</xdr:col>
      <xdr:colOff>1276833</xdr:colOff>
      <xdr:row>3</xdr:row>
      <xdr:rowOff>37682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E37BD10-F22A-4ECE-99F3-22FDF6E807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9050"/>
          <a:ext cx="1581633" cy="56727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</xdr:colOff>
      <xdr:row>0</xdr:row>
      <xdr:rowOff>49079</xdr:rowOff>
    </xdr:from>
    <xdr:to>
      <xdr:col>1</xdr:col>
      <xdr:colOff>1555115</xdr:colOff>
      <xdr:row>4</xdr:row>
      <xdr:rowOff>57157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" y="49079"/>
          <a:ext cx="1501140" cy="72054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158866</xdr:colOff>
      <xdr:row>0</xdr:row>
      <xdr:rowOff>51319</xdr:rowOff>
    </xdr:from>
    <xdr:to>
      <xdr:col>2</xdr:col>
      <xdr:colOff>1012981</xdr:colOff>
      <xdr:row>1</xdr:row>
      <xdr:rowOff>327202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C09C395-5DA2-0040-B1F1-483BDDC8E5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74766" y="51319"/>
          <a:ext cx="1792645" cy="551473"/>
        </a:xfrm>
        <a:prstGeom prst="rect">
          <a:avLst/>
        </a:prstGeom>
      </xdr:spPr>
    </xdr:pic>
    <xdr:clientData/>
  </xdr:twoCellAnchor>
  <xdr:twoCellAnchor editAs="oneCell">
    <xdr:from>
      <xdr:col>1</xdr:col>
      <xdr:colOff>417803</xdr:colOff>
      <xdr:row>11</xdr:row>
      <xdr:rowOff>272143</xdr:rowOff>
    </xdr:from>
    <xdr:to>
      <xdr:col>2</xdr:col>
      <xdr:colOff>34988</xdr:colOff>
      <xdr:row>13</xdr:row>
      <xdr:rowOff>250034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CB0E722-36D5-8645-88BB-3EA03F328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33703" y="3523343"/>
          <a:ext cx="544285" cy="532881"/>
        </a:xfrm>
        <a:prstGeom prst="rect">
          <a:avLst/>
        </a:prstGeom>
      </xdr:spPr>
    </xdr:pic>
    <xdr:clientData/>
  </xdr:twoCellAnchor>
  <xdr:twoCellAnchor editAs="oneCell">
    <xdr:from>
      <xdr:col>3</xdr:col>
      <xdr:colOff>699797</xdr:colOff>
      <xdr:row>12</xdr:row>
      <xdr:rowOff>51837</xdr:rowOff>
    </xdr:from>
    <xdr:to>
      <xdr:col>4</xdr:col>
      <xdr:colOff>55648</xdr:colOff>
      <xdr:row>13</xdr:row>
      <xdr:rowOff>250035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1D732653-0245-5244-879E-F994C6E6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150897" y="3518937"/>
          <a:ext cx="482341" cy="473788"/>
        </a:xfrm>
        <a:prstGeom prst="rect">
          <a:avLst/>
        </a:prstGeom>
      </xdr:spPr>
    </xdr:pic>
    <xdr:clientData/>
  </xdr:twoCellAnchor>
  <xdr:twoCellAnchor editAs="oneCell">
    <xdr:from>
      <xdr:col>5</xdr:col>
      <xdr:colOff>596123</xdr:colOff>
      <xdr:row>9</xdr:row>
      <xdr:rowOff>38877</xdr:rowOff>
    </xdr:from>
    <xdr:to>
      <xdr:col>6</xdr:col>
      <xdr:colOff>1193</xdr:colOff>
      <xdr:row>10</xdr:row>
      <xdr:rowOff>244694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691200F4-65E0-694B-B6F6-5417404EB5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307823" y="2667777"/>
          <a:ext cx="479490" cy="473787"/>
        </a:xfrm>
        <a:prstGeom prst="rect">
          <a:avLst/>
        </a:prstGeom>
      </xdr:spPr>
    </xdr:pic>
    <xdr:clientData/>
  </xdr:twoCellAnchor>
  <xdr:twoCellAnchor editAs="oneCell">
    <xdr:from>
      <xdr:col>5</xdr:col>
      <xdr:colOff>609081</xdr:colOff>
      <xdr:row>12</xdr:row>
      <xdr:rowOff>51837</xdr:rowOff>
    </xdr:from>
    <xdr:to>
      <xdr:col>6</xdr:col>
      <xdr:colOff>2721</xdr:colOff>
      <xdr:row>13</xdr:row>
      <xdr:rowOff>250035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8A7A6C3F-623F-5343-ADC4-4122A6B0F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320781" y="3518937"/>
          <a:ext cx="479490" cy="473788"/>
        </a:xfrm>
        <a:prstGeom prst="rect">
          <a:avLst/>
        </a:prstGeom>
      </xdr:spPr>
    </xdr:pic>
    <xdr:clientData/>
  </xdr:twoCellAnchor>
  <xdr:twoCellAnchor editAs="oneCell">
    <xdr:from>
      <xdr:col>3</xdr:col>
      <xdr:colOff>622044</xdr:colOff>
      <xdr:row>8</xdr:row>
      <xdr:rowOff>427655</xdr:rowOff>
    </xdr:from>
    <xdr:to>
      <xdr:col>4</xdr:col>
      <xdr:colOff>38879</xdr:colOff>
      <xdr:row>10</xdr:row>
      <xdr:rowOff>245524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71412377-2BC5-5447-AC4D-86BC91490B9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3073144" y="2624755"/>
          <a:ext cx="547135" cy="532879"/>
        </a:xfrm>
        <a:prstGeom prst="rect">
          <a:avLst/>
        </a:prstGeom>
      </xdr:spPr>
    </xdr:pic>
    <xdr:clientData/>
  </xdr:twoCellAnchor>
  <xdr:twoCellAnchor editAs="oneCell">
    <xdr:from>
      <xdr:col>1</xdr:col>
      <xdr:colOff>430762</xdr:colOff>
      <xdr:row>9</xdr:row>
      <xdr:rowOff>25917</xdr:rowOff>
    </xdr:from>
    <xdr:to>
      <xdr:col>2</xdr:col>
      <xdr:colOff>1191</xdr:colOff>
      <xdr:row>10</xdr:row>
      <xdr:rowOff>244693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5651264B-B05D-9548-960C-B3B5E88375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646662" y="2718317"/>
          <a:ext cx="492449" cy="48674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237066</xdr:colOff>
      <xdr:row>0</xdr:row>
      <xdr:rowOff>143933</xdr:rowOff>
    </xdr:from>
    <xdr:to>
      <xdr:col>9</xdr:col>
      <xdr:colOff>999066</xdr:colOff>
      <xdr:row>2</xdr:row>
      <xdr:rowOff>50800</xdr:rowOff>
    </xdr:to>
    <xdr:sp macro="[0]!Macro_gravar" textlink="">
      <xdr:nvSpPr>
        <xdr:cNvPr id="2" name="Retângulo 1">
          <a:extLst>
            <a:ext uri="{FF2B5EF4-FFF2-40B4-BE49-F238E27FC236}">
              <a16:creationId xmlns:a16="http://schemas.microsoft.com/office/drawing/2014/main" id="{F6010CE0-4D66-445A-B89B-179DFAAF2BE7}"/>
            </a:ext>
          </a:extLst>
        </xdr:cNvPr>
        <xdr:cNvSpPr/>
      </xdr:nvSpPr>
      <xdr:spPr>
        <a:xfrm>
          <a:off x="8492066" y="143933"/>
          <a:ext cx="4521200" cy="296334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 b="1">
              <a:solidFill>
                <a:sysClr val="windowText" lastClr="000000"/>
              </a:solidFill>
            </a:rPr>
            <a:t>RODAR MACRO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74</xdr:row>
      <xdr:rowOff>197304</xdr:rowOff>
    </xdr:from>
    <xdr:to>
      <xdr:col>4</xdr:col>
      <xdr:colOff>0</xdr:colOff>
      <xdr:row>74</xdr:row>
      <xdr:rowOff>197304</xdr:rowOff>
    </xdr:to>
    <xdr:sp macro="" textlink="">
      <xdr:nvSpPr>
        <xdr:cNvPr id="2" name="Text Box 225">
          <a:extLst>
            <a:ext uri="{FF2B5EF4-FFF2-40B4-BE49-F238E27FC236}">
              <a16:creationId xmlns:a16="http://schemas.microsoft.com/office/drawing/2014/main" id="{2D31F87C-CDD3-4E4C-97D0-B88DE43FBE41}"/>
            </a:ext>
          </a:extLst>
        </xdr:cNvPr>
        <xdr:cNvSpPr txBox="1">
          <a:spLocks noChangeArrowheads="1"/>
        </xdr:cNvSpPr>
      </xdr:nvSpPr>
      <xdr:spPr bwMode="auto">
        <a:xfrm>
          <a:off x="1524000" y="15951654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7432" rIns="0" bIns="0" anchor="t" upright="1"/>
        <a:lstStyle/>
        <a:p>
          <a:pPr algn="l" rtl="1">
            <a:defRPr sz="1000"/>
          </a:pPr>
          <a:r>
            <a:rPr lang="pt-BR" sz="1200" b="0" i="0" strike="noStrike">
              <a:solidFill>
                <a:srgbClr val="000000"/>
              </a:solidFill>
              <a:latin typeface="Arial Narrow"/>
            </a:rPr>
            <a:t>16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74452</xdr:colOff>
      <xdr:row>0</xdr:row>
      <xdr:rowOff>101084</xdr:rowOff>
    </xdr:from>
    <xdr:ext cx="982823" cy="438504"/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7500" b="28999"/>
        <a:stretch/>
      </xdr:blipFill>
      <xdr:spPr>
        <a:xfrm>
          <a:off x="74452" y="101084"/>
          <a:ext cx="982823" cy="438504"/>
        </a:xfrm>
        <a:prstGeom prst="rect">
          <a:avLst/>
        </a:prstGeom>
      </xdr:spPr>
    </xdr:pic>
    <xdr:clientData/>
  </xdr:oneCellAnchor>
  <xdr:twoCellAnchor>
    <xdr:from>
      <xdr:col>15</xdr:col>
      <xdr:colOff>152400</xdr:colOff>
      <xdr:row>32</xdr:row>
      <xdr:rowOff>142875</xdr:rowOff>
    </xdr:from>
    <xdr:to>
      <xdr:col>15</xdr:col>
      <xdr:colOff>561975</xdr:colOff>
      <xdr:row>35</xdr:row>
      <xdr:rowOff>95250</xdr:rowOff>
    </xdr:to>
    <xdr:cxnSp macro="">
      <xdr:nvCxnSpPr>
        <xdr:cNvPr id="3" name="Straight Connector 5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CxnSpPr/>
      </xdr:nvCxnSpPr>
      <xdr:spPr>
        <a:xfrm>
          <a:off x="16560800" y="5927725"/>
          <a:ext cx="409575" cy="485775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104775</xdr:colOff>
      <xdr:row>35</xdr:row>
      <xdr:rowOff>95250</xdr:rowOff>
    </xdr:from>
    <xdr:to>
      <xdr:col>15</xdr:col>
      <xdr:colOff>552450</xdr:colOff>
      <xdr:row>38</xdr:row>
      <xdr:rowOff>114301</xdr:rowOff>
    </xdr:to>
    <xdr:cxnSp macro="">
      <xdr:nvCxnSpPr>
        <xdr:cNvPr id="4" name="Straight Connector 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CxnSpPr/>
      </xdr:nvCxnSpPr>
      <xdr:spPr>
        <a:xfrm flipV="1">
          <a:off x="16513175" y="6413500"/>
          <a:ext cx="447675" cy="55245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CW_SERVER\Publico\Advisors\VAS%20-%20Valuation%20Advisory%20Services\Colgate\R.%20Rio%20Grande(V.%20Mariana)\Involutivo%20-%20Modelo%2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CW_SERVER/Publico/Advisors/VAS%20-%20Valuation%20Advisory%20Services/Colgate/R.%20Rio%20Grande(V.%20Mariana)/Involutivo%20-%20Modelo%201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COMPRA\QUELUZ\GAF100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GAFCONST/TRAB/ESTUDOS/COMPRA/QUELUZ/GAF100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IVO\BOUQUET\PLANO1\BASE4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GAFCONST/TRAB/ESTUDOS/IVO/BOUQUET/PLANO1/BASE4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A:\BALBI\CNS16\EXCEL5\CNS16\PINI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ndreza%20Aguilar\Downloads\Simulador%20HE_v04_Final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Pontte\0_HOME%20EQUITY\1_Maur&#237;cio%20Sandler%20Mudrik\Simulador%20HE_Price-Mauricio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ontte-my.sharepoint.com/personal/fabia_pontte_onmicrosoft_com/Documents/&#193;rea%20de%20Trabalho/Simulador%20HE_v04_Final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IVO\BOUQUET\VERA\PRIN-JUR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GAFCONST/TRAB/ESTUDOS/IVO/BOUQUET/VERA/PRIN-JUR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AFCONST\TRAB\ESTUDOS\COMPRA\JD_CAMP\tes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GAFCONST/TRAB/ESTUDOS/COMPRA/JD_CAMP/tes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uizabastos/Library/Containers/com.microsoft.Excel/Data/Documents/Z:/8.%20MCRED%20I/2.%20Investments/3.%20Home%20Equity/1.%20An&#225;lises/Pontte/Financeiro/Simulador_v3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Drives%20compartilhados/Pontte%20Cr&#233;dito/0_HOME%20EQUITY/0_Analises/0_Template/Backup/Simulador%20HE_v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  <sheetName val="Base Gráfico"/>
      <sheetName val="Tabelas (2)"/>
      <sheetName val="Cash Flow"/>
      <sheetName val="H&amp;S Costs"/>
      <sheetName val="Sales Revenues"/>
      <sheetName val="Curvas"/>
      <sheetName val="Resultados"/>
      <sheetName val="Cálculo Tabelas"/>
      <sheetName val="Mód.1"/>
      <sheetName val="Plan1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ssumptions"/>
    </sheetNames>
    <sheetDataSet>
      <sheetData sheetId="0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O"/>
      <sheetName val="GAFISA"/>
      <sheetName val="SOCIO"/>
      <sheetName val="Macros"/>
      <sheetName val="Menu"/>
    </sheetNames>
    <sheetDataSet>
      <sheetData sheetId="0"/>
      <sheetData sheetId="1"/>
      <sheetData sheetId="2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UNDO"/>
    </sheetNames>
    <sheetDataSet>
      <sheetData sheetId="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IPÓTESES"/>
      <sheetName val="COMERCIAL"/>
    </sheetNames>
    <sheetDataSet>
      <sheetData sheetId="0"/>
      <sheetData sheetId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MERCIAL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INI1"/>
    </sheetNames>
    <sheetDataSet>
      <sheetData sheetId="0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Sim_SAC"/>
      <sheetName val="Resumo"/>
      <sheetName val="Rating"/>
      <sheetName val="Registros"/>
      <sheetName val="Sheet2"/>
      <sheetName val="Mini Relatorio"/>
      <sheetName val="Avaliacao"/>
      <sheetName val="REND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ulador"/>
      <sheetName val="Resumo"/>
      <sheetName val="Rating"/>
      <sheetName val="Registros"/>
      <sheetName val="Sheet2"/>
      <sheetName val="Simulador HE_Price-Mauricio"/>
    </sheetNames>
    <sheetDataSet>
      <sheetData sheetId="0"/>
      <sheetData sheetId="1"/>
      <sheetData sheetId="2"/>
      <sheetData sheetId="3"/>
      <sheetData sheetId="4">
        <row r="12">
          <cell r="F12">
            <v>2.1000000000000001E-4</v>
          </cell>
        </row>
      </sheetData>
      <sheetData sheetId="5"/>
      <sheetData sheetId="6"/>
      <sheetData sheetId="7"/>
      <sheetData sheetId="8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Contrato"/>
      <sheetName val="Simulador PDF"/>
      <sheetName val="Sim_PRICE"/>
      <sheetName val="Sim_SAC"/>
      <sheetName val="Resumo"/>
      <sheetName val="Rating"/>
      <sheetName val="Registros"/>
      <sheetName val="Sheet2"/>
      <sheetName val="Mini Relatorio"/>
      <sheetName val="Simulador HE_v04_Final"/>
    </sheetNames>
    <sheetDataSet>
      <sheetData sheetId="0"/>
      <sheetData sheetId="1"/>
      <sheetData sheetId="2"/>
      <sheetData sheetId="3"/>
      <sheetData sheetId="4"/>
      <sheetData sheetId="5">
        <row r="12">
          <cell r="F12">
            <v>2.1000000000000001E-4</v>
          </cell>
        </row>
      </sheetData>
      <sheetData sheetId="6"/>
      <sheetData sheetId="7"/>
      <sheetData sheetId="8">
        <row r="1">
          <cell r="F1">
            <v>0</v>
          </cell>
        </row>
      </sheetData>
      <sheetData sheetId="9"/>
      <sheetData sheetId="10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TUR_LC "/>
      <sheetName val="ARTUR_MO"/>
      <sheetName val="ARTUR_CH"/>
      <sheetName val="CANT_LC"/>
      <sheetName val="CANT_MO"/>
      <sheetName val="CANT_CH"/>
      <sheetName val="ALTO_LC "/>
      <sheetName val="ALTO_MO  "/>
      <sheetName val="ALTO_CH"/>
      <sheetName val="COLINA_LC "/>
      <sheetName val="COLINA_MO "/>
      <sheetName val="COLINA_CH "/>
      <sheetName val="PANAMBY_LC "/>
      <sheetName val="PANAMBY_MO "/>
      <sheetName val="PANAMBY_CH"/>
      <sheetName val="PASSO_LC"/>
      <sheetName val="PASSO_MO "/>
      <sheetName val="PASSO_CH"/>
      <sheetName val="NOVA PIN_LC "/>
      <sheetName val="NOVA PIN_MO "/>
      <sheetName val="NOVA PIN_CH"/>
      <sheetName val="SALES_LC "/>
      <sheetName val="SALES_MO"/>
      <sheetName val="SALES_CH"/>
      <sheetName val="PANAMERICANA_LC"/>
      <sheetName val="PANAMERICANA_MO "/>
      <sheetName val="PANAMERICANA_CH "/>
      <sheetName val="SPE3_LC  "/>
      <sheetName val="SPE3_MO"/>
      <sheetName val="SPE3_CH"/>
      <sheetName val="PORTO(COM)_LC"/>
      <sheetName val="PORTO(COM)_MO "/>
      <sheetName val="PORTO(COM)_CH"/>
      <sheetName val="PORTO(RES)_LC"/>
      <sheetName val="PORTO(RES)_MO"/>
      <sheetName val="PORTO(RES)_CH "/>
      <sheetName val="ARTUR_LC_"/>
      <sheetName val="ALTO_LC_"/>
      <sheetName val="ALTO_MO__"/>
      <sheetName val="COLINA_LC_"/>
      <sheetName val="COLINA_MO_"/>
      <sheetName val="COLINA_CH_"/>
      <sheetName val="PANAMBY_LC_"/>
      <sheetName val="PANAMBY_MO_"/>
      <sheetName val="PASSO_MO_"/>
      <sheetName val="NOVA_PIN_LC_"/>
      <sheetName val="NOVA_PIN_MO_"/>
      <sheetName val="NOVA_PIN_CH"/>
      <sheetName val="SALES_LC_"/>
      <sheetName val="PANAMERICANA_MO_"/>
      <sheetName val="PANAMERICANA_CH_"/>
      <sheetName val="SPE3_LC__"/>
      <sheetName val="PORTO(COM)_MO_"/>
      <sheetName val="PORTO(RES)_CH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NT_LC"/>
    </sheetNames>
    <sheetDataSet>
      <sheetData sheetId="0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xto"/>
      <sheetName val="ESTUDO "/>
      <sheetName val="ESTUDO  (2)"/>
      <sheetName val="LANCAMENTO"/>
      <sheetName val="MEIO OBRA"/>
      <sheetName val="CHAVES"/>
      <sheetName val="Tabmed "/>
      <sheetName val="capa1"/>
      <sheetName val="capa2"/>
      <sheetName val="capa3"/>
      <sheetName val="capa4"/>
      <sheetName val="capa5"/>
      <sheetName val="capa6"/>
      <sheetName val="capa7"/>
      <sheetName val="Módulo1"/>
      <sheetName val="Módulo2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TUDO 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2"/>
    </sheetNames>
    <sheetDataSet>
      <sheetData sheetId="0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Simulador PDF"/>
      <sheetName val="Contrato"/>
      <sheetName val="Sim_PRICE"/>
      <sheetName val="Resumo"/>
      <sheetName val="Sim_SAC"/>
      <sheetName val="RENDA"/>
      <sheetName val="Avaliacao"/>
      <sheetName val="Rating"/>
      <sheetName val="Registros"/>
      <sheetName val="Planilha1"/>
      <sheetName val="Sheet2"/>
      <sheetName val="Mini Relatorio"/>
      <sheetName val="UFs"/>
      <sheetName val="Municíp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D1"/>
          <cell r="E1"/>
        </row>
        <row r="2">
          <cell r="D2" t="str">
            <v>NOME DO MUNICÍPIO</v>
          </cell>
          <cell r="E2" t="str">
            <v>POPULAÇÃO ESTIMADA</v>
          </cell>
        </row>
        <row r="3">
          <cell r="D3" t="str">
            <v>Alta Floresta D'Oeste</v>
          </cell>
          <cell r="E3">
            <v>22945</v>
          </cell>
        </row>
        <row r="4">
          <cell r="D4" t="str">
            <v>Ariquemes</v>
          </cell>
          <cell r="E4">
            <v>107863</v>
          </cell>
        </row>
        <row r="5">
          <cell r="D5" t="str">
            <v>Cabixi</v>
          </cell>
          <cell r="E5">
            <v>5312</v>
          </cell>
        </row>
        <row r="6">
          <cell r="D6" t="str">
            <v>Cacoal</v>
          </cell>
          <cell r="E6">
            <v>85359</v>
          </cell>
        </row>
        <row r="7">
          <cell r="D7" t="str">
            <v>Cerejeiras</v>
          </cell>
          <cell r="E7">
            <v>16323</v>
          </cell>
        </row>
        <row r="8">
          <cell r="D8" t="str">
            <v>Colorado do Oeste</v>
          </cell>
          <cell r="E8">
            <v>15882</v>
          </cell>
        </row>
        <row r="9">
          <cell r="D9" t="str">
            <v>Corumbiara</v>
          </cell>
          <cell r="E9">
            <v>7391</v>
          </cell>
        </row>
        <row r="10">
          <cell r="D10" t="str">
            <v>Costa Marques</v>
          </cell>
          <cell r="E10">
            <v>18331</v>
          </cell>
        </row>
        <row r="11">
          <cell r="D11" t="str">
            <v>Espigão D'Oeste</v>
          </cell>
          <cell r="E11">
            <v>32374</v>
          </cell>
        </row>
        <row r="12">
          <cell r="D12" t="str">
            <v>Guajará-Mirim</v>
          </cell>
          <cell r="E12">
            <v>46174</v>
          </cell>
        </row>
        <row r="13">
          <cell r="D13" t="str">
            <v>Jaru</v>
          </cell>
          <cell r="E13">
            <v>51775</v>
          </cell>
        </row>
        <row r="14">
          <cell r="D14" t="str">
            <v>Ji-Paraná</v>
          </cell>
          <cell r="E14">
            <v>128969</v>
          </cell>
        </row>
        <row r="15">
          <cell r="D15" t="str">
            <v>Machadinho D'Oeste</v>
          </cell>
          <cell r="E15">
            <v>39991</v>
          </cell>
        </row>
        <row r="16">
          <cell r="D16" t="str">
            <v>Nova Brasilândia D'Oeste</v>
          </cell>
          <cell r="E16">
            <v>20474</v>
          </cell>
        </row>
        <row r="17">
          <cell r="D17" t="str">
            <v>Ouro Preto do Oeste</v>
          </cell>
          <cell r="E17">
            <v>36035</v>
          </cell>
        </row>
        <row r="18">
          <cell r="D18" t="str">
            <v>Pimenta Bueno</v>
          </cell>
          <cell r="E18">
            <v>36660</v>
          </cell>
        </row>
        <row r="19">
          <cell r="D19" t="str">
            <v>Porto Velho</v>
          </cell>
          <cell r="E19" t="str">
            <v>529544 (1)</v>
          </cell>
        </row>
        <row r="20">
          <cell r="D20" t="str">
            <v>Presidente Médici</v>
          </cell>
          <cell r="E20">
            <v>18986</v>
          </cell>
        </row>
        <row r="21">
          <cell r="D21" t="str">
            <v>Rio Crespo</v>
          </cell>
          <cell r="E21">
            <v>3764</v>
          </cell>
        </row>
        <row r="22">
          <cell r="D22" t="str">
            <v>Rolim de Moura</v>
          </cell>
          <cell r="E22">
            <v>55058</v>
          </cell>
        </row>
        <row r="23">
          <cell r="D23" t="str">
            <v>Santa Luzia D'Oeste</v>
          </cell>
          <cell r="E23">
            <v>6495</v>
          </cell>
        </row>
        <row r="24">
          <cell r="D24" t="str">
            <v>Vilhena</v>
          </cell>
          <cell r="E24">
            <v>99854</v>
          </cell>
        </row>
        <row r="25">
          <cell r="D25" t="str">
            <v>São Miguel do Guaporé</v>
          </cell>
          <cell r="E25">
            <v>23005</v>
          </cell>
        </row>
        <row r="26">
          <cell r="D26" t="str">
            <v>Nova Mamoré</v>
          </cell>
          <cell r="E26">
            <v>30583</v>
          </cell>
        </row>
        <row r="27">
          <cell r="D27" t="str">
            <v>Alvorada D'Oeste</v>
          </cell>
          <cell r="E27">
            <v>14411</v>
          </cell>
        </row>
        <row r="28">
          <cell r="D28" t="str">
            <v>Alto Alegre dos Parecis</v>
          </cell>
          <cell r="E28">
            <v>13241</v>
          </cell>
        </row>
        <row r="29">
          <cell r="D29" t="str">
            <v>Alto Paraíso</v>
          </cell>
          <cell r="E29">
            <v>21428</v>
          </cell>
        </row>
        <row r="30">
          <cell r="D30" t="str">
            <v>Buritis</v>
          </cell>
          <cell r="E30">
            <v>39654</v>
          </cell>
        </row>
        <row r="31">
          <cell r="D31" t="str">
            <v>Novo Horizonte do Oeste</v>
          </cell>
          <cell r="E31">
            <v>8538</v>
          </cell>
        </row>
        <row r="32">
          <cell r="D32" t="str">
            <v>Cacaulândia</v>
          </cell>
          <cell r="E32">
            <v>6230</v>
          </cell>
        </row>
        <row r="33">
          <cell r="D33" t="str">
            <v>Campo Novo de Rondônia</v>
          </cell>
          <cell r="E33">
            <v>14139</v>
          </cell>
        </row>
        <row r="34">
          <cell r="D34" t="str">
            <v>Candeias do Jamari</v>
          </cell>
          <cell r="E34">
            <v>26693</v>
          </cell>
        </row>
        <row r="35">
          <cell r="D35" t="str">
            <v>Castanheiras</v>
          </cell>
          <cell r="E35">
            <v>3052</v>
          </cell>
        </row>
        <row r="36">
          <cell r="D36" t="str">
            <v>Chupinguaia</v>
          </cell>
          <cell r="E36">
            <v>11182</v>
          </cell>
        </row>
        <row r="37">
          <cell r="D37" t="str">
            <v>Cujubim</v>
          </cell>
          <cell r="E37">
            <v>25215</v>
          </cell>
        </row>
        <row r="38">
          <cell r="D38" t="str">
            <v>Governador Jorge Teixeira</v>
          </cell>
          <cell r="E38">
            <v>7767</v>
          </cell>
        </row>
        <row r="39">
          <cell r="D39" t="str">
            <v>Itapuã do Oeste</v>
          </cell>
          <cell r="E39">
            <v>10458</v>
          </cell>
        </row>
        <row r="40">
          <cell r="D40" t="str">
            <v>Ministro Andreazza</v>
          </cell>
          <cell r="E40">
            <v>9660</v>
          </cell>
        </row>
        <row r="41">
          <cell r="D41" t="str">
            <v>Mirante da Serra</v>
          </cell>
          <cell r="E41">
            <v>10947</v>
          </cell>
        </row>
        <row r="42">
          <cell r="D42" t="str">
            <v>Monte Negro</v>
          </cell>
          <cell r="E42">
            <v>15852</v>
          </cell>
        </row>
        <row r="43">
          <cell r="D43" t="str">
            <v>Nova União</v>
          </cell>
          <cell r="E43">
            <v>6970</v>
          </cell>
        </row>
        <row r="44">
          <cell r="D44" t="str">
            <v>Parecis</v>
          </cell>
          <cell r="E44">
            <v>6074</v>
          </cell>
        </row>
        <row r="45">
          <cell r="D45" t="str">
            <v>Pimenteiras do Oeste</v>
          </cell>
          <cell r="E45">
            <v>2169</v>
          </cell>
        </row>
        <row r="46">
          <cell r="D46" t="str">
            <v>Primavera de Rondônia</v>
          </cell>
          <cell r="E46">
            <v>2856</v>
          </cell>
        </row>
        <row r="47">
          <cell r="D47" t="str">
            <v>São Felipe D'Oeste</v>
          </cell>
          <cell r="E47">
            <v>5172</v>
          </cell>
        </row>
        <row r="48">
          <cell r="D48" t="str">
            <v>São Francisco do Guaporé</v>
          </cell>
          <cell r="E48">
            <v>20266</v>
          </cell>
        </row>
        <row r="49">
          <cell r="D49" t="str">
            <v>Seringueiras</v>
          </cell>
          <cell r="E49">
            <v>11856</v>
          </cell>
        </row>
        <row r="50">
          <cell r="D50" t="str">
            <v>Teixeirópolis</v>
          </cell>
          <cell r="E50">
            <v>4308</v>
          </cell>
        </row>
        <row r="51">
          <cell r="D51" t="str">
            <v>Theobroma</v>
          </cell>
          <cell r="E51">
            <v>10444</v>
          </cell>
        </row>
        <row r="52">
          <cell r="D52" t="str">
            <v>Urupá</v>
          </cell>
          <cell r="E52">
            <v>11467</v>
          </cell>
        </row>
        <row r="53">
          <cell r="D53" t="str">
            <v>Vale do Anari</v>
          </cell>
          <cell r="E53">
            <v>11204</v>
          </cell>
        </row>
        <row r="54">
          <cell r="D54" t="str">
            <v>Vale do Paraíso</v>
          </cell>
          <cell r="E54">
            <v>6825</v>
          </cell>
        </row>
        <row r="55">
          <cell r="D55" t="str">
            <v>Acrelândia</v>
          </cell>
          <cell r="E55">
            <v>15256</v>
          </cell>
        </row>
        <row r="56">
          <cell r="D56" t="str">
            <v>Assis Brasil</v>
          </cell>
          <cell r="E56">
            <v>7417</v>
          </cell>
        </row>
        <row r="57">
          <cell r="D57" t="str">
            <v>Brasiléia</v>
          </cell>
          <cell r="E57">
            <v>26278</v>
          </cell>
        </row>
        <row r="58">
          <cell r="D58" t="str">
            <v>Bujari</v>
          </cell>
          <cell r="E58">
            <v>10266</v>
          </cell>
        </row>
        <row r="59">
          <cell r="D59" t="str">
            <v>Capixaba</v>
          </cell>
          <cell r="E59">
            <v>11733</v>
          </cell>
        </row>
        <row r="60">
          <cell r="D60" t="str">
            <v>Cruzeiro do Sul</v>
          </cell>
          <cell r="E60">
            <v>88376</v>
          </cell>
        </row>
        <row r="61">
          <cell r="D61" t="str">
            <v>Epitaciolândia</v>
          </cell>
          <cell r="E61">
            <v>18411</v>
          </cell>
        </row>
        <row r="62">
          <cell r="D62" t="str">
            <v>Feijó</v>
          </cell>
          <cell r="E62">
            <v>34780</v>
          </cell>
        </row>
        <row r="63">
          <cell r="D63" t="str">
            <v>Jordão</v>
          </cell>
          <cell r="E63">
            <v>8317</v>
          </cell>
        </row>
        <row r="64">
          <cell r="D64" t="str">
            <v>Mâncio Lima</v>
          </cell>
          <cell r="E64">
            <v>18977</v>
          </cell>
        </row>
        <row r="65">
          <cell r="D65" t="str">
            <v>Manoel Urbano</v>
          </cell>
          <cell r="E65">
            <v>9459</v>
          </cell>
        </row>
        <row r="66">
          <cell r="D66" t="str">
            <v>Marechal Thaumaturgo</v>
          </cell>
          <cell r="E66">
            <v>18867</v>
          </cell>
        </row>
        <row r="67">
          <cell r="D67" t="str">
            <v>Plácido de Castro</v>
          </cell>
          <cell r="E67">
            <v>19761</v>
          </cell>
        </row>
        <row r="68">
          <cell r="D68" t="str">
            <v>Porto Walter</v>
          </cell>
          <cell r="E68">
            <v>11982</v>
          </cell>
        </row>
        <row r="69">
          <cell r="D69" t="str">
            <v>Rio Branco</v>
          </cell>
          <cell r="E69">
            <v>407319</v>
          </cell>
        </row>
        <row r="70">
          <cell r="D70" t="str">
            <v>Rodrigues Alves</v>
          </cell>
          <cell r="E70">
            <v>18930</v>
          </cell>
        </row>
        <row r="71">
          <cell r="D71" t="str">
            <v>Santa Rosa do Purus</v>
          </cell>
          <cell r="E71">
            <v>6540</v>
          </cell>
        </row>
        <row r="72">
          <cell r="D72" t="str">
            <v>Senador Guiomard</v>
          </cell>
          <cell r="E72">
            <v>23024</v>
          </cell>
        </row>
        <row r="73">
          <cell r="D73" t="str">
            <v>Sena Madureira</v>
          </cell>
          <cell r="E73">
            <v>45848</v>
          </cell>
        </row>
        <row r="74">
          <cell r="D74" t="str">
            <v>Tarauacá</v>
          </cell>
          <cell r="E74">
            <v>42567</v>
          </cell>
        </row>
        <row r="75">
          <cell r="D75" t="str">
            <v>Xapuri</v>
          </cell>
          <cell r="E75">
            <v>19323</v>
          </cell>
        </row>
        <row r="76">
          <cell r="D76" t="str">
            <v>Porto Acre</v>
          </cell>
          <cell r="E76">
            <v>18504</v>
          </cell>
        </row>
        <row r="77">
          <cell r="D77" t="str">
            <v>Alvarães</v>
          </cell>
          <cell r="E77">
            <v>16041</v>
          </cell>
        </row>
        <row r="78">
          <cell r="D78" t="str">
            <v>Amaturá</v>
          </cell>
          <cell r="E78">
            <v>11536</v>
          </cell>
        </row>
        <row r="79">
          <cell r="D79" t="str">
            <v>Anamã</v>
          </cell>
          <cell r="E79">
            <v>13614</v>
          </cell>
        </row>
        <row r="80">
          <cell r="D80" t="str">
            <v>Anori</v>
          </cell>
          <cell r="E80">
            <v>21010</v>
          </cell>
        </row>
        <row r="81">
          <cell r="D81" t="str">
            <v>Apuí</v>
          </cell>
          <cell r="E81">
            <v>21973</v>
          </cell>
        </row>
        <row r="82">
          <cell r="D82" t="str">
            <v>Atalaia do Norte</v>
          </cell>
          <cell r="E82">
            <v>19921</v>
          </cell>
        </row>
        <row r="83">
          <cell r="D83" t="str">
            <v>Autazes</v>
          </cell>
          <cell r="E83">
            <v>39565</v>
          </cell>
        </row>
        <row r="84">
          <cell r="D84" t="str">
            <v>Barcelos</v>
          </cell>
          <cell r="E84">
            <v>27502</v>
          </cell>
        </row>
        <row r="85">
          <cell r="D85" t="str">
            <v>Barreirinha</v>
          </cell>
          <cell r="E85">
            <v>32041</v>
          </cell>
        </row>
        <row r="86">
          <cell r="D86" t="str">
            <v>Benjamin Constant</v>
          </cell>
          <cell r="E86">
            <v>42984</v>
          </cell>
        </row>
        <row r="87">
          <cell r="D87" t="str">
            <v>Beruri</v>
          </cell>
          <cell r="E87">
            <v>19679</v>
          </cell>
        </row>
        <row r="88">
          <cell r="D88" t="str">
            <v>Boa Vista do Ramos</v>
          </cell>
          <cell r="E88">
            <v>19207</v>
          </cell>
        </row>
        <row r="89">
          <cell r="D89" t="str">
            <v>Boca do Acre</v>
          </cell>
          <cell r="E89">
            <v>34308</v>
          </cell>
        </row>
        <row r="90">
          <cell r="D90" t="str">
            <v>Borba</v>
          </cell>
          <cell r="E90">
            <v>41161</v>
          </cell>
        </row>
        <row r="91">
          <cell r="D91" t="str">
            <v>Caapiranga</v>
          </cell>
          <cell r="E91">
            <v>13081</v>
          </cell>
        </row>
        <row r="92">
          <cell r="D92" t="str">
            <v>Canutama</v>
          </cell>
          <cell r="E92">
            <v>15629</v>
          </cell>
        </row>
        <row r="93">
          <cell r="D93" t="str">
            <v>Carauari</v>
          </cell>
          <cell r="E93">
            <v>28294</v>
          </cell>
        </row>
        <row r="94">
          <cell r="D94" t="str">
            <v>Careiro</v>
          </cell>
          <cell r="E94">
            <v>37869</v>
          </cell>
        </row>
        <row r="95">
          <cell r="D95" t="str">
            <v>Careiro da Várzea</v>
          </cell>
          <cell r="E95">
            <v>30225</v>
          </cell>
        </row>
        <row r="96">
          <cell r="D96" t="str">
            <v>Coari</v>
          </cell>
          <cell r="E96">
            <v>85097</v>
          </cell>
        </row>
        <row r="97">
          <cell r="D97" t="str">
            <v>Codajás</v>
          </cell>
          <cell r="E97">
            <v>28637</v>
          </cell>
        </row>
        <row r="98">
          <cell r="D98" t="str">
            <v>Eirunepé</v>
          </cell>
          <cell r="E98">
            <v>35273</v>
          </cell>
        </row>
        <row r="99">
          <cell r="D99" t="str">
            <v>Envira</v>
          </cell>
          <cell r="E99">
            <v>20033</v>
          </cell>
        </row>
        <row r="100">
          <cell r="D100" t="str">
            <v>Fonte Boa</v>
          </cell>
          <cell r="E100">
            <v>17609</v>
          </cell>
        </row>
        <row r="101">
          <cell r="D101" t="str">
            <v>Guajará</v>
          </cell>
          <cell r="E101">
            <v>16678</v>
          </cell>
        </row>
        <row r="102">
          <cell r="D102" t="str">
            <v>Humaitá</v>
          </cell>
          <cell r="E102">
            <v>55080</v>
          </cell>
        </row>
        <row r="103">
          <cell r="D103" t="str">
            <v>Ipixuna</v>
          </cell>
          <cell r="E103">
            <v>29689</v>
          </cell>
        </row>
        <row r="104">
          <cell r="D104" t="str">
            <v>Iranduba</v>
          </cell>
          <cell r="E104">
            <v>48296</v>
          </cell>
        </row>
        <row r="105">
          <cell r="D105" t="str">
            <v>Itacoatiara</v>
          </cell>
          <cell r="E105">
            <v>101337</v>
          </cell>
        </row>
        <row r="106">
          <cell r="D106" t="str">
            <v>Itamarati</v>
          </cell>
          <cell r="E106">
            <v>7851</v>
          </cell>
        </row>
        <row r="107">
          <cell r="D107" t="str">
            <v>Itapiranga</v>
          </cell>
          <cell r="E107">
            <v>9148</v>
          </cell>
        </row>
        <row r="108">
          <cell r="D108" t="str">
            <v>Japurá</v>
          </cell>
          <cell r="E108">
            <v>2755</v>
          </cell>
        </row>
        <row r="109">
          <cell r="D109" t="str">
            <v>Juruá</v>
          </cell>
          <cell r="E109">
            <v>14712</v>
          </cell>
        </row>
        <row r="110">
          <cell r="D110" t="str">
            <v>Jutaí</v>
          </cell>
          <cell r="E110">
            <v>14317</v>
          </cell>
        </row>
        <row r="111">
          <cell r="D111" t="str">
            <v>Lábrea</v>
          </cell>
          <cell r="E111">
            <v>46069</v>
          </cell>
        </row>
        <row r="112">
          <cell r="D112" t="str">
            <v>Manacapuru</v>
          </cell>
          <cell r="E112">
            <v>97377</v>
          </cell>
        </row>
        <row r="113">
          <cell r="D113" t="str">
            <v>Manaquiri</v>
          </cell>
          <cell r="E113" t="str">
            <v>32105 (2)</v>
          </cell>
        </row>
        <row r="114">
          <cell r="D114" t="str">
            <v>Manaus</v>
          </cell>
          <cell r="E114">
            <v>2182763</v>
          </cell>
        </row>
        <row r="115">
          <cell r="D115" t="str">
            <v>Manicoré</v>
          </cell>
          <cell r="E115">
            <v>55751</v>
          </cell>
        </row>
        <row r="116">
          <cell r="D116" t="str">
            <v>Maraã</v>
          </cell>
          <cell r="E116">
            <v>18224</v>
          </cell>
        </row>
        <row r="117">
          <cell r="D117" t="str">
            <v>Maués</v>
          </cell>
          <cell r="E117">
            <v>63905</v>
          </cell>
        </row>
        <row r="118">
          <cell r="D118" t="str">
            <v>Nhamundá</v>
          </cell>
          <cell r="E118">
            <v>21173</v>
          </cell>
        </row>
        <row r="119">
          <cell r="D119" t="str">
            <v>Nova Olinda do Norte</v>
          </cell>
          <cell r="E119">
            <v>37378</v>
          </cell>
        </row>
        <row r="120">
          <cell r="D120" t="str">
            <v>Novo Airão</v>
          </cell>
          <cell r="E120">
            <v>19454</v>
          </cell>
        </row>
        <row r="121">
          <cell r="D121" t="str">
            <v>Novo Aripuanã</v>
          </cell>
          <cell r="E121">
            <v>25644</v>
          </cell>
        </row>
        <row r="122">
          <cell r="D122" t="str">
            <v>Parintins</v>
          </cell>
          <cell r="E122">
            <v>114273</v>
          </cell>
        </row>
        <row r="123">
          <cell r="D123" t="str">
            <v>Pauini</v>
          </cell>
          <cell r="E123">
            <v>19426</v>
          </cell>
        </row>
        <row r="124">
          <cell r="D124" t="str">
            <v>Presidente Figueiredo</v>
          </cell>
          <cell r="E124">
            <v>36279</v>
          </cell>
        </row>
        <row r="125">
          <cell r="D125" t="str">
            <v>Rio Preto da Eva</v>
          </cell>
          <cell r="E125">
            <v>33347</v>
          </cell>
        </row>
        <row r="126">
          <cell r="D126" t="str">
            <v>Santa Isabel do Rio Negro</v>
          </cell>
          <cell r="E126" t="str">
            <v>25156 (3)</v>
          </cell>
        </row>
        <row r="127">
          <cell r="D127" t="str">
            <v>Santo Antônio do Içá</v>
          </cell>
          <cell r="E127">
            <v>21602</v>
          </cell>
        </row>
        <row r="128">
          <cell r="D128" t="str">
            <v>São Gabriel da Cachoeira</v>
          </cell>
          <cell r="E128">
            <v>45564</v>
          </cell>
        </row>
        <row r="129">
          <cell r="D129" t="str">
            <v>São Paulo de Olivença</v>
          </cell>
          <cell r="E129">
            <v>39299</v>
          </cell>
        </row>
        <row r="130">
          <cell r="D130" t="str">
            <v>São Sebastião do Uatumã</v>
          </cell>
          <cell r="E130">
            <v>14020</v>
          </cell>
        </row>
        <row r="131">
          <cell r="D131" t="str">
            <v>Silves</v>
          </cell>
          <cell r="E131">
            <v>9171</v>
          </cell>
        </row>
        <row r="132">
          <cell r="D132" t="str">
            <v>Tabatinga</v>
          </cell>
          <cell r="E132">
            <v>65844</v>
          </cell>
        </row>
        <row r="133">
          <cell r="D133" t="str">
            <v>Tapauá</v>
          </cell>
          <cell r="E133">
            <v>17156</v>
          </cell>
        </row>
        <row r="134">
          <cell r="D134" t="str">
            <v>Tefé</v>
          </cell>
          <cell r="E134">
            <v>59849</v>
          </cell>
        </row>
        <row r="135">
          <cell r="D135" t="str">
            <v>Tonantins</v>
          </cell>
          <cell r="E135">
            <v>18755</v>
          </cell>
        </row>
        <row r="136">
          <cell r="D136" t="str">
            <v>Uarini</v>
          </cell>
          <cell r="E136">
            <v>13540</v>
          </cell>
        </row>
        <row r="137">
          <cell r="D137" t="str">
            <v>Urucará</v>
          </cell>
          <cell r="E137" t="str">
            <v>16256 (4)</v>
          </cell>
        </row>
        <row r="138">
          <cell r="D138" t="str">
            <v>Urucurituba</v>
          </cell>
          <cell r="E138">
            <v>23065</v>
          </cell>
        </row>
        <row r="139">
          <cell r="D139" t="str">
            <v>Amajari</v>
          </cell>
          <cell r="E139">
            <v>12796</v>
          </cell>
        </row>
        <row r="140">
          <cell r="D140" t="str">
            <v>Alto Alegre</v>
          </cell>
          <cell r="E140">
            <v>15510</v>
          </cell>
        </row>
        <row r="141">
          <cell r="D141" t="str">
            <v>Boa Vista</v>
          </cell>
          <cell r="E141">
            <v>399213</v>
          </cell>
        </row>
        <row r="142">
          <cell r="D142" t="str">
            <v>Bonfim</v>
          </cell>
          <cell r="E142">
            <v>12409</v>
          </cell>
        </row>
        <row r="143">
          <cell r="D143" t="str">
            <v>Cantá</v>
          </cell>
          <cell r="E143">
            <v>18335</v>
          </cell>
        </row>
        <row r="144">
          <cell r="D144" t="str">
            <v>Caracaraí</v>
          </cell>
          <cell r="E144">
            <v>21926</v>
          </cell>
        </row>
        <row r="145">
          <cell r="D145" t="str">
            <v>Caroebe</v>
          </cell>
          <cell r="E145">
            <v>10169</v>
          </cell>
        </row>
        <row r="146">
          <cell r="D146" t="str">
            <v>Iracema</v>
          </cell>
          <cell r="E146">
            <v>11950</v>
          </cell>
        </row>
        <row r="147">
          <cell r="D147" t="str">
            <v>Mucajaí</v>
          </cell>
          <cell r="E147">
            <v>17853</v>
          </cell>
        </row>
        <row r="148">
          <cell r="D148" t="str">
            <v>Normandia</v>
          </cell>
          <cell r="E148">
            <v>11290</v>
          </cell>
        </row>
        <row r="149">
          <cell r="D149" t="str">
            <v>Pacaraima</v>
          </cell>
          <cell r="E149">
            <v>17401</v>
          </cell>
        </row>
        <row r="150">
          <cell r="D150" t="str">
            <v>Rorainópolis</v>
          </cell>
          <cell r="E150">
            <v>30163</v>
          </cell>
        </row>
        <row r="151">
          <cell r="D151" t="str">
            <v>São João da Baliza</v>
          </cell>
          <cell r="E151">
            <v>8201</v>
          </cell>
        </row>
        <row r="152">
          <cell r="D152" t="str">
            <v>São Luiz</v>
          </cell>
          <cell r="E152">
            <v>7986</v>
          </cell>
        </row>
        <row r="153">
          <cell r="D153" t="str">
            <v>Uiramutã</v>
          </cell>
          <cell r="E153">
            <v>10559</v>
          </cell>
        </row>
        <row r="154">
          <cell r="D154" t="str">
            <v>Abaetetuba</v>
          </cell>
          <cell r="E154">
            <v>157698</v>
          </cell>
        </row>
        <row r="155">
          <cell r="D155" t="str">
            <v>Abel Figueiredo</v>
          </cell>
          <cell r="E155">
            <v>7434</v>
          </cell>
        </row>
        <row r="156">
          <cell r="D156" t="str">
            <v>Acará</v>
          </cell>
          <cell r="E156">
            <v>55591</v>
          </cell>
        </row>
        <row r="157">
          <cell r="D157" t="str">
            <v>Afuá</v>
          </cell>
          <cell r="E157">
            <v>39218</v>
          </cell>
        </row>
        <row r="158">
          <cell r="D158" t="str">
            <v>Água Azul do Norte</v>
          </cell>
          <cell r="E158">
            <v>27430</v>
          </cell>
        </row>
        <row r="159">
          <cell r="D159" t="str">
            <v>Alenquer</v>
          </cell>
          <cell r="E159">
            <v>56789</v>
          </cell>
        </row>
        <row r="160">
          <cell r="D160" t="str">
            <v>Almeirim</v>
          </cell>
          <cell r="E160">
            <v>34109</v>
          </cell>
        </row>
        <row r="161">
          <cell r="D161" t="str">
            <v>Altamira</v>
          </cell>
          <cell r="E161">
            <v>114594</v>
          </cell>
        </row>
        <row r="162">
          <cell r="D162" t="str">
            <v>Anajás</v>
          </cell>
          <cell r="E162">
            <v>29277</v>
          </cell>
        </row>
        <row r="163">
          <cell r="D163" t="str">
            <v>Ananindeua</v>
          </cell>
          <cell r="E163">
            <v>530598</v>
          </cell>
        </row>
        <row r="164">
          <cell r="D164" t="str">
            <v>Anapu</v>
          </cell>
          <cell r="E164">
            <v>27890</v>
          </cell>
        </row>
        <row r="165">
          <cell r="D165" t="str">
            <v>Augusto Corrêa</v>
          </cell>
          <cell r="E165">
            <v>45998</v>
          </cell>
        </row>
        <row r="166">
          <cell r="D166" t="str">
            <v>Aurora do Pará</v>
          </cell>
          <cell r="E166">
            <v>31338</v>
          </cell>
        </row>
        <row r="167">
          <cell r="D167" t="str">
            <v>Aveiro</v>
          </cell>
          <cell r="E167">
            <v>16388</v>
          </cell>
        </row>
        <row r="168">
          <cell r="D168" t="str">
            <v>Bagre</v>
          </cell>
          <cell r="E168">
            <v>30673</v>
          </cell>
        </row>
        <row r="169">
          <cell r="D169" t="str">
            <v>Baião</v>
          </cell>
          <cell r="E169">
            <v>47446</v>
          </cell>
        </row>
        <row r="170">
          <cell r="D170" t="str">
            <v>Bannach</v>
          </cell>
          <cell r="E170">
            <v>3286</v>
          </cell>
        </row>
        <row r="171">
          <cell r="D171" t="str">
            <v>Barcarena</v>
          </cell>
          <cell r="E171">
            <v>124680</v>
          </cell>
        </row>
        <row r="172">
          <cell r="D172" t="str">
            <v>Belém</v>
          </cell>
          <cell r="E172">
            <v>1492745</v>
          </cell>
        </row>
        <row r="173">
          <cell r="D173" t="str">
            <v>Belterra</v>
          </cell>
          <cell r="E173">
            <v>17732</v>
          </cell>
        </row>
        <row r="174">
          <cell r="D174" t="str">
            <v>Benevides</v>
          </cell>
          <cell r="E174">
            <v>62737</v>
          </cell>
        </row>
        <row r="175">
          <cell r="D175" t="str">
            <v>Bom Jesus do Tocantins</v>
          </cell>
          <cell r="E175">
            <v>16981</v>
          </cell>
        </row>
        <row r="176">
          <cell r="D176" t="str">
            <v>Bonito</v>
          </cell>
          <cell r="E176">
            <v>16286</v>
          </cell>
        </row>
        <row r="177">
          <cell r="D177" t="str">
            <v>Bragança</v>
          </cell>
          <cell r="E177">
            <v>127686</v>
          </cell>
        </row>
        <row r="178">
          <cell r="D178" t="str">
            <v>Brasil Novo</v>
          </cell>
          <cell r="E178">
            <v>15086</v>
          </cell>
        </row>
        <row r="179">
          <cell r="D179" t="str">
            <v>Brejo Grande do Araguaia</v>
          </cell>
          <cell r="E179">
            <v>7380</v>
          </cell>
        </row>
        <row r="180">
          <cell r="D180" t="str">
            <v>Breu Branco</v>
          </cell>
          <cell r="E180">
            <v>66046</v>
          </cell>
        </row>
        <row r="181">
          <cell r="D181" t="str">
            <v>Breves</v>
          </cell>
          <cell r="E181">
            <v>102701</v>
          </cell>
        </row>
        <row r="182">
          <cell r="D182" t="str">
            <v>Bujaru</v>
          </cell>
          <cell r="E182">
            <v>29132</v>
          </cell>
        </row>
        <row r="183">
          <cell r="D183" t="str">
            <v>Cachoeira do Piriá</v>
          </cell>
          <cell r="E183">
            <v>33900</v>
          </cell>
        </row>
        <row r="184">
          <cell r="D184" t="str">
            <v>Cachoeira do Arari</v>
          </cell>
          <cell r="E184">
            <v>23767</v>
          </cell>
        </row>
        <row r="185">
          <cell r="D185" t="str">
            <v>Cametá</v>
          </cell>
          <cell r="E185">
            <v>137890</v>
          </cell>
        </row>
        <row r="186">
          <cell r="D186" t="str">
            <v>Canaã dos Carajás</v>
          </cell>
          <cell r="E186">
            <v>37085</v>
          </cell>
        </row>
        <row r="187">
          <cell r="D187" t="str">
            <v>Capanema</v>
          </cell>
          <cell r="E187">
            <v>69027</v>
          </cell>
        </row>
        <row r="188">
          <cell r="D188" t="str">
            <v>Capitão Poço</v>
          </cell>
          <cell r="E188">
            <v>54303</v>
          </cell>
        </row>
        <row r="189">
          <cell r="D189" t="str">
            <v>Castanhal</v>
          </cell>
          <cell r="E189">
            <v>200793</v>
          </cell>
        </row>
        <row r="190">
          <cell r="D190" t="str">
            <v>Chaves</v>
          </cell>
          <cell r="E190">
            <v>23717</v>
          </cell>
        </row>
        <row r="191">
          <cell r="D191" t="str">
            <v>Colares</v>
          </cell>
          <cell r="E191">
            <v>12085</v>
          </cell>
        </row>
        <row r="192">
          <cell r="D192" t="str">
            <v>Conceição do Araguaia</v>
          </cell>
          <cell r="E192">
            <v>47864</v>
          </cell>
        </row>
        <row r="193">
          <cell r="D193" t="str">
            <v>Concórdia do Pará</v>
          </cell>
          <cell r="E193">
            <v>33318</v>
          </cell>
        </row>
        <row r="194">
          <cell r="D194" t="str">
            <v>Cumaru do Norte</v>
          </cell>
          <cell r="E194">
            <v>13473</v>
          </cell>
        </row>
        <row r="195">
          <cell r="D195" t="str">
            <v>Curionópolis</v>
          </cell>
          <cell r="E195">
            <v>17929</v>
          </cell>
        </row>
        <row r="196">
          <cell r="D196" t="str">
            <v>Curralinho</v>
          </cell>
          <cell r="E196">
            <v>34448</v>
          </cell>
        </row>
        <row r="197">
          <cell r="D197" t="str">
            <v>Curuá</v>
          </cell>
          <cell r="E197">
            <v>14393</v>
          </cell>
        </row>
        <row r="198">
          <cell r="D198" t="str">
            <v>Curuçá</v>
          </cell>
          <cell r="E198">
            <v>40066</v>
          </cell>
        </row>
        <row r="199">
          <cell r="D199" t="str">
            <v>Dom Eliseu</v>
          </cell>
          <cell r="E199">
            <v>59719</v>
          </cell>
        </row>
        <row r="200">
          <cell r="D200" t="str">
            <v>Eldorado do Carajás</v>
          </cell>
          <cell r="E200">
            <v>33808</v>
          </cell>
        </row>
        <row r="201">
          <cell r="D201" t="str">
            <v>Faro</v>
          </cell>
          <cell r="E201">
            <v>7194</v>
          </cell>
        </row>
        <row r="202">
          <cell r="D202" t="str">
            <v>Floresta do Araguaia</v>
          </cell>
          <cell r="E202">
            <v>20304</v>
          </cell>
        </row>
        <row r="203">
          <cell r="D203" t="str">
            <v>Garrafão do Norte</v>
          </cell>
          <cell r="E203">
            <v>26066</v>
          </cell>
        </row>
        <row r="204">
          <cell r="D204" t="str">
            <v>Goianésia do Pará</v>
          </cell>
          <cell r="E204">
            <v>40475</v>
          </cell>
        </row>
        <row r="205">
          <cell r="D205" t="str">
            <v>Gurupá</v>
          </cell>
          <cell r="E205">
            <v>33376</v>
          </cell>
        </row>
        <row r="206">
          <cell r="D206" t="str">
            <v>Igarapé-Açu</v>
          </cell>
          <cell r="E206">
            <v>38807</v>
          </cell>
        </row>
        <row r="207">
          <cell r="D207" t="str">
            <v>Igarapé-Miri</v>
          </cell>
          <cell r="E207">
            <v>62698</v>
          </cell>
        </row>
        <row r="208">
          <cell r="D208" t="str">
            <v>Inhangapi</v>
          </cell>
          <cell r="E208">
            <v>11711</v>
          </cell>
        </row>
        <row r="209">
          <cell r="D209" t="str">
            <v>Ipixuna do Pará</v>
          </cell>
          <cell r="E209">
            <v>64053</v>
          </cell>
        </row>
        <row r="210">
          <cell r="D210" t="str">
            <v>Irituia</v>
          </cell>
          <cell r="E210">
            <v>32550</v>
          </cell>
        </row>
        <row r="211">
          <cell r="D211" t="str">
            <v>Itaituba</v>
          </cell>
          <cell r="E211">
            <v>101247</v>
          </cell>
        </row>
        <row r="212">
          <cell r="D212" t="str">
            <v>Itupiranga</v>
          </cell>
          <cell r="E212">
            <v>53269</v>
          </cell>
        </row>
        <row r="213">
          <cell r="D213" t="str">
            <v>Jacareacanga</v>
          </cell>
          <cell r="E213" t="str">
            <v>8239 (5)</v>
          </cell>
        </row>
        <row r="214">
          <cell r="D214" t="str">
            <v>Jacundá</v>
          </cell>
          <cell r="E214">
            <v>59155</v>
          </cell>
        </row>
        <row r="215">
          <cell r="D215" t="str">
            <v>Juruti</v>
          </cell>
          <cell r="E215">
            <v>57943</v>
          </cell>
        </row>
        <row r="216">
          <cell r="D216" t="str">
            <v>Limoeiro do Ajuru</v>
          </cell>
          <cell r="E216">
            <v>28935</v>
          </cell>
        </row>
        <row r="217">
          <cell r="D217" t="str">
            <v>Mãe do Rio</v>
          </cell>
          <cell r="E217">
            <v>30077</v>
          </cell>
        </row>
        <row r="218">
          <cell r="D218" t="str">
            <v>Magalhães Barata</v>
          </cell>
          <cell r="E218">
            <v>8548</v>
          </cell>
        </row>
        <row r="219">
          <cell r="D219" t="str">
            <v>Marabá</v>
          </cell>
          <cell r="E219">
            <v>279349</v>
          </cell>
        </row>
        <row r="220">
          <cell r="D220" t="str">
            <v>Maracanã</v>
          </cell>
          <cell r="E220">
            <v>29473</v>
          </cell>
        </row>
        <row r="221">
          <cell r="D221" t="str">
            <v>Marapanim</v>
          </cell>
          <cell r="E221">
            <v>28336</v>
          </cell>
        </row>
        <row r="222">
          <cell r="D222" t="str">
            <v>Marituba</v>
          </cell>
          <cell r="E222">
            <v>131521</v>
          </cell>
        </row>
        <row r="223">
          <cell r="D223" t="str">
            <v>Medicilândia</v>
          </cell>
          <cell r="E223">
            <v>31597</v>
          </cell>
        </row>
        <row r="224">
          <cell r="D224" t="str">
            <v>Melgaço</v>
          </cell>
          <cell r="E224">
            <v>27654</v>
          </cell>
        </row>
        <row r="225">
          <cell r="D225" t="str">
            <v>Mocajuba</v>
          </cell>
          <cell r="E225">
            <v>31136</v>
          </cell>
        </row>
        <row r="226">
          <cell r="D226" t="str">
            <v>Moju</v>
          </cell>
          <cell r="E226">
            <v>82094</v>
          </cell>
        </row>
        <row r="227">
          <cell r="D227" t="str">
            <v>Mojuí dos Campos</v>
          </cell>
          <cell r="E227">
            <v>16084</v>
          </cell>
        </row>
        <row r="228">
          <cell r="D228" t="str">
            <v>Monte Alegre</v>
          </cell>
          <cell r="E228">
            <v>58032</v>
          </cell>
        </row>
        <row r="229">
          <cell r="D229" t="str">
            <v>Muaná</v>
          </cell>
          <cell r="E229">
            <v>40349</v>
          </cell>
        </row>
        <row r="230">
          <cell r="D230" t="str">
            <v>Nova Esperança do Piriá</v>
          </cell>
          <cell r="E230">
            <v>21368</v>
          </cell>
        </row>
        <row r="231">
          <cell r="D231" t="str">
            <v>Nova Ipixuna</v>
          </cell>
          <cell r="E231">
            <v>16678</v>
          </cell>
        </row>
        <row r="232">
          <cell r="D232" t="str">
            <v>Nova Timboteua</v>
          </cell>
          <cell r="E232">
            <v>15363</v>
          </cell>
        </row>
        <row r="233">
          <cell r="D233" t="str">
            <v>Novo Progresso</v>
          </cell>
          <cell r="E233">
            <v>25762</v>
          </cell>
        </row>
        <row r="234">
          <cell r="D234" t="str">
            <v>Novo Repartimento</v>
          </cell>
          <cell r="E234">
            <v>75919</v>
          </cell>
        </row>
        <row r="235">
          <cell r="D235" t="str">
            <v>Óbidos</v>
          </cell>
          <cell r="E235">
            <v>52137</v>
          </cell>
        </row>
        <row r="236">
          <cell r="D236" t="str">
            <v>Oeiras do Pará</v>
          </cell>
          <cell r="E236">
            <v>32512</v>
          </cell>
        </row>
        <row r="237">
          <cell r="D237" t="str">
            <v>Oriximiná</v>
          </cell>
          <cell r="E237">
            <v>73096</v>
          </cell>
        </row>
        <row r="238">
          <cell r="D238" t="str">
            <v>Ourém</v>
          </cell>
          <cell r="E238">
            <v>17842</v>
          </cell>
        </row>
        <row r="239">
          <cell r="D239" t="str">
            <v>Ourilândia do Norte</v>
          </cell>
          <cell r="E239">
            <v>32832</v>
          </cell>
        </row>
        <row r="240">
          <cell r="D240" t="str">
            <v>Pacajá</v>
          </cell>
          <cell r="E240">
            <v>47706</v>
          </cell>
        </row>
        <row r="241">
          <cell r="D241" t="str">
            <v>Palestina do Pará</v>
          </cell>
          <cell r="E241">
            <v>7589</v>
          </cell>
        </row>
        <row r="242">
          <cell r="D242" t="str">
            <v>Paragominas</v>
          </cell>
          <cell r="E242">
            <v>113145</v>
          </cell>
        </row>
        <row r="243">
          <cell r="D243" t="str">
            <v>Parauapebas</v>
          </cell>
          <cell r="E243">
            <v>208273</v>
          </cell>
        </row>
        <row r="244">
          <cell r="D244" t="str">
            <v>Pau D'Arco</v>
          </cell>
          <cell r="E244">
            <v>5483</v>
          </cell>
        </row>
        <row r="245">
          <cell r="D245" t="str">
            <v>Peixe-Boi</v>
          </cell>
          <cell r="E245">
            <v>8077</v>
          </cell>
        </row>
        <row r="246">
          <cell r="D246" t="str">
            <v>Piçarra</v>
          </cell>
          <cell r="E246">
            <v>12981</v>
          </cell>
        </row>
        <row r="247">
          <cell r="D247" t="str">
            <v>Placas</v>
          </cell>
          <cell r="E247">
            <v>30982</v>
          </cell>
        </row>
        <row r="248">
          <cell r="D248" t="str">
            <v>Ponta de Pedras</v>
          </cell>
          <cell r="E248">
            <v>31082</v>
          </cell>
        </row>
        <row r="249">
          <cell r="D249" t="str">
            <v>Portel</v>
          </cell>
          <cell r="E249">
            <v>62043</v>
          </cell>
        </row>
        <row r="250">
          <cell r="D250" t="str">
            <v>Porto de Moz</v>
          </cell>
          <cell r="E250">
            <v>41135</v>
          </cell>
        </row>
        <row r="251">
          <cell r="D251" t="str">
            <v>Prainha</v>
          </cell>
          <cell r="E251">
            <v>29866</v>
          </cell>
        </row>
        <row r="252">
          <cell r="D252" t="str">
            <v>Primavera</v>
          </cell>
          <cell r="E252">
            <v>10825</v>
          </cell>
        </row>
        <row r="253">
          <cell r="D253" t="str">
            <v>Quatipuru</v>
          </cell>
          <cell r="E253">
            <v>13608</v>
          </cell>
        </row>
        <row r="254">
          <cell r="D254" t="str">
            <v>Redenção</v>
          </cell>
          <cell r="E254">
            <v>84787</v>
          </cell>
        </row>
        <row r="255">
          <cell r="D255" t="str">
            <v>Rio Maria</v>
          </cell>
          <cell r="E255">
            <v>18193</v>
          </cell>
        </row>
        <row r="256">
          <cell r="D256" t="str">
            <v>Rondon do Pará</v>
          </cell>
          <cell r="E256">
            <v>52357</v>
          </cell>
        </row>
        <row r="257">
          <cell r="D257" t="str">
            <v>Rurópolis</v>
          </cell>
          <cell r="E257">
            <v>50510</v>
          </cell>
        </row>
        <row r="258">
          <cell r="D258" t="str">
            <v>Salinópolis</v>
          </cell>
          <cell r="E258">
            <v>40675</v>
          </cell>
        </row>
        <row r="259">
          <cell r="D259" t="str">
            <v>Salvaterra</v>
          </cell>
          <cell r="E259">
            <v>23752</v>
          </cell>
        </row>
        <row r="260">
          <cell r="D260" t="str">
            <v>Santa Bárbara do Pará</v>
          </cell>
          <cell r="E260">
            <v>21079</v>
          </cell>
        </row>
        <row r="261">
          <cell r="D261" t="str">
            <v>Santa Cruz do Arari</v>
          </cell>
          <cell r="E261">
            <v>10128</v>
          </cell>
        </row>
        <row r="262">
          <cell r="D262" t="str">
            <v>Santa Izabel do Pará</v>
          </cell>
          <cell r="E262">
            <v>70801</v>
          </cell>
        </row>
        <row r="263">
          <cell r="D263" t="str">
            <v>Santa Luzia do Pará</v>
          </cell>
          <cell r="E263">
            <v>19848</v>
          </cell>
        </row>
        <row r="264">
          <cell r="D264" t="str">
            <v>Santa Maria das Barreiras</v>
          </cell>
          <cell r="E264">
            <v>21449</v>
          </cell>
        </row>
        <row r="265">
          <cell r="D265" t="str">
            <v>Santa Maria do Pará</v>
          </cell>
          <cell r="E265">
            <v>24861</v>
          </cell>
        </row>
        <row r="266">
          <cell r="D266" t="str">
            <v>Santana do Araguaia</v>
          </cell>
          <cell r="E266">
            <v>72817</v>
          </cell>
        </row>
        <row r="267">
          <cell r="D267" t="str">
            <v>Santarém</v>
          </cell>
          <cell r="E267">
            <v>304589</v>
          </cell>
        </row>
        <row r="268">
          <cell r="D268" t="str">
            <v>Santarém Novo</v>
          </cell>
          <cell r="E268">
            <v>6709</v>
          </cell>
        </row>
        <row r="269">
          <cell r="D269" t="str">
            <v>Santo Antônio do Tauá</v>
          </cell>
          <cell r="E269">
            <v>31482</v>
          </cell>
        </row>
        <row r="270">
          <cell r="D270" t="str">
            <v>São Caetano de Odivelas</v>
          </cell>
          <cell r="E270">
            <v>18050</v>
          </cell>
        </row>
        <row r="271">
          <cell r="D271" t="str">
            <v>São Domingos do Araguaia</v>
          </cell>
          <cell r="E271">
            <v>25557</v>
          </cell>
        </row>
        <row r="272">
          <cell r="D272" t="str">
            <v>São Domingos do Capim</v>
          </cell>
          <cell r="E272">
            <v>31989</v>
          </cell>
        </row>
        <row r="273">
          <cell r="D273" t="str">
            <v>São Félix do Xingu</v>
          </cell>
          <cell r="E273">
            <v>128481</v>
          </cell>
        </row>
        <row r="274">
          <cell r="D274" t="str">
            <v>São Francisco do Pará</v>
          </cell>
          <cell r="E274">
            <v>15882</v>
          </cell>
        </row>
        <row r="275">
          <cell r="D275" t="str">
            <v>São Geraldo do Araguaia</v>
          </cell>
          <cell r="E275">
            <v>24847</v>
          </cell>
        </row>
        <row r="276">
          <cell r="D276" t="str">
            <v>São João da Ponta</v>
          </cell>
          <cell r="E276">
            <v>6139</v>
          </cell>
        </row>
        <row r="277">
          <cell r="D277" t="str">
            <v>São João de Pirabas</v>
          </cell>
          <cell r="E277">
            <v>23045</v>
          </cell>
        </row>
        <row r="278">
          <cell r="D278" t="str">
            <v>São João do Araguaia</v>
          </cell>
          <cell r="E278">
            <v>13996</v>
          </cell>
        </row>
        <row r="279">
          <cell r="D279" t="str">
            <v>São Miguel do Guamá</v>
          </cell>
          <cell r="E279">
            <v>58986</v>
          </cell>
        </row>
        <row r="280">
          <cell r="D280" t="str">
            <v>São Sebastião da Boa Vista</v>
          </cell>
          <cell r="E280">
            <v>26640</v>
          </cell>
        </row>
        <row r="281">
          <cell r="D281" t="str">
            <v>Sapucaia</v>
          </cell>
          <cell r="E281">
            <v>5930</v>
          </cell>
        </row>
        <row r="282">
          <cell r="D282" t="str">
            <v>Senador José Porfírio</v>
          </cell>
          <cell r="E282">
            <v>11658</v>
          </cell>
        </row>
        <row r="283">
          <cell r="D283" t="str">
            <v>Soure</v>
          </cell>
          <cell r="E283">
            <v>25374</v>
          </cell>
        </row>
        <row r="284">
          <cell r="D284" t="str">
            <v>Tailândia</v>
          </cell>
          <cell r="E284">
            <v>106339</v>
          </cell>
        </row>
        <row r="285">
          <cell r="D285" t="str">
            <v>Terra Alta</v>
          </cell>
          <cell r="E285">
            <v>11720</v>
          </cell>
        </row>
        <row r="286">
          <cell r="D286" t="str">
            <v>Terra Santa</v>
          </cell>
          <cell r="E286">
            <v>18769</v>
          </cell>
        </row>
        <row r="287">
          <cell r="D287" t="str">
            <v>Tomé-Açu</v>
          </cell>
          <cell r="E287">
            <v>63447</v>
          </cell>
        </row>
        <row r="288">
          <cell r="D288" t="str">
            <v>Tracuateua</v>
          </cell>
          <cell r="E288">
            <v>30959</v>
          </cell>
        </row>
        <row r="289">
          <cell r="D289" t="str">
            <v>Trairão</v>
          </cell>
          <cell r="E289">
            <v>18989</v>
          </cell>
        </row>
        <row r="290">
          <cell r="D290" t="str">
            <v>Tucumã</v>
          </cell>
          <cell r="E290">
            <v>39602</v>
          </cell>
        </row>
        <row r="291">
          <cell r="D291" t="str">
            <v>Tucuruí</v>
          </cell>
          <cell r="E291">
            <v>113659</v>
          </cell>
        </row>
        <row r="292">
          <cell r="D292" t="str">
            <v>Ulianópolis</v>
          </cell>
          <cell r="E292">
            <v>59210</v>
          </cell>
        </row>
        <row r="293">
          <cell r="D293" t="str">
            <v>Uruará</v>
          </cell>
          <cell r="E293">
            <v>45476</v>
          </cell>
        </row>
        <row r="294">
          <cell r="D294" t="str">
            <v>Vigia</v>
          </cell>
          <cell r="E294">
            <v>53686</v>
          </cell>
        </row>
        <row r="295">
          <cell r="D295" t="str">
            <v>Viseu</v>
          </cell>
          <cell r="E295">
            <v>61403</v>
          </cell>
        </row>
        <row r="296">
          <cell r="D296" t="str">
            <v>Vitória do Xingu</v>
          </cell>
          <cell r="E296">
            <v>15134</v>
          </cell>
        </row>
        <row r="297">
          <cell r="D297" t="str">
            <v>Xinguara</v>
          </cell>
          <cell r="E297">
            <v>44751</v>
          </cell>
        </row>
        <row r="298">
          <cell r="D298" t="str">
            <v>Serra do Navio</v>
          </cell>
          <cell r="E298">
            <v>5397</v>
          </cell>
        </row>
        <row r="299">
          <cell r="D299" t="str">
            <v>Amapá</v>
          </cell>
          <cell r="E299">
            <v>9109</v>
          </cell>
        </row>
        <row r="300">
          <cell r="D300" t="str">
            <v>Pedra Branca do Amapari</v>
          </cell>
          <cell r="E300">
            <v>16502</v>
          </cell>
        </row>
        <row r="301">
          <cell r="D301" t="str">
            <v>Calçoene</v>
          </cell>
          <cell r="E301">
            <v>11117</v>
          </cell>
        </row>
        <row r="302">
          <cell r="D302" t="str">
            <v>Cutias</v>
          </cell>
          <cell r="E302">
            <v>5983</v>
          </cell>
        </row>
        <row r="303">
          <cell r="D303" t="str">
            <v>Ferreira Gomes</v>
          </cell>
          <cell r="E303">
            <v>7780</v>
          </cell>
        </row>
        <row r="304">
          <cell r="D304" t="str">
            <v>Itaubal</v>
          </cell>
          <cell r="E304">
            <v>5503</v>
          </cell>
        </row>
        <row r="305">
          <cell r="D305" t="str">
            <v>Laranjal do Jari</v>
          </cell>
          <cell r="E305">
            <v>50410</v>
          </cell>
        </row>
        <row r="306">
          <cell r="D306" t="str">
            <v>Macapá</v>
          </cell>
          <cell r="E306">
            <v>503327</v>
          </cell>
        </row>
        <row r="307">
          <cell r="D307" t="str">
            <v>Mazagão</v>
          </cell>
          <cell r="E307">
            <v>21632</v>
          </cell>
        </row>
        <row r="308">
          <cell r="D308" t="str">
            <v>Oiapoque</v>
          </cell>
          <cell r="E308">
            <v>27270</v>
          </cell>
        </row>
        <row r="309">
          <cell r="D309" t="str">
            <v>Porto Grande</v>
          </cell>
          <cell r="E309">
            <v>21971</v>
          </cell>
        </row>
        <row r="310">
          <cell r="D310" t="str">
            <v>Pracuúba</v>
          </cell>
          <cell r="E310">
            <v>5120</v>
          </cell>
        </row>
        <row r="311">
          <cell r="D311" t="str">
            <v>Santana</v>
          </cell>
          <cell r="E311">
            <v>121364</v>
          </cell>
        </row>
        <row r="312">
          <cell r="D312" t="str">
            <v>Tartarugalzinho</v>
          </cell>
          <cell r="E312">
            <v>17315</v>
          </cell>
        </row>
        <row r="313">
          <cell r="D313" t="str">
            <v>Vitória do Jari</v>
          </cell>
          <cell r="E313">
            <v>15931</v>
          </cell>
        </row>
        <row r="314">
          <cell r="D314" t="str">
            <v>Abreulândia</v>
          </cell>
          <cell r="E314">
            <v>2579</v>
          </cell>
        </row>
        <row r="315">
          <cell r="D315" t="str">
            <v>Aguiarnópolis</v>
          </cell>
          <cell r="E315">
            <v>6733</v>
          </cell>
        </row>
        <row r="316">
          <cell r="D316" t="str">
            <v>Aliança do Tocantins</v>
          </cell>
          <cell r="E316">
            <v>5390</v>
          </cell>
        </row>
        <row r="317">
          <cell r="D317" t="str">
            <v>Almas</v>
          </cell>
          <cell r="E317">
            <v>7055</v>
          </cell>
        </row>
        <row r="318">
          <cell r="D318" t="str">
            <v>Alvorada</v>
          </cell>
          <cell r="E318">
            <v>8412</v>
          </cell>
        </row>
        <row r="319">
          <cell r="D319" t="str">
            <v>Ananás</v>
          </cell>
          <cell r="E319">
            <v>9549</v>
          </cell>
        </row>
        <row r="320">
          <cell r="D320" t="str">
            <v>Angico</v>
          </cell>
          <cell r="E320">
            <v>3433</v>
          </cell>
        </row>
        <row r="321">
          <cell r="D321" t="str">
            <v>Aparecida do Rio Negro</v>
          </cell>
          <cell r="E321">
            <v>4795</v>
          </cell>
        </row>
        <row r="322">
          <cell r="D322" t="str">
            <v>Aragominas</v>
          </cell>
          <cell r="E322">
            <v>5758</v>
          </cell>
        </row>
        <row r="323">
          <cell r="D323" t="str">
            <v>Araguacema</v>
          </cell>
          <cell r="E323">
            <v>7086</v>
          </cell>
        </row>
        <row r="324">
          <cell r="D324" t="str">
            <v>Araguaçu</v>
          </cell>
          <cell r="E324">
            <v>8517</v>
          </cell>
        </row>
        <row r="325">
          <cell r="D325" t="str">
            <v>Araguaína</v>
          </cell>
          <cell r="E325">
            <v>180470</v>
          </cell>
        </row>
        <row r="326">
          <cell r="D326" t="str">
            <v>Araguanã</v>
          </cell>
          <cell r="E326">
            <v>5729</v>
          </cell>
        </row>
        <row r="327">
          <cell r="D327" t="str">
            <v>Araguatins</v>
          </cell>
          <cell r="E327">
            <v>35761</v>
          </cell>
        </row>
        <row r="328">
          <cell r="D328" t="str">
            <v>Arapoema</v>
          </cell>
          <cell r="E328">
            <v>6643</v>
          </cell>
        </row>
        <row r="329">
          <cell r="D329" t="str">
            <v>Arraias</v>
          </cell>
          <cell r="E329">
            <v>10567</v>
          </cell>
        </row>
        <row r="330">
          <cell r="D330" t="str">
            <v>Augustinópolis</v>
          </cell>
          <cell r="E330">
            <v>18412</v>
          </cell>
        </row>
        <row r="331">
          <cell r="D331" t="str">
            <v>Aurora do Tocantins</v>
          </cell>
          <cell r="E331">
            <v>3757</v>
          </cell>
        </row>
        <row r="332">
          <cell r="D332" t="str">
            <v>Axixá do Tocantins</v>
          </cell>
          <cell r="E332">
            <v>9756</v>
          </cell>
        </row>
        <row r="333">
          <cell r="D333" t="str">
            <v>Babaçulândia</v>
          </cell>
          <cell r="E333">
            <v>10664</v>
          </cell>
        </row>
        <row r="334">
          <cell r="D334" t="str">
            <v>Bandeirantes do Tocantins</v>
          </cell>
          <cell r="E334">
            <v>3553</v>
          </cell>
        </row>
        <row r="335">
          <cell r="D335" t="str">
            <v>Barra do Ouro</v>
          </cell>
          <cell r="E335">
            <v>4591</v>
          </cell>
        </row>
        <row r="336">
          <cell r="D336" t="str">
            <v>Barrolândia</v>
          </cell>
          <cell r="E336">
            <v>5632</v>
          </cell>
        </row>
        <row r="337">
          <cell r="D337" t="str">
            <v>Bernardo Sayão</v>
          </cell>
          <cell r="E337">
            <v>4459</v>
          </cell>
        </row>
        <row r="338">
          <cell r="D338" t="str">
            <v>Bom Jesus do Tocantins</v>
          </cell>
          <cell r="E338">
            <v>4894</v>
          </cell>
        </row>
        <row r="339">
          <cell r="D339" t="str">
            <v>Brasilândia do Tocantins</v>
          </cell>
          <cell r="E339">
            <v>2201</v>
          </cell>
        </row>
        <row r="340">
          <cell r="D340" t="str">
            <v>Brejinho de Nazaré</v>
          </cell>
          <cell r="E340">
            <v>5497</v>
          </cell>
        </row>
        <row r="341">
          <cell r="D341" t="str">
            <v>Buriti do Tocantins</v>
          </cell>
          <cell r="E341">
            <v>11348</v>
          </cell>
        </row>
        <row r="342">
          <cell r="D342" t="str">
            <v>Cachoeirinha</v>
          </cell>
          <cell r="E342">
            <v>2275</v>
          </cell>
        </row>
        <row r="343">
          <cell r="D343" t="str">
            <v>Campos Lindos</v>
          </cell>
          <cell r="E343">
            <v>10116</v>
          </cell>
        </row>
        <row r="344">
          <cell r="D344" t="str">
            <v>Cariri do Tocantins</v>
          </cell>
          <cell r="E344">
            <v>4382</v>
          </cell>
        </row>
        <row r="345">
          <cell r="D345" t="str">
            <v>Carmolândia</v>
          </cell>
          <cell r="E345">
            <v>2580</v>
          </cell>
        </row>
        <row r="346">
          <cell r="D346" t="str">
            <v>Carrasco Bonito</v>
          </cell>
          <cell r="E346">
            <v>4095</v>
          </cell>
        </row>
        <row r="347">
          <cell r="D347" t="str">
            <v>Caseara</v>
          </cell>
          <cell r="E347">
            <v>5369</v>
          </cell>
        </row>
        <row r="348">
          <cell r="D348" t="str">
            <v>Centenário</v>
          </cell>
          <cell r="E348">
            <v>2905</v>
          </cell>
        </row>
        <row r="349">
          <cell r="D349" t="str">
            <v>Chapada de Areia</v>
          </cell>
          <cell r="E349">
            <v>1406</v>
          </cell>
        </row>
        <row r="350">
          <cell r="D350" t="str">
            <v>Chapada da Natividade</v>
          </cell>
          <cell r="E350">
            <v>3333</v>
          </cell>
        </row>
        <row r="351">
          <cell r="D351" t="str">
            <v>Colinas do Tocantins</v>
          </cell>
          <cell r="E351">
            <v>35424</v>
          </cell>
        </row>
        <row r="352">
          <cell r="D352" t="str">
            <v>Combinado</v>
          </cell>
          <cell r="E352">
            <v>4852</v>
          </cell>
        </row>
        <row r="353">
          <cell r="D353" t="str">
            <v>Conceição do Tocantins</v>
          </cell>
          <cell r="E353">
            <v>4105</v>
          </cell>
        </row>
        <row r="354">
          <cell r="D354" t="str">
            <v>Couto Magalhães</v>
          </cell>
          <cell r="E354">
            <v>5588</v>
          </cell>
        </row>
        <row r="355">
          <cell r="D355" t="str">
            <v>Cristalândia</v>
          </cell>
          <cell r="E355">
            <v>7289</v>
          </cell>
        </row>
        <row r="356">
          <cell r="D356" t="str">
            <v>Crixás do Tocantins</v>
          </cell>
          <cell r="E356">
            <v>1722</v>
          </cell>
        </row>
        <row r="357">
          <cell r="D357" t="str">
            <v>Darcinópolis</v>
          </cell>
          <cell r="E357">
            <v>6097</v>
          </cell>
        </row>
        <row r="358">
          <cell r="D358" t="str">
            <v>Dianópolis</v>
          </cell>
          <cell r="E358">
            <v>22139</v>
          </cell>
        </row>
        <row r="359">
          <cell r="D359" t="str">
            <v>Divinópolis do Tocantins</v>
          </cell>
          <cell r="E359">
            <v>6900</v>
          </cell>
        </row>
        <row r="360">
          <cell r="D360" t="str">
            <v>Dois Irmãos do Tocantins</v>
          </cell>
          <cell r="E360">
            <v>7198</v>
          </cell>
        </row>
        <row r="361">
          <cell r="D361" t="str">
            <v>Dueré</v>
          </cell>
          <cell r="E361">
            <v>4686</v>
          </cell>
        </row>
        <row r="362">
          <cell r="D362" t="str">
            <v>Esperantina</v>
          </cell>
          <cell r="E362">
            <v>10996</v>
          </cell>
        </row>
        <row r="363">
          <cell r="D363" t="str">
            <v>Fátima</v>
          </cell>
          <cell r="E363">
            <v>3835</v>
          </cell>
        </row>
        <row r="364">
          <cell r="D364" t="str">
            <v>Figueirópolis</v>
          </cell>
          <cell r="E364">
            <v>5263</v>
          </cell>
        </row>
        <row r="365">
          <cell r="D365" t="str">
            <v>Filadélfia</v>
          </cell>
          <cell r="E365">
            <v>8856</v>
          </cell>
        </row>
        <row r="366">
          <cell r="D366" t="str">
            <v>Formoso do Araguaia</v>
          </cell>
          <cell r="E366">
            <v>18440</v>
          </cell>
        </row>
        <row r="367">
          <cell r="D367" t="str">
            <v>Fortaleza do Tabocão</v>
          </cell>
          <cell r="E367">
            <v>2589</v>
          </cell>
        </row>
        <row r="368">
          <cell r="D368" t="str">
            <v>Goianorte</v>
          </cell>
          <cell r="E368">
            <v>5123</v>
          </cell>
        </row>
        <row r="369">
          <cell r="D369" t="str">
            <v>Goiatins</v>
          </cell>
          <cell r="E369">
            <v>13019</v>
          </cell>
        </row>
        <row r="370">
          <cell r="D370" t="str">
            <v>Guaraí</v>
          </cell>
          <cell r="E370">
            <v>25923</v>
          </cell>
        </row>
        <row r="371">
          <cell r="D371" t="str">
            <v>Gurupi</v>
          </cell>
          <cell r="E371">
            <v>86647</v>
          </cell>
        </row>
        <row r="372">
          <cell r="D372" t="str">
            <v>Ipueiras</v>
          </cell>
          <cell r="E372">
            <v>2015</v>
          </cell>
        </row>
        <row r="373">
          <cell r="D373" t="str">
            <v>Itacajá</v>
          </cell>
          <cell r="E373">
            <v>7433</v>
          </cell>
        </row>
        <row r="374">
          <cell r="D374" t="str">
            <v>Itaguatins</v>
          </cell>
          <cell r="E374">
            <v>5864</v>
          </cell>
        </row>
        <row r="375">
          <cell r="D375" t="str">
            <v>Itapiratins</v>
          </cell>
          <cell r="E375">
            <v>3777</v>
          </cell>
        </row>
        <row r="376">
          <cell r="D376" t="str">
            <v>Itaporã do Tocantins</v>
          </cell>
          <cell r="E376">
            <v>2427</v>
          </cell>
        </row>
        <row r="377">
          <cell r="D377" t="str">
            <v>Jaú do Tocantins</v>
          </cell>
          <cell r="E377">
            <v>3849</v>
          </cell>
        </row>
        <row r="378">
          <cell r="D378" t="str">
            <v>Juarina</v>
          </cell>
          <cell r="E378">
            <v>2193</v>
          </cell>
        </row>
        <row r="379">
          <cell r="D379" t="str">
            <v>Lagoa da Confusão</v>
          </cell>
          <cell r="E379">
            <v>13357</v>
          </cell>
        </row>
        <row r="380">
          <cell r="D380" t="str">
            <v>Lagoa do Tocantins</v>
          </cell>
          <cell r="E380">
            <v>4316</v>
          </cell>
        </row>
        <row r="381">
          <cell r="D381" t="str">
            <v>Lajeado</v>
          </cell>
          <cell r="E381">
            <v>3134</v>
          </cell>
        </row>
        <row r="382">
          <cell r="D382" t="str">
            <v>Lavandeira</v>
          </cell>
          <cell r="E382">
            <v>1923</v>
          </cell>
        </row>
        <row r="383">
          <cell r="D383" t="str">
            <v>Lizarda</v>
          </cell>
          <cell r="E383">
            <v>3740</v>
          </cell>
        </row>
        <row r="384">
          <cell r="D384" t="str">
            <v>Luzinópolis</v>
          </cell>
          <cell r="E384">
            <v>3108</v>
          </cell>
        </row>
        <row r="385">
          <cell r="D385" t="str">
            <v>Marianópolis do Tocantins</v>
          </cell>
          <cell r="E385">
            <v>5175</v>
          </cell>
        </row>
        <row r="386">
          <cell r="D386" t="str">
            <v>Mateiros</v>
          </cell>
          <cell r="E386">
            <v>2684</v>
          </cell>
        </row>
        <row r="387">
          <cell r="D387" t="str">
            <v>Maurilândia do Tocantins</v>
          </cell>
          <cell r="E387">
            <v>3426</v>
          </cell>
        </row>
        <row r="388">
          <cell r="D388" t="str">
            <v>Miracema do Tocantins</v>
          </cell>
          <cell r="E388">
            <v>18248</v>
          </cell>
        </row>
        <row r="389">
          <cell r="D389" t="str">
            <v>Miranorte</v>
          </cell>
          <cell r="E389">
            <v>13434</v>
          </cell>
        </row>
        <row r="390">
          <cell r="D390" t="str">
            <v>Monte do Carmo</v>
          </cell>
          <cell r="E390">
            <v>7947</v>
          </cell>
        </row>
        <row r="391">
          <cell r="D391" t="str">
            <v>Monte Santo do Tocantins</v>
          </cell>
          <cell r="E391">
            <v>2279</v>
          </cell>
        </row>
        <row r="392">
          <cell r="D392" t="str">
            <v>Palmeiras do Tocantins</v>
          </cell>
          <cell r="E392">
            <v>6658</v>
          </cell>
        </row>
        <row r="393">
          <cell r="D393" t="str">
            <v>Muricilândia</v>
          </cell>
          <cell r="E393">
            <v>3551</v>
          </cell>
        </row>
        <row r="394">
          <cell r="D394" t="str">
            <v>Natividade</v>
          </cell>
          <cell r="E394">
            <v>9244</v>
          </cell>
        </row>
        <row r="395">
          <cell r="D395" t="str">
            <v>Nazaré</v>
          </cell>
          <cell r="E395">
            <v>3898</v>
          </cell>
        </row>
        <row r="396">
          <cell r="D396" t="str">
            <v>Nova Olinda</v>
          </cell>
          <cell r="E396">
            <v>11819</v>
          </cell>
        </row>
        <row r="397">
          <cell r="D397" t="str">
            <v>Nova Rosalândia</v>
          </cell>
          <cell r="E397">
            <v>4260</v>
          </cell>
        </row>
        <row r="398">
          <cell r="D398" t="str">
            <v>Novo Acordo</v>
          </cell>
          <cell r="E398">
            <v>4342</v>
          </cell>
        </row>
        <row r="399">
          <cell r="D399" t="str">
            <v>Novo Alegre</v>
          </cell>
          <cell r="E399">
            <v>2332</v>
          </cell>
        </row>
        <row r="400">
          <cell r="D400" t="str">
            <v>Novo Jardim</v>
          </cell>
          <cell r="E400">
            <v>2722</v>
          </cell>
        </row>
        <row r="401">
          <cell r="D401" t="str">
            <v>Oliveira de Fátima</v>
          </cell>
          <cell r="E401">
            <v>1112</v>
          </cell>
        </row>
        <row r="402">
          <cell r="D402" t="str">
            <v>Palmeirante</v>
          </cell>
          <cell r="E402">
            <v>6026</v>
          </cell>
        </row>
        <row r="403">
          <cell r="D403" t="str">
            <v>Palmeirópolis</v>
          </cell>
          <cell r="E403">
            <v>7659</v>
          </cell>
        </row>
        <row r="404">
          <cell r="D404" t="str">
            <v>Paraíso do Tocantins</v>
          </cell>
          <cell r="E404">
            <v>51252</v>
          </cell>
        </row>
        <row r="405">
          <cell r="D405" t="str">
            <v>Paranã</v>
          </cell>
          <cell r="E405">
            <v>10449</v>
          </cell>
        </row>
        <row r="406">
          <cell r="D406" t="str">
            <v>Pau D'Arco</v>
          </cell>
          <cell r="E406">
            <v>4849</v>
          </cell>
        </row>
        <row r="407">
          <cell r="D407" t="str">
            <v>Pedro Afonso</v>
          </cell>
          <cell r="E407">
            <v>13578</v>
          </cell>
        </row>
        <row r="408">
          <cell r="D408" t="str">
            <v>Peixe</v>
          </cell>
          <cell r="E408">
            <v>11749</v>
          </cell>
        </row>
        <row r="409">
          <cell r="D409" t="str">
            <v>Pequizeiro</v>
          </cell>
          <cell r="E409">
            <v>5477</v>
          </cell>
        </row>
        <row r="410">
          <cell r="D410" t="str">
            <v>Colméia</v>
          </cell>
          <cell r="E410">
            <v>8205</v>
          </cell>
        </row>
        <row r="411">
          <cell r="D411" t="str">
            <v>Pindorama do Tocantins</v>
          </cell>
          <cell r="E411">
            <v>4447</v>
          </cell>
        </row>
        <row r="412">
          <cell r="D412" t="str">
            <v>Piraquê</v>
          </cell>
          <cell r="E412">
            <v>3028</v>
          </cell>
        </row>
        <row r="413">
          <cell r="D413" t="str">
            <v>Pium</v>
          </cell>
          <cell r="E413">
            <v>7654</v>
          </cell>
        </row>
        <row r="414">
          <cell r="D414" t="str">
            <v>Ponte Alta do Bom Jesus</v>
          </cell>
          <cell r="E414">
            <v>4596</v>
          </cell>
        </row>
        <row r="415">
          <cell r="D415" t="str">
            <v>Ponte Alta do Tocantins</v>
          </cell>
          <cell r="E415">
            <v>8039</v>
          </cell>
        </row>
        <row r="416">
          <cell r="D416" t="str">
            <v>Porto Alegre do Tocantins</v>
          </cell>
          <cell r="E416">
            <v>3139</v>
          </cell>
        </row>
        <row r="417">
          <cell r="D417" t="str">
            <v>Porto Nacional</v>
          </cell>
          <cell r="E417">
            <v>53010</v>
          </cell>
        </row>
        <row r="418">
          <cell r="D418" t="str">
            <v>Praia Norte</v>
          </cell>
          <cell r="E418">
            <v>8432</v>
          </cell>
        </row>
        <row r="419">
          <cell r="D419" t="str">
            <v>Presidente Kennedy</v>
          </cell>
          <cell r="E419">
            <v>3684</v>
          </cell>
        </row>
        <row r="420">
          <cell r="D420" t="str">
            <v>Pugmil</v>
          </cell>
          <cell r="E420">
            <v>2688</v>
          </cell>
        </row>
        <row r="421">
          <cell r="D421" t="str">
            <v>Recursolândia</v>
          </cell>
          <cell r="E421">
            <v>4293</v>
          </cell>
        </row>
        <row r="422">
          <cell r="D422" t="str">
            <v>Riachinho</v>
          </cell>
          <cell r="E422">
            <v>4645</v>
          </cell>
        </row>
        <row r="423">
          <cell r="D423" t="str">
            <v>Rio da Conceição</v>
          </cell>
          <cell r="E423">
            <v>2130</v>
          </cell>
        </row>
        <row r="424">
          <cell r="D424" t="str">
            <v>Rio dos Bois</v>
          </cell>
          <cell r="E424">
            <v>2834</v>
          </cell>
        </row>
        <row r="425">
          <cell r="D425" t="str">
            <v>Rio Sono</v>
          </cell>
          <cell r="E425">
            <v>6478</v>
          </cell>
        </row>
        <row r="426">
          <cell r="D426" t="str">
            <v>Sampaio</v>
          </cell>
          <cell r="E426">
            <v>4711</v>
          </cell>
        </row>
        <row r="427">
          <cell r="D427" t="str">
            <v>Sandolândia</v>
          </cell>
          <cell r="E427">
            <v>3375</v>
          </cell>
        </row>
        <row r="428">
          <cell r="D428" t="str">
            <v>Santa Fé do Araguaia</v>
          </cell>
          <cell r="E428">
            <v>7512</v>
          </cell>
        </row>
        <row r="429">
          <cell r="D429" t="str">
            <v>Santa Maria do Tocantins</v>
          </cell>
          <cell r="E429">
            <v>3434</v>
          </cell>
        </row>
        <row r="430">
          <cell r="D430" t="str">
            <v>Santa Rita do Tocantins</v>
          </cell>
          <cell r="E430">
            <v>2365</v>
          </cell>
        </row>
        <row r="431">
          <cell r="D431" t="str">
            <v>Santa Rosa do Tocantins</v>
          </cell>
          <cell r="E431">
            <v>4829</v>
          </cell>
        </row>
        <row r="432">
          <cell r="D432" t="str">
            <v>Santa Tereza do Tocantins</v>
          </cell>
          <cell r="E432">
            <v>2866</v>
          </cell>
        </row>
        <row r="433">
          <cell r="D433" t="str">
            <v>Santa Terezinha do Tocantins</v>
          </cell>
          <cell r="E433">
            <v>2529</v>
          </cell>
        </row>
        <row r="434">
          <cell r="D434" t="str">
            <v>São Bento do Tocantins</v>
          </cell>
          <cell r="E434">
            <v>5324</v>
          </cell>
        </row>
        <row r="435">
          <cell r="D435" t="str">
            <v>São Félix do Tocantins</v>
          </cell>
          <cell r="E435">
            <v>1585</v>
          </cell>
        </row>
        <row r="436">
          <cell r="D436" t="str">
            <v>São Miguel do Tocantins</v>
          </cell>
          <cell r="E436">
            <v>12139</v>
          </cell>
        </row>
        <row r="437">
          <cell r="D437" t="str">
            <v>São Salvador do Tocantins</v>
          </cell>
          <cell r="E437">
            <v>3082</v>
          </cell>
        </row>
        <row r="438">
          <cell r="D438" t="str">
            <v>São Sebastião do Tocantins</v>
          </cell>
          <cell r="E438">
            <v>4805</v>
          </cell>
        </row>
        <row r="439">
          <cell r="D439" t="str">
            <v>São Valério</v>
          </cell>
          <cell r="E439">
            <v>3960</v>
          </cell>
        </row>
        <row r="440">
          <cell r="D440" t="str">
            <v>Silvanópolis</v>
          </cell>
          <cell r="E440">
            <v>5403</v>
          </cell>
        </row>
        <row r="441">
          <cell r="D441" t="str">
            <v>Sítio Novo do Tocantins</v>
          </cell>
          <cell r="E441">
            <v>9029</v>
          </cell>
        </row>
        <row r="442">
          <cell r="D442" t="str">
            <v>Sucupira</v>
          </cell>
          <cell r="E442">
            <v>1966</v>
          </cell>
        </row>
        <row r="443">
          <cell r="D443" t="str">
            <v>Taguatinga</v>
          </cell>
          <cell r="E443">
            <v>16683</v>
          </cell>
        </row>
        <row r="444">
          <cell r="D444" t="str">
            <v>Taipas do Tocantins</v>
          </cell>
          <cell r="E444">
            <v>2148</v>
          </cell>
        </row>
        <row r="445">
          <cell r="D445" t="str">
            <v>Talismã</v>
          </cell>
          <cell r="E445">
            <v>2793</v>
          </cell>
        </row>
        <row r="446">
          <cell r="D446" t="str">
            <v>Palmas</v>
          </cell>
          <cell r="E446">
            <v>299127</v>
          </cell>
        </row>
        <row r="447">
          <cell r="D447" t="str">
            <v>Tocantínia</v>
          </cell>
          <cell r="E447">
            <v>7545</v>
          </cell>
        </row>
        <row r="448">
          <cell r="D448" t="str">
            <v>Tocantinópolis</v>
          </cell>
          <cell r="E448">
            <v>22870</v>
          </cell>
        </row>
        <row r="449">
          <cell r="D449" t="str">
            <v>Tupirama</v>
          </cell>
          <cell r="E449">
            <v>1891</v>
          </cell>
        </row>
        <row r="450">
          <cell r="D450" t="str">
            <v>Tupiratins</v>
          </cell>
          <cell r="E450">
            <v>2671</v>
          </cell>
        </row>
        <row r="451">
          <cell r="D451" t="str">
            <v>Wanderlândia</v>
          </cell>
          <cell r="E451">
            <v>11683</v>
          </cell>
        </row>
        <row r="452">
          <cell r="D452" t="str">
            <v>Xambioá</v>
          </cell>
          <cell r="E452">
            <v>11540</v>
          </cell>
        </row>
        <row r="453">
          <cell r="D453" t="str">
            <v>Açailândia</v>
          </cell>
          <cell r="E453">
            <v>112445</v>
          </cell>
        </row>
        <row r="454">
          <cell r="D454" t="str">
            <v>Afonso Cunha</v>
          </cell>
          <cell r="E454">
            <v>6524</v>
          </cell>
        </row>
        <row r="455">
          <cell r="D455" t="str">
            <v>Água Doce do Maranhão</v>
          </cell>
          <cell r="E455">
            <v>12571</v>
          </cell>
        </row>
        <row r="456">
          <cell r="D456" t="str">
            <v>Alcântara</v>
          </cell>
          <cell r="E456">
            <v>22097</v>
          </cell>
        </row>
        <row r="457">
          <cell r="D457" t="str">
            <v>Aldeias Altas</v>
          </cell>
          <cell r="E457">
            <v>26532</v>
          </cell>
        </row>
        <row r="458">
          <cell r="D458" t="str">
            <v>Altamira do Maranhão</v>
          </cell>
          <cell r="E458">
            <v>8128</v>
          </cell>
        </row>
        <row r="459">
          <cell r="D459" t="str">
            <v>Alto Alegre do Maranhão</v>
          </cell>
          <cell r="E459">
            <v>27053</v>
          </cell>
        </row>
        <row r="460">
          <cell r="D460" t="str">
            <v>Alto Alegre do Pindaré</v>
          </cell>
          <cell r="E460">
            <v>31919</v>
          </cell>
        </row>
        <row r="461">
          <cell r="D461" t="str">
            <v>Alto Parnaíba</v>
          </cell>
          <cell r="E461">
            <v>11190</v>
          </cell>
        </row>
        <row r="462">
          <cell r="D462" t="str">
            <v>Amapá do Maranhão</v>
          </cell>
          <cell r="E462">
            <v>6962</v>
          </cell>
        </row>
        <row r="463">
          <cell r="D463" t="str">
            <v>Amarante do Maranhão</v>
          </cell>
          <cell r="E463">
            <v>41435</v>
          </cell>
        </row>
        <row r="464">
          <cell r="D464" t="str">
            <v>Anajatuba</v>
          </cell>
          <cell r="E464">
            <v>26803</v>
          </cell>
        </row>
        <row r="465">
          <cell r="D465" t="str">
            <v>Anapurus</v>
          </cell>
          <cell r="E465">
            <v>15732</v>
          </cell>
        </row>
        <row r="466">
          <cell r="D466" t="str">
            <v>Apicum-Açu</v>
          </cell>
          <cell r="E466">
            <v>17239</v>
          </cell>
        </row>
        <row r="467">
          <cell r="D467" t="str">
            <v>Araguanã</v>
          </cell>
          <cell r="E467">
            <v>15426</v>
          </cell>
        </row>
        <row r="468">
          <cell r="D468" t="str">
            <v>Araioses</v>
          </cell>
          <cell r="E468">
            <v>46440</v>
          </cell>
        </row>
        <row r="469">
          <cell r="D469" t="str">
            <v>Arame</v>
          </cell>
          <cell r="E469">
            <v>32701</v>
          </cell>
        </row>
        <row r="470">
          <cell r="D470" t="str">
            <v>Arari</v>
          </cell>
          <cell r="E470">
            <v>29848</v>
          </cell>
        </row>
        <row r="471">
          <cell r="D471" t="str">
            <v>Axixá</v>
          </cell>
          <cell r="E471">
            <v>12130</v>
          </cell>
        </row>
        <row r="472">
          <cell r="D472" t="str">
            <v>Bacabal</v>
          </cell>
          <cell r="E472">
            <v>104949</v>
          </cell>
        </row>
        <row r="473">
          <cell r="D473" t="str">
            <v>Bacabeira</v>
          </cell>
          <cell r="E473">
            <v>17055</v>
          </cell>
        </row>
        <row r="474">
          <cell r="D474" t="str">
            <v>Bacuri</v>
          </cell>
          <cell r="E474">
            <v>18582</v>
          </cell>
        </row>
        <row r="475">
          <cell r="D475" t="str">
            <v>Bacurituba</v>
          </cell>
          <cell r="E475">
            <v>5644</v>
          </cell>
        </row>
        <row r="476">
          <cell r="D476" t="str">
            <v>Balsas</v>
          </cell>
          <cell r="E476">
            <v>94887</v>
          </cell>
        </row>
        <row r="477">
          <cell r="D477" t="str">
            <v>Barão de Grajaú</v>
          </cell>
          <cell r="E477">
            <v>18820</v>
          </cell>
        </row>
        <row r="478">
          <cell r="D478" t="str">
            <v>Barra do Corda</v>
          </cell>
          <cell r="E478">
            <v>88212</v>
          </cell>
        </row>
        <row r="479">
          <cell r="D479" t="str">
            <v>Barreirinhas</v>
          </cell>
          <cell r="E479">
            <v>62528</v>
          </cell>
        </row>
        <row r="480">
          <cell r="D480" t="str">
            <v>Belágua</v>
          </cell>
          <cell r="E480">
            <v>7469</v>
          </cell>
        </row>
        <row r="481">
          <cell r="D481" t="str">
            <v>Bela Vista do Maranhão</v>
          </cell>
          <cell r="E481">
            <v>11209</v>
          </cell>
        </row>
        <row r="482">
          <cell r="D482" t="str">
            <v>Benedito Leite</v>
          </cell>
          <cell r="E482">
            <v>5632</v>
          </cell>
        </row>
        <row r="483">
          <cell r="D483" t="str">
            <v>Bequimão</v>
          </cell>
          <cell r="E483">
            <v>21280</v>
          </cell>
        </row>
        <row r="484">
          <cell r="D484" t="str">
            <v>Bernardo do Mearim</v>
          </cell>
          <cell r="E484">
            <v>6043</v>
          </cell>
        </row>
        <row r="485">
          <cell r="D485" t="str">
            <v>Boa Vista do Gurupi</v>
          </cell>
          <cell r="E485">
            <v>9287</v>
          </cell>
        </row>
        <row r="486">
          <cell r="D486" t="str">
            <v>Bom Jardim</v>
          </cell>
          <cell r="E486">
            <v>41630</v>
          </cell>
        </row>
        <row r="487">
          <cell r="D487" t="str">
            <v>Bom Jesus das Selvas</v>
          </cell>
          <cell r="E487">
            <v>34028</v>
          </cell>
        </row>
        <row r="488">
          <cell r="D488" t="str">
            <v>Bom Lugar</v>
          </cell>
          <cell r="E488">
            <v>16294</v>
          </cell>
        </row>
        <row r="489">
          <cell r="D489" t="str">
            <v>Brejo</v>
          </cell>
          <cell r="E489">
            <v>36397</v>
          </cell>
        </row>
        <row r="490">
          <cell r="D490" t="str">
            <v>Brejo de Areia</v>
          </cell>
          <cell r="E490">
            <v>9188</v>
          </cell>
        </row>
        <row r="491">
          <cell r="D491" t="str">
            <v>Buriti</v>
          </cell>
          <cell r="E491">
            <v>28678</v>
          </cell>
        </row>
        <row r="492">
          <cell r="D492" t="str">
            <v>Buriti Bravo</v>
          </cell>
          <cell r="E492">
            <v>23884</v>
          </cell>
        </row>
        <row r="493">
          <cell r="D493" t="str">
            <v>Buriticupu</v>
          </cell>
          <cell r="E493">
            <v>72358</v>
          </cell>
        </row>
        <row r="494">
          <cell r="D494" t="str">
            <v>Buritirana</v>
          </cell>
          <cell r="E494">
            <v>15430</v>
          </cell>
        </row>
        <row r="495">
          <cell r="D495" t="str">
            <v>Cachoeira Grande</v>
          </cell>
          <cell r="E495">
            <v>9431</v>
          </cell>
        </row>
        <row r="496">
          <cell r="D496" t="str">
            <v>Cajapió</v>
          </cell>
          <cell r="E496">
            <v>11177</v>
          </cell>
        </row>
        <row r="497">
          <cell r="D497" t="str">
            <v>Cajari</v>
          </cell>
          <cell r="E497">
            <v>19379</v>
          </cell>
        </row>
        <row r="498">
          <cell r="D498" t="str">
            <v>Campestre do Maranhão</v>
          </cell>
          <cell r="E498">
            <v>14374</v>
          </cell>
        </row>
        <row r="499">
          <cell r="D499" t="str">
            <v>Cândido Mendes</v>
          </cell>
          <cell r="E499">
            <v>20178</v>
          </cell>
        </row>
        <row r="500">
          <cell r="D500" t="str">
            <v>Cantanhede</v>
          </cell>
          <cell r="E500">
            <v>21995</v>
          </cell>
        </row>
        <row r="501">
          <cell r="D501" t="str">
            <v>Capinzal do Norte</v>
          </cell>
          <cell r="E501">
            <v>10934</v>
          </cell>
        </row>
        <row r="502">
          <cell r="D502" t="str">
            <v>Carolina</v>
          </cell>
          <cell r="E502">
            <v>24322</v>
          </cell>
        </row>
        <row r="503">
          <cell r="D503" t="str">
            <v>Carutapera</v>
          </cell>
          <cell r="E503">
            <v>23807</v>
          </cell>
        </row>
        <row r="504">
          <cell r="D504" t="str">
            <v>Caxias</v>
          </cell>
          <cell r="E504">
            <v>164880</v>
          </cell>
        </row>
        <row r="505">
          <cell r="D505" t="str">
            <v>Cedral</v>
          </cell>
          <cell r="E505">
            <v>10675</v>
          </cell>
        </row>
        <row r="506">
          <cell r="D506" t="str">
            <v>Central do Maranhão</v>
          </cell>
          <cell r="E506">
            <v>8673</v>
          </cell>
        </row>
        <row r="507">
          <cell r="D507" t="str">
            <v>Centro do Guilherme</v>
          </cell>
          <cell r="E507">
            <v>13458</v>
          </cell>
        </row>
        <row r="508">
          <cell r="D508" t="str">
            <v>Centro Novo do Maranhão</v>
          </cell>
          <cell r="E508">
            <v>21622</v>
          </cell>
        </row>
        <row r="509">
          <cell r="D509" t="str">
            <v>Chapadinha</v>
          </cell>
          <cell r="E509">
            <v>79675</v>
          </cell>
        </row>
        <row r="510">
          <cell r="D510" t="str">
            <v>Cidelândia</v>
          </cell>
          <cell r="E510">
            <v>14697</v>
          </cell>
        </row>
        <row r="511">
          <cell r="D511" t="str">
            <v>Codó</v>
          </cell>
          <cell r="E511">
            <v>122859</v>
          </cell>
        </row>
        <row r="512">
          <cell r="D512" t="str">
            <v>Coelho Neto</v>
          </cell>
          <cell r="E512">
            <v>49435</v>
          </cell>
        </row>
        <row r="513">
          <cell r="D513" t="str">
            <v>Colinas</v>
          </cell>
          <cell r="E513">
            <v>41178</v>
          </cell>
        </row>
        <row r="514">
          <cell r="D514" t="str">
            <v>Conceição do Lago-Açu</v>
          </cell>
          <cell r="E514">
            <v>16237</v>
          </cell>
        </row>
        <row r="515">
          <cell r="D515" t="str">
            <v>Coroatá</v>
          </cell>
          <cell r="E515">
            <v>65296</v>
          </cell>
        </row>
        <row r="516">
          <cell r="D516" t="str">
            <v>Cururupu</v>
          </cell>
          <cell r="E516">
            <v>32695</v>
          </cell>
        </row>
        <row r="517">
          <cell r="D517" t="str">
            <v>Davinópolis</v>
          </cell>
          <cell r="E517">
            <v>12908</v>
          </cell>
        </row>
        <row r="518">
          <cell r="D518" t="str">
            <v>Dom Pedro</v>
          </cell>
          <cell r="E518">
            <v>23350</v>
          </cell>
        </row>
        <row r="519">
          <cell r="D519" t="str">
            <v>Duque Bacelar</v>
          </cell>
          <cell r="E519">
            <v>11349</v>
          </cell>
        </row>
        <row r="520">
          <cell r="D520" t="str">
            <v>Esperantinópolis</v>
          </cell>
          <cell r="E520">
            <v>17241</v>
          </cell>
        </row>
        <row r="521">
          <cell r="D521" t="str">
            <v>Estreito</v>
          </cell>
          <cell r="E521">
            <v>41946</v>
          </cell>
        </row>
        <row r="522">
          <cell r="D522" t="str">
            <v>Feira Nova do Maranhão</v>
          </cell>
          <cell r="E522">
            <v>8504</v>
          </cell>
        </row>
        <row r="523">
          <cell r="D523" t="str">
            <v>Fernando Falcão</v>
          </cell>
          <cell r="E523">
            <v>10360</v>
          </cell>
        </row>
        <row r="524">
          <cell r="D524" t="str">
            <v>Formosa da Serra Negra</v>
          </cell>
          <cell r="E524">
            <v>19089</v>
          </cell>
        </row>
        <row r="525">
          <cell r="D525" t="str">
            <v>Fortaleza dos Nogueiras</v>
          </cell>
          <cell r="E525">
            <v>12631</v>
          </cell>
        </row>
        <row r="526">
          <cell r="D526" t="str">
            <v>Fortuna</v>
          </cell>
          <cell r="E526">
            <v>15552</v>
          </cell>
        </row>
        <row r="527">
          <cell r="D527" t="str">
            <v>Godofredo Viana</v>
          </cell>
          <cell r="E527">
            <v>11819</v>
          </cell>
        </row>
        <row r="528">
          <cell r="D528" t="str">
            <v>Gonçalves Dias</v>
          </cell>
          <cell r="E528">
            <v>17934</v>
          </cell>
        </row>
        <row r="529">
          <cell r="D529" t="str">
            <v>Governador Archer</v>
          </cell>
          <cell r="E529">
            <v>10840</v>
          </cell>
        </row>
        <row r="530">
          <cell r="D530" t="str">
            <v>Governador Edison Lobão</v>
          </cell>
          <cell r="E530">
            <v>18296</v>
          </cell>
        </row>
        <row r="531">
          <cell r="D531" t="str">
            <v>Governador Eugênio Barros</v>
          </cell>
          <cell r="E531">
            <v>16828</v>
          </cell>
        </row>
        <row r="532">
          <cell r="D532" t="str">
            <v>Governador Luiz Rocha</v>
          </cell>
          <cell r="E532">
            <v>7807</v>
          </cell>
        </row>
        <row r="533">
          <cell r="D533" t="str">
            <v>Governador Newton Bello</v>
          </cell>
          <cell r="E533">
            <v>10180</v>
          </cell>
        </row>
        <row r="534">
          <cell r="D534" t="str">
            <v>Governador Nunes Freire</v>
          </cell>
          <cell r="E534">
            <v>25577</v>
          </cell>
        </row>
        <row r="535">
          <cell r="D535" t="str">
            <v>Graça Aranha</v>
          </cell>
          <cell r="E535">
            <v>6262</v>
          </cell>
        </row>
        <row r="536">
          <cell r="D536" t="str">
            <v>Grajaú</v>
          </cell>
          <cell r="E536">
            <v>69527</v>
          </cell>
        </row>
        <row r="537">
          <cell r="D537" t="str">
            <v>Guimarães</v>
          </cell>
          <cell r="E537">
            <v>12030</v>
          </cell>
        </row>
        <row r="538">
          <cell r="D538" t="str">
            <v>Humberto de Campos</v>
          </cell>
          <cell r="E538">
            <v>28717</v>
          </cell>
        </row>
        <row r="539">
          <cell r="D539" t="str">
            <v>Icatu</v>
          </cell>
          <cell r="E539">
            <v>27113</v>
          </cell>
        </row>
        <row r="540">
          <cell r="D540" t="str">
            <v>Igarapé do Meio</v>
          </cell>
          <cell r="E540">
            <v>14177</v>
          </cell>
        </row>
        <row r="541">
          <cell r="D541" t="str">
            <v>Igarapé Grande</v>
          </cell>
          <cell r="E541">
            <v>11320</v>
          </cell>
        </row>
        <row r="542">
          <cell r="D542" t="str">
            <v>Imperatriz</v>
          </cell>
          <cell r="E542">
            <v>258682</v>
          </cell>
        </row>
        <row r="543">
          <cell r="D543" t="str">
            <v>Itaipava do Grajaú</v>
          </cell>
          <cell r="E543">
            <v>16057</v>
          </cell>
        </row>
        <row r="544">
          <cell r="D544" t="str">
            <v>Itapecuru Mirim</v>
          </cell>
          <cell r="E544">
            <v>68203</v>
          </cell>
        </row>
        <row r="545">
          <cell r="D545" t="str">
            <v>Itinga do Maranhão</v>
          </cell>
          <cell r="E545">
            <v>26000</v>
          </cell>
        </row>
        <row r="546">
          <cell r="D546" t="str">
            <v>Jatobá</v>
          </cell>
          <cell r="E546">
            <v>10153</v>
          </cell>
        </row>
        <row r="547">
          <cell r="D547" t="str">
            <v>Jenipapo dos Vieiras</v>
          </cell>
          <cell r="E547">
            <v>16515</v>
          </cell>
        </row>
        <row r="548">
          <cell r="D548" t="str">
            <v>João Lisboa</v>
          </cell>
          <cell r="E548">
            <v>23632</v>
          </cell>
        </row>
        <row r="549">
          <cell r="D549" t="str">
            <v>Joselândia</v>
          </cell>
          <cell r="E549">
            <v>16168</v>
          </cell>
        </row>
        <row r="550">
          <cell r="D550" t="str">
            <v>Junco do Maranhão</v>
          </cell>
          <cell r="E550">
            <v>3432</v>
          </cell>
        </row>
        <row r="551">
          <cell r="D551" t="str">
            <v>Lago da Pedra</v>
          </cell>
          <cell r="E551">
            <v>50266</v>
          </cell>
        </row>
        <row r="552">
          <cell r="D552" t="str">
            <v>Lago do Junco</v>
          </cell>
          <cell r="E552">
            <v>10840</v>
          </cell>
        </row>
        <row r="553">
          <cell r="D553" t="str">
            <v>Lago Verde</v>
          </cell>
          <cell r="E553">
            <v>16257</v>
          </cell>
        </row>
        <row r="554">
          <cell r="D554" t="str">
            <v>Lagoa do Mato</v>
          </cell>
          <cell r="E554">
            <v>11250</v>
          </cell>
        </row>
        <row r="555">
          <cell r="D555" t="str">
            <v>Lago dos Rodrigues</v>
          </cell>
          <cell r="E555">
            <v>8873</v>
          </cell>
        </row>
        <row r="556">
          <cell r="D556" t="str">
            <v>Lagoa Grande do Maranhão</v>
          </cell>
          <cell r="E556">
            <v>11394</v>
          </cell>
        </row>
        <row r="557">
          <cell r="D557" t="str">
            <v>Lajeado Novo</v>
          </cell>
          <cell r="E557">
            <v>7550</v>
          </cell>
        </row>
        <row r="558">
          <cell r="D558" t="str">
            <v>Lima Campos</v>
          </cell>
          <cell r="E558">
            <v>11893</v>
          </cell>
        </row>
        <row r="559">
          <cell r="D559" t="str">
            <v>Loreto</v>
          </cell>
          <cell r="E559">
            <v>12157</v>
          </cell>
        </row>
        <row r="560">
          <cell r="D560" t="str">
            <v>Luís Domingues</v>
          </cell>
          <cell r="E560">
            <v>6951</v>
          </cell>
        </row>
        <row r="561">
          <cell r="D561" t="str">
            <v>Magalhães de Almeida</v>
          </cell>
          <cell r="E561">
            <v>19826</v>
          </cell>
        </row>
        <row r="562">
          <cell r="D562" t="str">
            <v>Maracaçumé</v>
          </cell>
          <cell r="E562">
            <v>21395</v>
          </cell>
        </row>
        <row r="563">
          <cell r="D563" t="str">
            <v>Marajá do Sena</v>
          </cell>
          <cell r="E563">
            <v>7792</v>
          </cell>
        </row>
        <row r="564">
          <cell r="D564" t="str">
            <v>Maranhãozinho</v>
          </cell>
          <cell r="E564">
            <v>16265</v>
          </cell>
        </row>
        <row r="565">
          <cell r="D565" t="str">
            <v>Mata Roma</v>
          </cell>
          <cell r="E565">
            <v>16829</v>
          </cell>
        </row>
        <row r="566">
          <cell r="D566" t="str">
            <v>Matinha</v>
          </cell>
          <cell r="E566">
            <v>23370</v>
          </cell>
        </row>
        <row r="567">
          <cell r="D567" t="str">
            <v>Matões</v>
          </cell>
          <cell r="E567">
            <v>33782</v>
          </cell>
        </row>
        <row r="568">
          <cell r="D568" t="str">
            <v>Matões do Norte</v>
          </cell>
          <cell r="E568">
            <v>16745</v>
          </cell>
        </row>
        <row r="569">
          <cell r="D569" t="str">
            <v>Milagres do Maranhão</v>
          </cell>
          <cell r="E569">
            <v>8464</v>
          </cell>
        </row>
        <row r="570">
          <cell r="D570" t="str">
            <v>Mirador</v>
          </cell>
          <cell r="E570">
            <v>21015</v>
          </cell>
        </row>
        <row r="571">
          <cell r="D571" t="str">
            <v>Miranda do Norte</v>
          </cell>
          <cell r="E571">
            <v>28381</v>
          </cell>
        </row>
        <row r="572">
          <cell r="D572" t="str">
            <v>Mirinzal</v>
          </cell>
          <cell r="E572">
            <v>14962</v>
          </cell>
        </row>
        <row r="573">
          <cell r="D573" t="str">
            <v>Monção</v>
          </cell>
          <cell r="E573">
            <v>33434</v>
          </cell>
        </row>
        <row r="574">
          <cell r="D574" t="str">
            <v>Montes Altos</v>
          </cell>
          <cell r="E574">
            <v>9160</v>
          </cell>
        </row>
        <row r="575">
          <cell r="D575" t="str">
            <v>Morros</v>
          </cell>
          <cell r="E575">
            <v>19433</v>
          </cell>
        </row>
        <row r="576">
          <cell r="D576" t="str">
            <v>Nina Rodrigues</v>
          </cell>
          <cell r="E576">
            <v>14454</v>
          </cell>
        </row>
        <row r="577">
          <cell r="D577" t="str">
            <v>Nova Colinas</v>
          </cell>
          <cell r="E577">
            <v>5384</v>
          </cell>
        </row>
        <row r="578">
          <cell r="D578" t="str">
            <v>Nova Iorque</v>
          </cell>
          <cell r="E578">
            <v>4683</v>
          </cell>
        </row>
        <row r="579">
          <cell r="D579" t="str">
            <v>Nova Olinda do Maranhão</v>
          </cell>
          <cell r="E579">
            <v>20928</v>
          </cell>
        </row>
        <row r="580">
          <cell r="D580" t="str">
            <v>Olho d'Água das Cunhãs</v>
          </cell>
          <cell r="E580">
            <v>19505</v>
          </cell>
        </row>
        <row r="581">
          <cell r="D581" t="str">
            <v>Olinda Nova do Maranhão</v>
          </cell>
          <cell r="E581">
            <v>14701</v>
          </cell>
        </row>
        <row r="582">
          <cell r="D582" t="str">
            <v>Paço do Lumiar</v>
          </cell>
          <cell r="E582" t="str">
            <v>122197 (6)</v>
          </cell>
        </row>
        <row r="583">
          <cell r="D583" t="str">
            <v>Palmeirândia</v>
          </cell>
          <cell r="E583">
            <v>19722</v>
          </cell>
        </row>
        <row r="584">
          <cell r="D584" t="str">
            <v>Paraibano</v>
          </cell>
          <cell r="E584">
            <v>21386</v>
          </cell>
        </row>
        <row r="585">
          <cell r="D585" t="str">
            <v>Parnarama</v>
          </cell>
          <cell r="E585">
            <v>34907</v>
          </cell>
        </row>
        <row r="586">
          <cell r="D586" t="str">
            <v>Passagem Franca</v>
          </cell>
          <cell r="E586">
            <v>19019</v>
          </cell>
        </row>
        <row r="587">
          <cell r="D587" t="str">
            <v>Pastos Bons</v>
          </cell>
          <cell r="E587">
            <v>19472</v>
          </cell>
        </row>
        <row r="588">
          <cell r="D588" t="str">
            <v>Paulino Neves</v>
          </cell>
          <cell r="E588">
            <v>16035</v>
          </cell>
        </row>
        <row r="589">
          <cell r="D589" t="str">
            <v>Paulo Ramos</v>
          </cell>
          <cell r="E589">
            <v>21040</v>
          </cell>
        </row>
        <row r="590">
          <cell r="D590" t="str">
            <v>Pedreiras</v>
          </cell>
          <cell r="E590">
            <v>39229</v>
          </cell>
        </row>
        <row r="591">
          <cell r="D591" t="str">
            <v>Pedro do Rosário</v>
          </cell>
          <cell r="E591">
            <v>25144</v>
          </cell>
        </row>
        <row r="592">
          <cell r="D592" t="str">
            <v>Penalva</v>
          </cell>
          <cell r="E592">
            <v>38470</v>
          </cell>
        </row>
        <row r="593">
          <cell r="D593" t="str">
            <v>Peri Mirim</v>
          </cell>
          <cell r="E593">
            <v>14318</v>
          </cell>
        </row>
        <row r="594">
          <cell r="D594" t="str">
            <v>Peritoró</v>
          </cell>
          <cell r="E594">
            <v>23196</v>
          </cell>
        </row>
        <row r="595">
          <cell r="D595" t="str">
            <v>Pindaré-Mirim</v>
          </cell>
          <cell r="E595">
            <v>32941</v>
          </cell>
        </row>
        <row r="596">
          <cell r="D596" t="str">
            <v>Pinheiro</v>
          </cell>
          <cell r="E596">
            <v>83387</v>
          </cell>
        </row>
        <row r="597">
          <cell r="D597" t="str">
            <v>Pio XII</v>
          </cell>
          <cell r="E597">
            <v>21485</v>
          </cell>
        </row>
        <row r="598">
          <cell r="D598" t="str">
            <v>Pirapemas</v>
          </cell>
          <cell r="E598">
            <v>18625</v>
          </cell>
        </row>
        <row r="599">
          <cell r="D599" t="str">
            <v>Poção de Pedras</v>
          </cell>
          <cell r="E599">
            <v>17873</v>
          </cell>
        </row>
        <row r="600">
          <cell r="D600" t="str">
            <v>Porto Franco</v>
          </cell>
          <cell r="E600">
            <v>23885</v>
          </cell>
        </row>
        <row r="601">
          <cell r="D601" t="str">
            <v>Porto Rico do Maranhão</v>
          </cell>
          <cell r="E601">
            <v>5975</v>
          </cell>
        </row>
        <row r="602">
          <cell r="D602" t="str">
            <v>Presidente Dutra</v>
          </cell>
          <cell r="E602">
            <v>47804</v>
          </cell>
        </row>
        <row r="603">
          <cell r="D603" t="str">
            <v>Presidente Juscelino</v>
          </cell>
          <cell r="E603">
            <v>12734</v>
          </cell>
        </row>
        <row r="604">
          <cell r="D604" t="str">
            <v>Presidente Médici</v>
          </cell>
          <cell r="E604">
            <v>7015</v>
          </cell>
        </row>
        <row r="605">
          <cell r="D605" t="str">
            <v>Presidente Sarney</v>
          </cell>
          <cell r="E605">
            <v>18918</v>
          </cell>
        </row>
        <row r="606">
          <cell r="D606" t="str">
            <v>Presidente Vargas</v>
          </cell>
          <cell r="E606">
            <v>11193</v>
          </cell>
        </row>
        <row r="607">
          <cell r="D607" t="str">
            <v>Primeira Cruz</v>
          </cell>
          <cell r="E607">
            <v>15315</v>
          </cell>
        </row>
        <row r="608">
          <cell r="D608" t="str">
            <v>Raposa</v>
          </cell>
          <cell r="E608">
            <v>30761</v>
          </cell>
        </row>
        <row r="609">
          <cell r="D609" t="str">
            <v>Riachão</v>
          </cell>
          <cell r="E609">
            <v>20195</v>
          </cell>
        </row>
        <row r="610">
          <cell r="D610" t="str">
            <v>Ribamar Fiquene</v>
          </cell>
          <cell r="E610">
            <v>7791</v>
          </cell>
        </row>
        <row r="611">
          <cell r="D611" t="str">
            <v>Rosário</v>
          </cell>
          <cell r="E611">
            <v>42740</v>
          </cell>
        </row>
        <row r="612">
          <cell r="D612" t="str">
            <v>Sambaíba</v>
          </cell>
          <cell r="E612">
            <v>5671</v>
          </cell>
        </row>
        <row r="613">
          <cell r="D613" t="str">
            <v>Santa Filomena do Maranhão</v>
          </cell>
          <cell r="E613">
            <v>7773</v>
          </cell>
        </row>
        <row r="614">
          <cell r="D614" t="str">
            <v>Santa Helena</v>
          </cell>
          <cell r="E614">
            <v>42130</v>
          </cell>
        </row>
        <row r="615">
          <cell r="D615" t="str">
            <v>Santa Inês</v>
          </cell>
          <cell r="E615">
            <v>89044</v>
          </cell>
        </row>
        <row r="616">
          <cell r="D616" t="str">
            <v>Santa Luzia</v>
          </cell>
          <cell r="E616">
            <v>72667</v>
          </cell>
        </row>
        <row r="617">
          <cell r="D617" t="str">
            <v>Santa Luzia do Paruá</v>
          </cell>
          <cell r="E617">
            <v>25254</v>
          </cell>
        </row>
        <row r="618">
          <cell r="D618" t="str">
            <v>Santa Quitéria do Maranhão</v>
          </cell>
          <cell r="E618">
            <v>25642</v>
          </cell>
        </row>
        <row r="619">
          <cell r="D619" t="str">
            <v>Santa Rita</v>
          </cell>
          <cell r="E619">
            <v>37855</v>
          </cell>
        </row>
        <row r="620">
          <cell r="D620" t="str">
            <v>Santana do Maranhão</v>
          </cell>
          <cell r="E620">
            <v>13386</v>
          </cell>
        </row>
        <row r="621">
          <cell r="D621" t="str">
            <v>Santo Amaro do Maranhão</v>
          </cell>
          <cell r="E621">
            <v>15846</v>
          </cell>
        </row>
        <row r="622">
          <cell r="D622" t="str">
            <v>Santo Antônio dos Lopes</v>
          </cell>
          <cell r="E622">
            <v>14528</v>
          </cell>
        </row>
        <row r="623">
          <cell r="D623" t="str">
            <v>São Benedito do Rio Preto</v>
          </cell>
          <cell r="E623">
            <v>18663</v>
          </cell>
        </row>
        <row r="624">
          <cell r="D624" t="str">
            <v>São Bento</v>
          </cell>
          <cell r="E624">
            <v>45211</v>
          </cell>
        </row>
        <row r="625">
          <cell r="D625" t="str">
            <v>São Bernardo</v>
          </cell>
          <cell r="E625">
            <v>28507</v>
          </cell>
        </row>
        <row r="626">
          <cell r="D626" t="str">
            <v>São Domingos do Azeitão</v>
          </cell>
          <cell r="E626">
            <v>7392</v>
          </cell>
        </row>
        <row r="627">
          <cell r="D627" t="str">
            <v>São Domingos do Maranhão</v>
          </cell>
          <cell r="E627">
            <v>34376</v>
          </cell>
        </row>
        <row r="628">
          <cell r="D628" t="str">
            <v>São Félix de Balsas</v>
          </cell>
          <cell r="E628">
            <v>4585</v>
          </cell>
        </row>
        <row r="629">
          <cell r="D629" t="str">
            <v>São Francisco do Brejão</v>
          </cell>
          <cell r="E629">
            <v>11798</v>
          </cell>
        </row>
        <row r="630">
          <cell r="D630" t="str">
            <v>São Francisco do Maranhão</v>
          </cell>
          <cell r="E630">
            <v>12210</v>
          </cell>
        </row>
        <row r="631">
          <cell r="D631" t="str">
            <v>São João Batista</v>
          </cell>
          <cell r="E631">
            <v>20665</v>
          </cell>
        </row>
        <row r="632">
          <cell r="D632" t="str">
            <v>São João do Carú</v>
          </cell>
          <cell r="E632">
            <v>15808</v>
          </cell>
        </row>
        <row r="633">
          <cell r="D633" t="str">
            <v>São João do Paraíso</v>
          </cell>
          <cell r="E633">
            <v>11177</v>
          </cell>
        </row>
        <row r="634">
          <cell r="D634" t="str">
            <v>São João do Soter</v>
          </cell>
          <cell r="E634">
            <v>18543</v>
          </cell>
        </row>
        <row r="635">
          <cell r="D635" t="str">
            <v>São João dos Patos</v>
          </cell>
          <cell r="E635">
            <v>25929</v>
          </cell>
        </row>
        <row r="636">
          <cell r="D636" t="str">
            <v>São José de Ribamar</v>
          </cell>
          <cell r="E636">
            <v>177687</v>
          </cell>
        </row>
        <row r="637">
          <cell r="D637" t="str">
            <v>São José dos Basílios</v>
          </cell>
          <cell r="E637">
            <v>7641</v>
          </cell>
        </row>
        <row r="638">
          <cell r="D638" t="str">
            <v>São Luís</v>
          </cell>
          <cell r="E638">
            <v>1101884</v>
          </cell>
        </row>
        <row r="639">
          <cell r="D639" t="str">
            <v>São Luís Gonzaga do Maranhão</v>
          </cell>
          <cell r="E639">
            <v>18856</v>
          </cell>
        </row>
        <row r="640">
          <cell r="D640" t="str">
            <v>São Mateus do Maranhão</v>
          </cell>
          <cell r="E640">
            <v>41529</v>
          </cell>
        </row>
        <row r="641">
          <cell r="D641" t="str">
            <v>São Pedro da Água Branca</v>
          </cell>
          <cell r="E641">
            <v>12690</v>
          </cell>
        </row>
        <row r="642">
          <cell r="D642" t="str">
            <v>São Pedro dos Crentes</v>
          </cell>
          <cell r="E642">
            <v>4668</v>
          </cell>
        </row>
        <row r="643">
          <cell r="D643" t="str">
            <v>São Raimundo das Mangabeiras</v>
          </cell>
          <cell r="E643">
            <v>18868</v>
          </cell>
        </row>
        <row r="644">
          <cell r="D644" t="str">
            <v>São Raimundo do Doca Bezerra</v>
          </cell>
          <cell r="E644">
            <v>5237</v>
          </cell>
        </row>
        <row r="645">
          <cell r="D645" t="str">
            <v>São Roberto</v>
          </cell>
          <cell r="E645">
            <v>6719</v>
          </cell>
        </row>
        <row r="646">
          <cell r="D646" t="str">
            <v>São Vicente Ferrer</v>
          </cell>
          <cell r="E646">
            <v>22247</v>
          </cell>
        </row>
        <row r="647">
          <cell r="D647" t="str">
            <v>Satubinha</v>
          </cell>
          <cell r="E647">
            <v>13914</v>
          </cell>
        </row>
        <row r="648">
          <cell r="D648" t="str">
            <v>Senador Alexandre Costa</v>
          </cell>
          <cell r="E648">
            <v>11141</v>
          </cell>
        </row>
        <row r="649">
          <cell r="D649" t="str">
            <v>Senador La Rocque</v>
          </cell>
          <cell r="E649">
            <v>14293</v>
          </cell>
        </row>
        <row r="650">
          <cell r="D650" t="str">
            <v>Serrano do Maranhão</v>
          </cell>
          <cell r="E650">
            <v>10253</v>
          </cell>
        </row>
        <row r="651">
          <cell r="D651" t="str">
            <v>Sítio Novo</v>
          </cell>
          <cell r="E651">
            <v>18081</v>
          </cell>
        </row>
        <row r="652">
          <cell r="D652" t="str">
            <v>Sucupira do Norte</v>
          </cell>
          <cell r="E652">
            <v>10636</v>
          </cell>
        </row>
        <row r="653">
          <cell r="D653" t="str">
            <v>Sucupira do Riachão</v>
          </cell>
          <cell r="E653">
            <v>5660</v>
          </cell>
        </row>
        <row r="654">
          <cell r="D654" t="str">
            <v>Tasso Fragoso</v>
          </cell>
          <cell r="E654">
            <v>8521</v>
          </cell>
        </row>
        <row r="655">
          <cell r="D655" t="str">
            <v>Timbiras</v>
          </cell>
          <cell r="E655">
            <v>29124</v>
          </cell>
        </row>
        <row r="656">
          <cell r="D656" t="str">
            <v>Timon</v>
          </cell>
          <cell r="E656">
            <v>169107</v>
          </cell>
        </row>
        <row r="657">
          <cell r="D657" t="str">
            <v>Trizidela do Vale</v>
          </cell>
          <cell r="E657">
            <v>21998</v>
          </cell>
        </row>
        <row r="658">
          <cell r="D658" t="str">
            <v>Tufilândia</v>
          </cell>
          <cell r="E658">
            <v>5840</v>
          </cell>
        </row>
        <row r="659">
          <cell r="D659" t="str">
            <v>Tuntum</v>
          </cell>
          <cell r="E659">
            <v>41832</v>
          </cell>
        </row>
        <row r="660">
          <cell r="D660" t="str">
            <v>Turiaçu</v>
          </cell>
          <cell r="E660">
            <v>35604</v>
          </cell>
        </row>
        <row r="661">
          <cell r="D661" t="str">
            <v>Turilândia</v>
          </cell>
          <cell r="E661">
            <v>25619</v>
          </cell>
        </row>
        <row r="662">
          <cell r="D662" t="str">
            <v>Tutóia</v>
          </cell>
          <cell r="E662">
            <v>58860</v>
          </cell>
        </row>
        <row r="663">
          <cell r="D663" t="str">
            <v>Urbano Santos</v>
          </cell>
          <cell r="E663">
            <v>33122</v>
          </cell>
        </row>
        <row r="664">
          <cell r="D664" t="str">
            <v>Vargem Grande</v>
          </cell>
          <cell r="E664">
            <v>56510</v>
          </cell>
        </row>
        <row r="665">
          <cell r="D665" t="str">
            <v>Viana</v>
          </cell>
          <cell r="E665">
            <v>52441</v>
          </cell>
        </row>
        <row r="666">
          <cell r="D666" t="str">
            <v>Vila Nova dos Martírios</v>
          </cell>
          <cell r="E666">
            <v>13392</v>
          </cell>
        </row>
        <row r="667">
          <cell r="D667" t="str">
            <v>Vitória do Mearim</v>
          </cell>
          <cell r="E667">
            <v>32764</v>
          </cell>
        </row>
        <row r="668">
          <cell r="D668" t="str">
            <v>Vitorino Freire</v>
          </cell>
          <cell r="E668">
            <v>31523</v>
          </cell>
        </row>
        <row r="669">
          <cell r="D669" t="str">
            <v>Zé Doca</v>
          </cell>
          <cell r="E669">
            <v>51714</v>
          </cell>
        </row>
        <row r="670">
          <cell r="D670" t="str">
            <v>Acauã</v>
          </cell>
          <cell r="E670">
            <v>7084</v>
          </cell>
        </row>
        <row r="671">
          <cell r="D671" t="str">
            <v>Agricolândia</v>
          </cell>
          <cell r="E671">
            <v>5139</v>
          </cell>
        </row>
        <row r="672">
          <cell r="D672" t="str">
            <v>Água Branca</v>
          </cell>
          <cell r="E672">
            <v>17411</v>
          </cell>
        </row>
        <row r="673">
          <cell r="D673" t="str">
            <v>Alagoinha do Piauí</v>
          </cell>
          <cell r="E673">
            <v>7651</v>
          </cell>
        </row>
        <row r="674">
          <cell r="D674" t="str">
            <v>Alegrete do Piauí</v>
          </cell>
          <cell r="E674">
            <v>4915</v>
          </cell>
        </row>
        <row r="675">
          <cell r="D675" t="str">
            <v>Alto Longá</v>
          </cell>
          <cell r="E675">
            <v>14304</v>
          </cell>
        </row>
        <row r="676">
          <cell r="D676" t="str">
            <v>Altos</v>
          </cell>
          <cell r="E676">
            <v>40524</v>
          </cell>
        </row>
        <row r="677">
          <cell r="D677" t="str">
            <v>Alvorada do Gurguéia</v>
          </cell>
          <cell r="E677">
            <v>5419</v>
          </cell>
        </row>
        <row r="678">
          <cell r="D678" t="str">
            <v>Amarante</v>
          </cell>
          <cell r="E678">
            <v>17598</v>
          </cell>
        </row>
        <row r="679">
          <cell r="D679" t="str">
            <v>Angical do Piauí</v>
          </cell>
          <cell r="E679">
            <v>6788</v>
          </cell>
        </row>
        <row r="680">
          <cell r="D680" t="str">
            <v>Anísio de Abreu</v>
          </cell>
          <cell r="E680">
            <v>9880</v>
          </cell>
        </row>
        <row r="681">
          <cell r="D681" t="str">
            <v>Antônio Almeida</v>
          </cell>
          <cell r="E681">
            <v>3164</v>
          </cell>
        </row>
        <row r="682">
          <cell r="D682" t="str">
            <v>Aroazes</v>
          </cell>
          <cell r="E682">
            <v>5835</v>
          </cell>
        </row>
        <row r="683">
          <cell r="D683" t="str">
            <v>Aroeiras do Itaim</v>
          </cell>
          <cell r="E683">
            <v>2551</v>
          </cell>
        </row>
        <row r="684">
          <cell r="D684" t="str">
            <v>Arraial</v>
          </cell>
          <cell r="E684">
            <v>4727</v>
          </cell>
        </row>
        <row r="685">
          <cell r="D685" t="str">
            <v>Assunção do Piauí</v>
          </cell>
          <cell r="E685">
            <v>7846</v>
          </cell>
        </row>
        <row r="686">
          <cell r="D686" t="str">
            <v>Avelino Lopes</v>
          </cell>
          <cell r="E686">
            <v>11289</v>
          </cell>
        </row>
        <row r="687">
          <cell r="D687" t="str">
            <v>Baixa Grande do Ribeiro</v>
          </cell>
          <cell r="E687">
            <v>11586</v>
          </cell>
        </row>
        <row r="688">
          <cell r="D688" t="str">
            <v>Barra D'Alcântara</v>
          </cell>
          <cell r="E688">
            <v>3951</v>
          </cell>
        </row>
        <row r="689">
          <cell r="D689" t="str">
            <v>Barras</v>
          </cell>
          <cell r="E689">
            <v>47066</v>
          </cell>
        </row>
        <row r="690">
          <cell r="D690" t="str">
            <v>Barreiras do Piauí</v>
          </cell>
          <cell r="E690">
            <v>3348</v>
          </cell>
        </row>
        <row r="691">
          <cell r="D691" t="str">
            <v>Barro Duro</v>
          </cell>
          <cell r="E691">
            <v>7032</v>
          </cell>
        </row>
        <row r="692">
          <cell r="D692" t="str">
            <v>Batalha</v>
          </cell>
          <cell r="E692">
            <v>26857</v>
          </cell>
        </row>
        <row r="693">
          <cell r="D693" t="str">
            <v>Bela Vista do Piauí</v>
          </cell>
          <cell r="E693">
            <v>4015</v>
          </cell>
        </row>
        <row r="694">
          <cell r="D694" t="str">
            <v>Belém do Piauí</v>
          </cell>
          <cell r="E694">
            <v>3566</v>
          </cell>
        </row>
        <row r="695">
          <cell r="D695" t="str">
            <v>Beneditinos</v>
          </cell>
          <cell r="E695">
            <v>10467</v>
          </cell>
        </row>
        <row r="696">
          <cell r="D696" t="str">
            <v>Bertolínia</v>
          </cell>
          <cell r="E696">
            <v>5501</v>
          </cell>
        </row>
        <row r="697">
          <cell r="D697" t="str">
            <v>Betânia do Piauí</v>
          </cell>
          <cell r="E697">
            <v>6205</v>
          </cell>
        </row>
        <row r="698">
          <cell r="D698" t="str">
            <v>Boa Hora</v>
          </cell>
          <cell r="E698">
            <v>6781</v>
          </cell>
        </row>
        <row r="699">
          <cell r="D699" t="str">
            <v>Bocaina</v>
          </cell>
          <cell r="E699">
            <v>4500</v>
          </cell>
        </row>
        <row r="700">
          <cell r="D700" t="str">
            <v>Bom Jesus</v>
          </cell>
          <cell r="E700">
            <v>25179</v>
          </cell>
        </row>
        <row r="701">
          <cell r="D701" t="str">
            <v>Bom Princípio do Piauí</v>
          </cell>
          <cell r="E701">
            <v>5630</v>
          </cell>
        </row>
        <row r="702">
          <cell r="D702" t="str">
            <v>Bonfim do Piauí</v>
          </cell>
          <cell r="E702">
            <v>5670</v>
          </cell>
        </row>
        <row r="703">
          <cell r="D703" t="str">
            <v>Boqueirão do Piauí</v>
          </cell>
          <cell r="E703">
            <v>6407</v>
          </cell>
        </row>
        <row r="704">
          <cell r="D704" t="str">
            <v>Brasileira</v>
          </cell>
          <cell r="E704">
            <v>8329</v>
          </cell>
        </row>
        <row r="705">
          <cell r="D705" t="str">
            <v>Brejo do Piauí</v>
          </cell>
          <cell r="E705">
            <v>3875</v>
          </cell>
        </row>
        <row r="706">
          <cell r="D706" t="str">
            <v>Buriti dos Lopes</v>
          </cell>
          <cell r="E706">
            <v>19781</v>
          </cell>
        </row>
        <row r="707">
          <cell r="D707" t="str">
            <v>Buriti dos Montes</v>
          </cell>
          <cell r="E707">
            <v>8244</v>
          </cell>
        </row>
        <row r="708">
          <cell r="D708" t="str">
            <v>Cabeceiras do Piauí</v>
          </cell>
          <cell r="E708">
            <v>10586</v>
          </cell>
        </row>
        <row r="709">
          <cell r="D709" t="str">
            <v>Cajazeiras do Piauí</v>
          </cell>
          <cell r="E709">
            <v>3559</v>
          </cell>
        </row>
        <row r="710">
          <cell r="D710" t="str">
            <v>Cajueiro da Praia</v>
          </cell>
          <cell r="E710">
            <v>7642</v>
          </cell>
        </row>
        <row r="711">
          <cell r="D711" t="str">
            <v>Caldeirão Grande do Piauí</v>
          </cell>
          <cell r="E711">
            <v>5776</v>
          </cell>
        </row>
        <row r="712">
          <cell r="D712" t="str">
            <v>Campinas do Piauí</v>
          </cell>
          <cell r="E712">
            <v>5613</v>
          </cell>
        </row>
        <row r="713">
          <cell r="D713" t="str">
            <v>Campo Alegre do Fidalgo</v>
          </cell>
          <cell r="E713">
            <v>5045</v>
          </cell>
        </row>
        <row r="714">
          <cell r="D714" t="str">
            <v>Campo Grande do Piauí</v>
          </cell>
          <cell r="E714">
            <v>5943</v>
          </cell>
        </row>
        <row r="715">
          <cell r="D715" t="str">
            <v>Campo Largo do Piauí</v>
          </cell>
          <cell r="E715">
            <v>7279</v>
          </cell>
        </row>
        <row r="716">
          <cell r="D716" t="str">
            <v>Campo Maior</v>
          </cell>
          <cell r="E716">
            <v>46833</v>
          </cell>
        </row>
        <row r="717">
          <cell r="D717" t="str">
            <v>Canavieira</v>
          </cell>
          <cell r="E717">
            <v>3950</v>
          </cell>
        </row>
        <row r="718">
          <cell r="D718" t="str">
            <v>Canto do Buriti</v>
          </cell>
          <cell r="E718">
            <v>21187</v>
          </cell>
        </row>
        <row r="719">
          <cell r="D719" t="str">
            <v>Capitão de Campos</v>
          </cell>
          <cell r="E719">
            <v>11417</v>
          </cell>
        </row>
        <row r="720">
          <cell r="D720" t="str">
            <v>Capitão Gervásio Oliveira</v>
          </cell>
          <cell r="E720">
            <v>4100</v>
          </cell>
        </row>
        <row r="721">
          <cell r="D721" t="str">
            <v>Caracol</v>
          </cell>
          <cell r="E721">
            <v>10916</v>
          </cell>
        </row>
        <row r="722">
          <cell r="D722" t="str">
            <v>Caraúbas do Piauí</v>
          </cell>
          <cell r="E722">
            <v>5868</v>
          </cell>
        </row>
        <row r="723">
          <cell r="D723" t="str">
            <v>Caridade do Piauí</v>
          </cell>
          <cell r="E723">
            <v>5067</v>
          </cell>
        </row>
        <row r="724">
          <cell r="D724" t="str">
            <v>Castelo do Piauí</v>
          </cell>
          <cell r="E724">
            <v>19716</v>
          </cell>
        </row>
        <row r="725">
          <cell r="D725" t="str">
            <v>Caxingó</v>
          </cell>
          <cell r="E725">
            <v>5424</v>
          </cell>
        </row>
        <row r="726">
          <cell r="D726" t="str">
            <v>Cocal</v>
          </cell>
          <cell r="E726">
            <v>27787</v>
          </cell>
        </row>
        <row r="727">
          <cell r="D727" t="str">
            <v>Cocal de Telha</v>
          </cell>
          <cell r="E727">
            <v>4891</v>
          </cell>
        </row>
        <row r="728">
          <cell r="D728" t="str">
            <v>Cocal dos Alves</v>
          </cell>
          <cell r="E728">
            <v>6153</v>
          </cell>
        </row>
        <row r="729">
          <cell r="D729" t="str">
            <v>Coivaras</v>
          </cell>
          <cell r="E729">
            <v>4020</v>
          </cell>
        </row>
        <row r="730">
          <cell r="D730" t="str">
            <v>Colônia do Gurguéia</v>
          </cell>
          <cell r="E730">
            <v>6484</v>
          </cell>
        </row>
        <row r="731">
          <cell r="D731" t="str">
            <v>Colônia do Piauí</v>
          </cell>
          <cell r="E731">
            <v>7656</v>
          </cell>
        </row>
        <row r="732">
          <cell r="D732" t="str">
            <v>Conceição do Canindé</v>
          </cell>
          <cell r="E732">
            <v>4803</v>
          </cell>
        </row>
        <row r="733">
          <cell r="D733" t="str">
            <v>Coronel José Dias</v>
          </cell>
          <cell r="E733">
            <v>4682</v>
          </cell>
        </row>
        <row r="734">
          <cell r="D734" t="str">
            <v>Corrente</v>
          </cell>
          <cell r="E734">
            <v>26644</v>
          </cell>
        </row>
        <row r="735">
          <cell r="D735" t="str">
            <v>Cristalândia do Piauí</v>
          </cell>
          <cell r="E735">
            <v>8294</v>
          </cell>
        </row>
        <row r="736">
          <cell r="D736" t="str">
            <v>Cristino Castro</v>
          </cell>
          <cell r="E736">
            <v>10423</v>
          </cell>
        </row>
        <row r="737">
          <cell r="D737" t="str">
            <v>Curimatá</v>
          </cell>
          <cell r="E737">
            <v>11388</v>
          </cell>
        </row>
        <row r="738">
          <cell r="D738" t="str">
            <v>Currais</v>
          </cell>
          <cell r="E738">
            <v>4954</v>
          </cell>
        </row>
        <row r="739">
          <cell r="D739" t="str">
            <v>Curralinhos</v>
          </cell>
          <cell r="E739">
            <v>4443</v>
          </cell>
        </row>
        <row r="740">
          <cell r="D740" t="str">
            <v>Curral Novo do Piauí</v>
          </cell>
          <cell r="E740">
            <v>5343</v>
          </cell>
        </row>
        <row r="741">
          <cell r="D741" t="str">
            <v>Demerval Lobão</v>
          </cell>
          <cell r="E741">
            <v>13817</v>
          </cell>
        </row>
        <row r="742">
          <cell r="D742" t="str">
            <v>Dirceu Arcoverde</v>
          </cell>
          <cell r="E742">
            <v>7011</v>
          </cell>
        </row>
        <row r="743">
          <cell r="D743" t="str">
            <v>Dom Expedito Lopes</v>
          </cell>
          <cell r="E743">
            <v>6904</v>
          </cell>
        </row>
        <row r="744">
          <cell r="D744" t="str">
            <v>Domingos Mourão</v>
          </cell>
          <cell r="E744">
            <v>4355</v>
          </cell>
        </row>
        <row r="745">
          <cell r="D745" t="str">
            <v>Dom Inocêncio</v>
          </cell>
          <cell r="E745">
            <v>9556</v>
          </cell>
        </row>
        <row r="746">
          <cell r="D746" t="str">
            <v>Elesbão Veloso</v>
          </cell>
          <cell r="E746">
            <v>14602</v>
          </cell>
        </row>
        <row r="747">
          <cell r="D747" t="str">
            <v>Eliseu Martins</v>
          </cell>
          <cell r="E747">
            <v>4915</v>
          </cell>
        </row>
        <row r="748">
          <cell r="D748" t="str">
            <v>Esperantina</v>
          </cell>
          <cell r="E748">
            <v>39737</v>
          </cell>
        </row>
        <row r="749">
          <cell r="D749" t="str">
            <v>Fartura do Piauí</v>
          </cell>
          <cell r="E749">
            <v>5307</v>
          </cell>
        </row>
        <row r="750">
          <cell r="D750" t="str">
            <v>Flores do Piauí</v>
          </cell>
          <cell r="E750">
            <v>4463</v>
          </cell>
        </row>
        <row r="751">
          <cell r="D751" t="str">
            <v>Floresta do Piauí</v>
          </cell>
          <cell r="E751">
            <v>2558</v>
          </cell>
        </row>
        <row r="752">
          <cell r="D752" t="str">
            <v>Floriano</v>
          </cell>
          <cell r="E752">
            <v>59935</v>
          </cell>
        </row>
        <row r="753">
          <cell r="D753" t="str">
            <v>Francinópolis</v>
          </cell>
          <cell r="E753">
            <v>5348</v>
          </cell>
        </row>
        <row r="754">
          <cell r="D754" t="str">
            <v>Francisco Ayres</v>
          </cell>
          <cell r="E754">
            <v>4348</v>
          </cell>
        </row>
        <row r="755">
          <cell r="D755" t="str">
            <v>Francisco Macedo</v>
          </cell>
          <cell r="E755">
            <v>3184</v>
          </cell>
        </row>
        <row r="756">
          <cell r="D756" t="str">
            <v>Francisco Santos</v>
          </cell>
          <cell r="E756">
            <v>9319</v>
          </cell>
        </row>
        <row r="757">
          <cell r="D757" t="str">
            <v>Fronteiras</v>
          </cell>
          <cell r="E757">
            <v>11625</v>
          </cell>
        </row>
        <row r="758">
          <cell r="D758" t="str">
            <v>Geminiano</v>
          </cell>
          <cell r="E758">
            <v>5442</v>
          </cell>
        </row>
        <row r="759">
          <cell r="D759" t="str">
            <v>Gilbués</v>
          </cell>
          <cell r="E759">
            <v>10690</v>
          </cell>
        </row>
        <row r="760">
          <cell r="D760" t="str">
            <v>Guadalupe</v>
          </cell>
          <cell r="E760">
            <v>10499</v>
          </cell>
        </row>
        <row r="761">
          <cell r="D761" t="str">
            <v>Guaribas</v>
          </cell>
          <cell r="E761">
            <v>4562</v>
          </cell>
        </row>
        <row r="762">
          <cell r="D762" t="str">
            <v>Hugo Napoleão</v>
          </cell>
          <cell r="E762">
            <v>3877</v>
          </cell>
        </row>
        <row r="763">
          <cell r="D763" t="str">
            <v>Ilha Grande</v>
          </cell>
          <cell r="E763">
            <v>9426</v>
          </cell>
        </row>
        <row r="764">
          <cell r="D764" t="str">
            <v>Inhuma</v>
          </cell>
          <cell r="E764">
            <v>15308</v>
          </cell>
        </row>
        <row r="765">
          <cell r="D765" t="str">
            <v>Ipiranga do Piauí</v>
          </cell>
          <cell r="E765">
            <v>9811</v>
          </cell>
        </row>
        <row r="766">
          <cell r="D766" t="str">
            <v>Isaías Coelho</v>
          </cell>
          <cell r="E766">
            <v>8549</v>
          </cell>
        </row>
        <row r="767">
          <cell r="D767" t="str">
            <v>Itainópolis</v>
          </cell>
          <cell r="E767">
            <v>11530</v>
          </cell>
        </row>
        <row r="768">
          <cell r="D768" t="str">
            <v>Itaueira</v>
          </cell>
          <cell r="E768">
            <v>11019</v>
          </cell>
        </row>
        <row r="769">
          <cell r="D769" t="str">
            <v>Jacobina do Piauí</v>
          </cell>
          <cell r="E769">
            <v>5741</v>
          </cell>
        </row>
        <row r="770">
          <cell r="D770" t="str">
            <v>Jaicós</v>
          </cell>
          <cell r="E770">
            <v>19104</v>
          </cell>
        </row>
        <row r="771">
          <cell r="D771" t="str">
            <v>Jardim do Mulato</v>
          </cell>
          <cell r="E771">
            <v>4504</v>
          </cell>
        </row>
        <row r="772">
          <cell r="D772" t="str">
            <v>Jatobá do Piauí</v>
          </cell>
          <cell r="E772">
            <v>4865</v>
          </cell>
        </row>
        <row r="773">
          <cell r="D773" t="str">
            <v>Jerumenha</v>
          </cell>
          <cell r="E773">
            <v>4452</v>
          </cell>
        </row>
        <row r="774">
          <cell r="D774" t="str">
            <v>João Costa</v>
          </cell>
          <cell r="E774">
            <v>3008</v>
          </cell>
        </row>
        <row r="775">
          <cell r="D775" t="str">
            <v>Joaquim Pires</v>
          </cell>
          <cell r="E775">
            <v>14354</v>
          </cell>
        </row>
        <row r="776">
          <cell r="D776" t="str">
            <v>Joca Marques</v>
          </cell>
          <cell r="E776">
            <v>5443</v>
          </cell>
        </row>
        <row r="777">
          <cell r="D777" t="str">
            <v>José de Freitas</v>
          </cell>
          <cell r="E777">
            <v>39208</v>
          </cell>
        </row>
        <row r="778">
          <cell r="D778" t="str">
            <v>Juazeiro do Piauí</v>
          </cell>
          <cell r="E778">
            <v>5478</v>
          </cell>
        </row>
        <row r="779">
          <cell r="D779" t="str">
            <v>Júlio Borges</v>
          </cell>
          <cell r="E779">
            <v>5627</v>
          </cell>
        </row>
        <row r="780">
          <cell r="D780" t="str">
            <v>Jurema</v>
          </cell>
          <cell r="E780">
            <v>4763</v>
          </cell>
        </row>
        <row r="781">
          <cell r="D781" t="str">
            <v>Lagoinha do Piauí</v>
          </cell>
          <cell r="E781">
            <v>2845</v>
          </cell>
        </row>
        <row r="782">
          <cell r="D782" t="str">
            <v>Lagoa Alegre</v>
          </cell>
          <cell r="E782">
            <v>8542</v>
          </cell>
        </row>
        <row r="783">
          <cell r="D783" t="str">
            <v>Lagoa do Barro do Piauí</v>
          </cell>
          <cell r="E783">
            <v>4655</v>
          </cell>
        </row>
        <row r="784">
          <cell r="D784" t="str">
            <v>Lagoa de São Francisco</v>
          </cell>
          <cell r="E784">
            <v>6758</v>
          </cell>
        </row>
        <row r="785">
          <cell r="D785" t="str">
            <v>Lagoa do Piauí</v>
          </cell>
          <cell r="E785">
            <v>4064</v>
          </cell>
        </row>
        <row r="786">
          <cell r="D786" t="str">
            <v>Lagoa do Sítio</v>
          </cell>
          <cell r="E786">
            <v>5177</v>
          </cell>
        </row>
        <row r="787">
          <cell r="D787" t="str">
            <v>Landri Sales</v>
          </cell>
          <cell r="E787">
            <v>5295</v>
          </cell>
        </row>
        <row r="788">
          <cell r="D788" t="str">
            <v>Luís Correia</v>
          </cell>
          <cell r="E788">
            <v>30311</v>
          </cell>
        </row>
        <row r="789">
          <cell r="D789" t="str">
            <v>Luzilândia</v>
          </cell>
          <cell r="E789">
            <v>25486</v>
          </cell>
        </row>
        <row r="790">
          <cell r="D790" t="str">
            <v>Madeiro</v>
          </cell>
          <cell r="E790">
            <v>8310</v>
          </cell>
        </row>
        <row r="791">
          <cell r="D791" t="str">
            <v>Manoel Emídio</v>
          </cell>
          <cell r="E791">
            <v>5349</v>
          </cell>
        </row>
        <row r="792">
          <cell r="D792" t="str">
            <v>Marcolândia</v>
          </cell>
          <cell r="E792">
            <v>8492</v>
          </cell>
        </row>
        <row r="793">
          <cell r="D793" t="str">
            <v>Marcos Parente</v>
          </cell>
          <cell r="E793">
            <v>4549</v>
          </cell>
        </row>
        <row r="794">
          <cell r="D794" t="str">
            <v>Massapê do Piauí</v>
          </cell>
          <cell r="E794">
            <v>6441</v>
          </cell>
        </row>
        <row r="795">
          <cell r="D795" t="str">
            <v>Matias Olímpio</v>
          </cell>
          <cell r="E795">
            <v>10936</v>
          </cell>
        </row>
        <row r="796">
          <cell r="D796" t="str">
            <v>Miguel Alves</v>
          </cell>
          <cell r="E796">
            <v>33760</v>
          </cell>
        </row>
        <row r="797">
          <cell r="D797" t="str">
            <v>Miguel Leão</v>
          </cell>
          <cell r="E797">
            <v>1246</v>
          </cell>
        </row>
        <row r="798">
          <cell r="D798" t="str">
            <v>Milton Brandão</v>
          </cell>
          <cell r="E798">
            <v>6613</v>
          </cell>
        </row>
        <row r="799">
          <cell r="D799" t="str">
            <v>Monsenhor Gil</v>
          </cell>
          <cell r="E799">
            <v>10564</v>
          </cell>
        </row>
        <row r="800">
          <cell r="D800" t="str">
            <v>Monsenhor Hipólito</v>
          </cell>
          <cell r="E800">
            <v>7749</v>
          </cell>
        </row>
        <row r="801">
          <cell r="D801" t="str">
            <v>Monte Alegre do Piauí</v>
          </cell>
          <cell r="E801">
            <v>10613</v>
          </cell>
        </row>
        <row r="802">
          <cell r="D802" t="str">
            <v>Morro Cabeça no Tempo</v>
          </cell>
          <cell r="E802">
            <v>4532</v>
          </cell>
        </row>
        <row r="803">
          <cell r="D803" t="str">
            <v>Morro do Chapéu do Piauí</v>
          </cell>
          <cell r="E803">
            <v>6796</v>
          </cell>
        </row>
        <row r="804">
          <cell r="D804" t="str">
            <v>Murici dos Portelas</v>
          </cell>
          <cell r="E804">
            <v>9159</v>
          </cell>
        </row>
        <row r="805">
          <cell r="D805" t="str">
            <v>Nazaré do Piauí</v>
          </cell>
          <cell r="E805">
            <v>7339</v>
          </cell>
        </row>
        <row r="806">
          <cell r="D806" t="str">
            <v>Nazária</v>
          </cell>
          <cell r="E806">
            <v>8570</v>
          </cell>
        </row>
        <row r="807">
          <cell r="D807" t="str">
            <v>Nossa Senhora de Nazaré</v>
          </cell>
          <cell r="E807">
            <v>4870</v>
          </cell>
        </row>
        <row r="808">
          <cell r="D808" t="str">
            <v>Nossa Senhora dos Remédios</v>
          </cell>
          <cell r="E808">
            <v>8692</v>
          </cell>
        </row>
        <row r="809">
          <cell r="D809" t="str">
            <v>Novo Oriente do Piauí</v>
          </cell>
          <cell r="E809">
            <v>6565</v>
          </cell>
        </row>
        <row r="810">
          <cell r="D810" t="str">
            <v>Novo Santo Antônio</v>
          </cell>
          <cell r="E810">
            <v>2991</v>
          </cell>
        </row>
        <row r="811">
          <cell r="D811" t="str">
            <v>Oeiras</v>
          </cell>
          <cell r="E811">
            <v>37029</v>
          </cell>
        </row>
        <row r="812">
          <cell r="D812" t="str">
            <v>Olho D'Água do Piauí</v>
          </cell>
          <cell r="E812">
            <v>2459</v>
          </cell>
        </row>
        <row r="813">
          <cell r="D813" t="str">
            <v>Padre Marcos</v>
          </cell>
          <cell r="E813">
            <v>6868</v>
          </cell>
        </row>
        <row r="814">
          <cell r="D814" t="str">
            <v>Paes Landim</v>
          </cell>
          <cell r="E814">
            <v>4129</v>
          </cell>
        </row>
        <row r="815">
          <cell r="D815" t="str">
            <v>Pajeú do Piauí</v>
          </cell>
          <cell r="E815">
            <v>3389</v>
          </cell>
        </row>
        <row r="816">
          <cell r="D816" t="str">
            <v>Palmeira do Piauí</v>
          </cell>
          <cell r="E816">
            <v>5043</v>
          </cell>
        </row>
        <row r="817">
          <cell r="D817" t="str">
            <v>Palmeirais</v>
          </cell>
          <cell r="E817">
            <v>14539</v>
          </cell>
        </row>
        <row r="818">
          <cell r="D818" t="str">
            <v>Paquetá</v>
          </cell>
          <cell r="E818">
            <v>3945</v>
          </cell>
        </row>
        <row r="819">
          <cell r="D819" t="str">
            <v>Parnaguá</v>
          </cell>
          <cell r="E819">
            <v>10791</v>
          </cell>
        </row>
        <row r="820">
          <cell r="D820" t="str">
            <v>Parnaíba</v>
          </cell>
          <cell r="E820">
            <v>153078</v>
          </cell>
        </row>
        <row r="821">
          <cell r="D821" t="str">
            <v>Passagem Franca do Piauí</v>
          </cell>
          <cell r="E821">
            <v>4313</v>
          </cell>
        </row>
        <row r="822">
          <cell r="D822" t="str">
            <v>Patos do Piauí</v>
          </cell>
          <cell r="E822">
            <v>6392</v>
          </cell>
        </row>
        <row r="823">
          <cell r="D823" t="str">
            <v>Pau D'Arco do Piauí</v>
          </cell>
          <cell r="E823">
            <v>4045</v>
          </cell>
        </row>
        <row r="824">
          <cell r="D824" t="str">
            <v>Paulistana</v>
          </cell>
          <cell r="E824">
            <v>20523</v>
          </cell>
        </row>
        <row r="825">
          <cell r="D825" t="str">
            <v>Pavussu</v>
          </cell>
          <cell r="E825">
            <v>3677</v>
          </cell>
        </row>
        <row r="826">
          <cell r="D826" t="str">
            <v>Pedro II</v>
          </cell>
          <cell r="E826">
            <v>38742</v>
          </cell>
        </row>
        <row r="827">
          <cell r="D827" t="str">
            <v>Pedro Laurentino</v>
          </cell>
          <cell r="E827">
            <v>2536</v>
          </cell>
        </row>
        <row r="828">
          <cell r="D828" t="str">
            <v>Nova Santa Rita</v>
          </cell>
          <cell r="E828">
            <v>4374</v>
          </cell>
        </row>
        <row r="829">
          <cell r="D829" t="str">
            <v>Picos</v>
          </cell>
          <cell r="E829">
            <v>78222</v>
          </cell>
        </row>
        <row r="830">
          <cell r="D830" t="str">
            <v>Pimenteiras</v>
          </cell>
          <cell r="E830">
            <v>12127</v>
          </cell>
        </row>
        <row r="831">
          <cell r="D831" t="str">
            <v>Pio IX</v>
          </cell>
          <cell r="E831">
            <v>18425</v>
          </cell>
        </row>
        <row r="832">
          <cell r="D832" t="str">
            <v>Piracuruca</v>
          </cell>
          <cell r="E832">
            <v>28791</v>
          </cell>
        </row>
        <row r="833">
          <cell r="D833" t="str">
            <v>Piripiri</v>
          </cell>
          <cell r="E833">
            <v>63742</v>
          </cell>
        </row>
        <row r="834">
          <cell r="D834" t="str">
            <v>Porto</v>
          </cell>
          <cell r="E834">
            <v>12568</v>
          </cell>
        </row>
        <row r="835">
          <cell r="D835" t="str">
            <v>Porto Alegre do Piauí</v>
          </cell>
          <cell r="E835">
            <v>2710</v>
          </cell>
        </row>
        <row r="836">
          <cell r="D836" t="str">
            <v>Prata do Piauí</v>
          </cell>
          <cell r="E836">
            <v>3151</v>
          </cell>
        </row>
        <row r="837">
          <cell r="D837" t="str">
            <v>Queimada Nova</v>
          </cell>
          <cell r="E837">
            <v>8992</v>
          </cell>
        </row>
        <row r="838">
          <cell r="D838" t="str">
            <v>Redenção do Gurguéia</v>
          </cell>
          <cell r="E838">
            <v>8778</v>
          </cell>
        </row>
        <row r="839">
          <cell r="D839" t="str">
            <v>Regeneração</v>
          </cell>
          <cell r="E839">
            <v>17978</v>
          </cell>
        </row>
        <row r="840">
          <cell r="D840" t="str">
            <v>Riacho Frio</v>
          </cell>
          <cell r="E840">
            <v>4312</v>
          </cell>
        </row>
        <row r="841">
          <cell r="D841" t="str">
            <v>Ribeira do Piauí</v>
          </cell>
          <cell r="E841">
            <v>4477</v>
          </cell>
        </row>
        <row r="842">
          <cell r="D842" t="str">
            <v>Ribeiro Gonçalves</v>
          </cell>
          <cell r="E842">
            <v>7341</v>
          </cell>
        </row>
        <row r="843">
          <cell r="D843" t="str">
            <v>Rio Grande do Piauí</v>
          </cell>
          <cell r="E843">
            <v>6432</v>
          </cell>
        </row>
        <row r="844">
          <cell r="D844" t="str">
            <v>Santa Cruz do Piauí</v>
          </cell>
          <cell r="E844">
            <v>6240</v>
          </cell>
        </row>
        <row r="845">
          <cell r="D845" t="str">
            <v>Santa Cruz dos Milagres</v>
          </cell>
          <cell r="E845">
            <v>4019</v>
          </cell>
        </row>
        <row r="846">
          <cell r="D846" t="str">
            <v>Santa Filomena</v>
          </cell>
          <cell r="E846">
            <v>6253</v>
          </cell>
        </row>
        <row r="847">
          <cell r="D847" t="str">
            <v>Santa Luz</v>
          </cell>
          <cell r="E847">
            <v>5860</v>
          </cell>
        </row>
        <row r="848">
          <cell r="D848" t="str">
            <v>Santana do Piauí</v>
          </cell>
          <cell r="E848">
            <v>4634</v>
          </cell>
        </row>
        <row r="849">
          <cell r="D849" t="str">
            <v>Santa Rosa do Piauí</v>
          </cell>
          <cell r="E849">
            <v>5257</v>
          </cell>
        </row>
        <row r="850">
          <cell r="D850" t="str">
            <v>Santo Antônio de Lisboa</v>
          </cell>
          <cell r="E850">
            <v>6415</v>
          </cell>
        </row>
        <row r="851">
          <cell r="D851" t="str">
            <v>Santo Antônio dos Milagres</v>
          </cell>
          <cell r="E851">
            <v>2161</v>
          </cell>
        </row>
        <row r="852">
          <cell r="D852" t="str">
            <v>Santo Inácio do Piauí</v>
          </cell>
          <cell r="E852">
            <v>3798</v>
          </cell>
        </row>
        <row r="853">
          <cell r="D853" t="str">
            <v>São Braz do Piauí</v>
          </cell>
          <cell r="E853">
            <v>4448</v>
          </cell>
        </row>
        <row r="854">
          <cell r="D854" t="str">
            <v>São Félix do Piauí</v>
          </cell>
          <cell r="E854">
            <v>2942</v>
          </cell>
        </row>
        <row r="855">
          <cell r="D855" t="str">
            <v>São Francisco de Assis do Piauí</v>
          </cell>
          <cell r="E855">
            <v>5755</v>
          </cell>
        </row>
        <row r="856">
          <cell r="D856" t="str">
            <v>São Francisco do Piauí</v>
          </cell>
          <cell r="E856">
            <v>6423</v>
          </cell>
        </row>
        <row r="857">
          <cell r="D857" t="str">
            <v>São Gonçalo do Gurguéia</v>
          </cell>
          <cell r="E857">
            <v>3041</v>
          </cell>
        </row>
        <row r="858">
          <cell r="D858" t="str">
            <v>São Gonçalo do Piauí</v>
          </cell>
          <cell r="E858">
            <v>5015</v>
          </cell>
        </row>
        <row r="859">
          <cell r="D859" t="str">
            <v>São João da Canabrava</v>
          </cell>
          <cell r="E859">
            <v>4608</v>
          </cell>
        </row>
        <row r="860">
          <cell r="D860" t="str">
            <v>São João da Fronteira</v>
          </cell>
          <cell r="E860">
            <v>6042</v>
          </cell>
        </row>
        <row r="861">
          <cell r="D861" t="str">
            <v>São João da Serra</v>
          </cell>
          <cell r="E861">
            <v>6139</v>
          </cell>
        </row>
        <row r="862">
          <cell r="D862" t="str">
            <v>São João da Varjota</v>
          </cell>
          <cell r="E862">
            <v>4840</v>
          </cell>
        </row>
        <row r="863">
          <cell r="D863" t="str">
            <v>São João do Arraial</v>
          </cell>
          <cell r="E863">
            <v>7989</v>
          </cell>
        </row>
        <row r="864">
          <cell r="D864" t="str">
            <v>São João do Piauí</v>
          </cell>
          <cell r="E864">
            <v>20601</v>
          </cell>
        </row>
        <row r="865">
          <cell r="D865" t="str">
            <v>São José do Divino</v>
          </cell>
          <cell r="E865">
            <v>5346</v>
          </cell>
        </row>
        <row r="866">
          <cell r="D866" t="str">
            <v>São José do Peixe</v>
          </cell>
          <cell r="E866">
            <v>3745</v>
          </cell>
        </row>
        <row r="867">
          <cell r="D867" t="str">
            <v>São José do Piauí</v>
          </cell>
          <cell r="E867">
            <v>6705</v>
          </cell>
        </row>
        <row r="868">
          <cell r="D868" t="str">
            <v>São Julião</v>
          </cell>
          <cell r="E868">
            <v>6363</v>
          </cell>
        </row>
        <row r="869">
          <cell r="D869" t="str">
            <v>São Lourenço do Piauí</v>
          </cell>
          <cell r="E869">
            <v>4573</v>
          </cell>
        </row>
        <row r="870">
          <cell r="D870" t="str">
            <v>São Luis do Piauí</v>
          </cell>
          <cell r="E870">
            <v>2644</v>
          </cell>
        </row>
        <row r="871">
          <cell r="D871" t="str">
            <v>São Miguel da Baixa Grande</v>
          </cell>
          <cell r="E871">
            <v>2452</v>
          </cell>
        </row>
        <row r="872">
          <cell r="D872" t="str">
            <v>São Miguel do Fidalgo</v>
          </cell>
          <cell r="E872">
            <v>3039</v>
          </cell>
        </row>
        <row r="873">
          <cell r="D873" t="str">
            <v>São Miguel do Tapuio</v>
          </cell>
          <cell r="E873">
            <v>17662</v>
          </cell>
        </row>
        <row r="874">
          <cell r="D874" t="str">
            <v>São Pedro do Piauí</v>
          </cell>
          <cell r="E874">
            <v>14291</v>
          </cell>
        </row>
        <row r="875">
          <cell r="D875" t="str">
            <v>São Raimundo Nonato</v>
          </cell>
          <cell r="E875">
            <v>34710</v>
          </cell>
        </row>
        <row r="876">
          <cell r="D876" t="str">
            <v>Sebastião Barros</v>
          </cell>
          <cell r="E876">
            <v>3469</v>
          </cell>
        </row>
        <row r="877">
          <cell r="D877" t="str">
            <v>Sebastião Leal</v>
          </cell>
          <cell r="E877">
            <v>4294</v>
          </cell>
        </row>
        <row r="878">
          <cell r="D878" t="str">
            <v>Sigefredo Pacheco</v>
          </cell>
          <cell r="E878">
            <v>10041</v>
          </cell>
        </row>
        <row r="879">
          <cell r="D879" t="str">
            <v>Simões</v>
          </cell>
          <cell r="E879">
            <v>14633</v>
          </cell>
        </row>
        <row r="880">
          <cell r="D880" t="str">
            <v>Simplício Mendes</v>
          </cell>
          <cell r="E880">
            <v>12711</v>
          </cell>
        </row>
        <row r="881">
          <cell r="D881" t="str">
            <v>Socorro do Piauí</v>
          </cell>
          <cell r="E881">
            <v>4569</v>
          </cell>
        </row>
        <row r="882">
          <cell r="D882" t="str">
            <v>Sussuapara</v>
          </cell>
          <cell r="E882">
            <v>6730</v>
          </cell>
        </row>
        <row r="883">
          <cell r="D883" t="str">
            <v>Tamboril do Piauí</v>
          </cell>
          <cell r="E883">
            <v>2919</v>
          </cell>
        </row>
        <row r="884">
          <cell r="D884" t="str">
            <v>Tanque do Piauí</v>
          </cell>
          <cell r="E884">
            <v>2765</v>
          </cell>
        </row>
        <row r="885">
          <cell r="D885" t="str">
            <v>Teresina</v>
          </cell>
          <cell r="E885">
            <v>864845</v>
          </cell>
        </row>
        <row r="886">
          <cell r="D886" t="str">
            <v>União</v>
          </cell>
          <cell r="E886">
            <v>44485</v>
          </cell>
        </row>
        <row r="887">
          <cell r="D887" t="str">
            <v>Uruçuí</v>
          </cell>
          <cell r="E887">
            <v>21558</v>
          </cell>
        </row>
        <row r="888">
          <cell r="D888" t="str">
            <v>Valença do Piauí</v>
          </cell>
          <cell r="E888">
            <v>20918</v>
          </cell>
        </row>
        <row r="889">
          <cell r="D889" t="str">
            <v>Várzea Branca</v>
          </cell>
          <cell r="E889">
            <v>4947</v>
          </cell>
        </row>
        <row r="890">
          <cell r="D890" t="str">
            <v>Várzea Grande</v>
          </cell>
          <cell r="E890">
            <v>4391</v>
          </cell>
        </row>
        <row r="891">
          <cell r="D891" t="str">
            <v>Vera Mendes</v>
          </cell>
          <cell r="E891">
            <v>3077</v>
          </cell>
        </row>
        <row r="892">
          <cell r="D892" t="str">
            <v>Vila Nova do Piauí</v>
          </cell>
          <cell r="E892">
            <v>2971</v>
          </cell>
        </row>
        <row r="893">
          <cell r="D893" t="str">
            <v>Wall Ferraz</v>
          </cell>
          <cell r="E893">
            <v>4462</v>
          </cell>
        </row>
        <row r="894">
          <cell r="D894" t="str">
            <v>Abaiara</v>
          </cell>
          <cell r="E894">
            <v>11737</v>
          </cell>
        </row>
        <row r="895">
          <cell r="D895" t="str">
            <v>Acarape</v>
          </cell>
          <cell r="E895">
            <v>14929</v>
          </cell>
        </row>
        <row r="896">
          <cell r="D896" t="str">
            <v>Acaraú</v>
          </cell>
          <cell r="E896">
            <v>62641</v>
          </cell>
        </row>
        <row r="897">
          <cell r="D897" t="str">
            <v>Acopiara</v>
          </cell>
          <cell r="E897">
            <v>54270</v>
          </cell>
        </row>
        <row r="898">
          <cell r="D898" t="str">
            <v>Aiuaba</v>
          </cell>
          <cell r="E898">
            <v>17399</v>
          </cell>
        </row>
        <row r="899">
          <cell r="D899" t="str">
            <v>Alcântaras</v>
          </cell>
          <cell r="E899">
            <v>11714</v>
          </cell>
        </row>
        <row r="900">
          <cell r="D900" t="str">
            <v>Altaneira</v>
          </cell>
          <cell r="E900">
            <v>7586</v>
          </cell>
        </row>
        <row r="901">
          <cell r="D901" t="str">
            <v>Alto Santo</v>
          </cell>
          <cell r="E901">
            <v>17146</v>
          </cell>
        </row>
        <row r="902">
          <cell r="D902" t="str">
            <v>Amontada</v>
          </cell>
          <cell r="E902">
            <v>43452</v>
          </cell>
        </row>
        <row r="903">
          <cell r="D903" t="str">
            <v>Antonina do Norte</v>
          </cell>
          <cell r="E903">
            <v>7353</v>
          </cell>
        </row>
        <row r="904">
          <cell r="D904" t="str">
            <v>Apuiarés</v>
          </cell>
          <cell r="E904">
            <v>14600</v>
          </cell>
        </row>
        <row r="905">
          <cell r="D905" t="str">
            <v>Aquiraz</v>
          </cell>
          <cell r="E905">
            <v>80271</v>
          </cell>
        </row>
        <row r="906">
          <cell r="D906" t="str">
            <v>Aracati</v>
          </cell>
          <cell r="E906">
            <v>74547</v>
          </cell>
        </row>
        <row r="907">
          <cell r="D907" t="str">
            <v>Aracoiaba</v>
          </cell>
          <cell r="E907">
            <v>26469</v>
          </cell>
        </row>
        <row r="908">
          <cell r="D908" t="str">
            <v>Ararendá</v>
          </cell>
          <cell r="E908">
            <v>10935</v>
          </cell>
        </row>
        <row r="909">
          <cell r="D909" t="str">
            <v>Araripe</v>
          </cell>
          <cell r="E909">
            <v>21600</v>
          </cell>
        </row>
        <row r="910">
          <cell r="D910" t="str">
            <v>Aratuba</v>
          </cell>
          <cell r="E910">
            <v>11847</v>
          </cell>
        </row>
        <row r="911">
          <cell r="D911" t="str">
            <v>Arneiroz</v>
          </cell>
          <cell r="E911">
            <v>7840</v>
          </cell>
        </row>
        <row r="912">
          <cell r="D912" t="str">
            <v>Assaré</v>
          </cell>
          <cell r="E912">
            <v>23417</v>
          </cell>
        </row>
        <row r="913">
          <cell r="D913" t="str">
            <v>Aurora</v>
          </cell>
          <cell r="E913">
            <v>24654</v>
          </cell>
        </row>
        <row r="914">
          <cell r="D914" t="str">
            <v>Baixio</v>
          </cell>
          <cell r="E914">
            <v>6288</v>
          </cell>
        </row>
        <row r="915">
          <cell r="D915" t="str">
            <v>Banabuiú</v>
          </cell>
          <cell r="E915">
            <v>18197</v>
          </cell>
        </row>
        <row r="916">
          <cell r="D916" t="str">
            <v>Barbalha</v>
          </cell>
          <cell r="E916">
            <v>59732</v>
          </cell>
        </row>
        <row r="917">
          <cell r="D917" t="str">
            <v>Barreira</v>
          </cell>
          <cell r="E917">
            <v>22425</v>
          </cell>
        </row>
        <row r="918">
          <cell r="D918" t="str">
            <v>Barro</v>
          </cell>
          <cell r="E918">
            <v>22680</v>
          </cell>
        </row>
        <row r="919">
          <cell r="D919" t="str">
            <v>Barroquinha</v>
          </cell>
          <cell r="E919">
            <v>15017</v>
          </cell>
        </row>
        <row r="920">
          <cell r="D920" t="str">
            <v>Baturité</v>
          </cell>
          <cell r="E920">
            <v>35750</v>
          </cell>
        </row>
        <row r="921">
          <cell r="D921" t="str">
            <v>Beberibe</v>
          </cell>
          <cell r="E921">
            <v>53573</v>
          </cell>
        </row>
        <row r="922">
          <cell r="D922" t="str">
            <v>Bela Cruz</v>
          </cell>
          <cell r="E922">
            <v>32591</v>
          </cell>
        </row>
        <row r="923">
          <cell r="D923" t="str">
            <v>Boa Viagem</v>
          </cell>
          <cell r="E923">
            <v>54470</v>
          </cell>
        </row>
        <row r="924">
          <cell r="D924" t="str">
            <v>Brejo Santo</v>
          </cell>
          <cell r="E924">
            <v>49477</v>
          </cell>
        </row>
        <row r="925">
          <cell r="D925" t="str">
            <v>Camocim</v>
          </cell>
          <cell r="E925">
            <v>63661</v>
          </cell>
        </row>
        <row r="926">
          <cell r="D926" t="str">
            <v>Campos Sales</v>
          </cell>
          <cell r="E926">
            <v>27426</v>
          </cell>
        </row>
        <row r="927">
          <cell r="D927" t="str">
            <v>Canindé</v>
          </cell>
          <cell r="E927">
            <v>76997</v>
          </cell>
        </row>
        <row r="928">
          <cell r="D928" t="str">
            <v>Capistrano</v>
          </cell>
          <cell r="E928">
            <v>17738</v>
          </cell>
        </row>
        <row r="929">
          <cell r="D929" t="str">
            <v>Caridade</v>
          </cell>
          <cell r="E929">
            <v>22547</v>
          </cell>
        </row>
        <row r="930">
          <cell r="D930" t="str">
            <v>Cariré</v>
          </cell>
          <cell r="E930">
            <v>18448</v>
          </cell>
        </row>
        <row r="931">
          <cell r="D931" t="str">
            <v>Caririaçu</v>
          </cell>
          <cell r="E931">
            <v>26965</v>
          </cell>
        </row>
        <row r="932">
          <cell r="D932" t="str">
            <v>Cariús</v>
          </cell>
          <cell r="E932">
            <v>18699</v>
          </cell>
        </row>
        <row r="933">
          <cell r="D933" t="str">
            <v>Carnaubal</v>
          </cell>
          <cell r="E933">
            <v>17606</v>
          </cell>
        </row>
        <row r="934">
          <cell r="D934" t="str">
            <v>Cascavel</v>
          </cell>
          <cell r="E934">
            <v>71743</v>
          </cell>
        </row>
        <row r="935">
          <cell r="D935" t="str">
            <v>Catarina</v>
          </cell>
          <cell r="E935">
            <v>20698</v>
          </cell>
        </row>
        <row r="936">
          <cell r="D936" t="str">
            <v>Catunda</v>
          </cell>
          <cell r="E936">
            <v>10342</v>
          </cell>
        </row>
        <row r="937">
          <cell r="D937" t="str">
            <v>Caucaia</v>
          </cell>
          <cell r="E937">
            <v>361400</v>
          </cell>
        </row>
        <row r="938">
          <cell r="D938" t="str">
            <v>Cedro</v>
          </cell>
          <cell r="E938">
            <v>25557</v>
          </cell>
        </row>
        <row r="939">
          <cell r="D939" t="str">
            <v>Chaval</v>
          </cell>
          <cell r="E939">
            <v>13069</v>
          </cell>
        </row>
        <row r="940">
          <cell r="D940" t="str">
            <v>Choró</v>
          </cell>
          <cell r="E940">
            <v>13521</v>
          </cell>
        </row>
        <row r="941">
          <cell r="D941" t="str">
            <v>Chorozinho</v>
          </cell>
          <cell r="E941">
            <v>20264</v>
          </cell>
        </row>
        <row r="942">
          <cell r="D942" t="str">
            <v>Coreaú</v>
          </cell>
          <cell r="E942">
            <v>23136</v>
          </cell>
        </row>
        <row r="943">
          <cell r="D943" t="str">
            <v>Crateús</v>
          </cell>
          <cell r="E943">
            <v>75074</v>
          </cell>
        </row>
        <row r="944">
          <cell r="D944" t="str">
            <v>Crato</v>
          </cell>
          <cell r="E944">
            <v>132123</v>
          </cell>
        </row>
        <row r="945">
          <cell r="D945" t="str">
            <v>Croatá</v>
          </cell>
          <cell r="E945">
            <v>18063</v>
          </cell>
        </row>
        <row r="946">
          <cell r="D946" t="str">
            <v>Cruz</v>
          </cell>
          <cell r="E946">
            <v>24827</v>
          </cell>
        </row>
        <row r="947">
          <cell r="D947" t="str">
            <v>Deputado Irapuan Pinheiro</v>
          </cell>
          <cell r="E947">
            <v>9625</v>
          </cell>
        </row>
        <row r="948">
          <cell r="D948" t="str">
            <v>Ererê</v>
          </cell>
          <cell r="E948">
            <v>7198</v>
          </cell>
        </row>
        <row r="949">
          <cell r="D949" t="str">
            <v>Eusébio</v>
          </cell>
          <cell r="E949">
            <v>53618</v>
          </cell>
        </row>
        <row r="950">
          <cell r="D950" t="str">
            <v>Farias Brito</v>
          </cell>
          <cell r="E950">
            <v>19450</v>
          </cell>
        </row>
        <row r="951">
          <cell r="D951" t="str">
            <v>Forquilha</v>
          </cell>
          <cell r="E951">
            <v>24218</v>
          </cell>
        </row>
        <row r="952">
          <cell r="D952" t="str">
            <v>Fortaleza</v>
          </cell>
          <cell r="E952">
            <v>2669342</v>
          </cell>
        </row>
        <row r="953">
          <cell r="D953" t="str">
            <v>Fortim</v>
          </cell>
          <cell r="E953">
            <v>16480</v>
          </cell>
        </row>
        <row r="954">
          <cell r="D954" t="str">
            <v>Frecheirinha</v>
          </cell>
          <cell r="E954">
            <v>14072</v>
          </cell>
        </row>
        <row r="955">
          <cell r="D955" t="str">
            <v>General Sampaio</v>
          </cell>
          <cell r="E955">
            <v>7618</v>
          </cell>
        </row>
        <row r="956">
          <cell r="D956" t="str">
            <v>Graça</v>
          </cell>
          <cell r="E956">
            <v>14399</v>
          </cell>
        </row>
        <row r="957">
          <cell r="D957" t="str">
            <v>Granja</v>
          </cell>
          <cell r="E957">
            <v>54748</v>
          </cell>
        </row>
        <row r="958">
          <cell r="D958" t="str">
            <v>Granjeiro</v>
          </cell>
          <cell r="E958">
            <v>4844</v>
          </cell>
        </row>
        <row r="959">
          <cell r="D959" t="str">
            <v>Groaíras</v>
          </cell>
          <cell r="E959">
            <v>11068</v>
          </cell>
        </row>
        <row r="960">
          <cell r="D960" t="str">
            <v>Guaiúba</v>
          </cell>
          <cell r="E960">
            <v>26064</v>
          </cell>
        </row>
        <row r="961">
          <cell r="D961" t="str">
            <v>Guaraciaba do Norte</v>
          </cell>
          <cell r="E961">
            <v>40642</v>
          </cell>
        </row>
        <row r="962">
          <cell r="D962" t="str">
            <v>Guaramiranga</v>
          </cell>
          <cell r="E962">
            <v>5193</v>
          </cell>
        </row>
        <row r="963">
          <cell r="D963" t="str">
            <v>Hidrolândia</v>
          </cell>
          <cell r="E963">
            <v>19978</v>
          </cell>
        </row>
        <row r="964">
          <cell r="D964" t="str">
            <v>Horizonte</v>
          </cell>
          <cell r="E964">
            <v>67337</v>
          </cell>
        </row>
        <row r="965">
          <cell r="D965" t="str">
            <v>Ibaretama</v>
          </cell>
          <cell r="E965">
            <v>13353</v>
          </cell>
        </row>
        <row r="966">
          <cell r="D966" t="str">
            <v>Ibiapina</v>
          </cell>
          <cell r="E966">
            <v>24997</v>
          </cell>
        </row>
        <row r="967">
          <cell r="D967" t="str">
            <v>Ibicuitinga</v>
          </cell>
          <cell r="E967">
            <v>12525</v>
          </cell>
        </row>
        <row r="968">
          <cell r="D968" t="str">
            <v>Icapuí</v>
          </cell>
          <cell r="E968">
            <v>19934</v>
          </cell>
        </row>
        <row r="969">
          <cell r="D969" t="str">
            <v>Icó</v>
          </cell>
          <cell r="E969">
            <v>68018</v>
          </cell>
        </row>
        <row r="970">
          <cell r="D970" t="str">
            <v>Iguatu</v>
          </cell>
          <cell r="E970">
            <v>102498</v>
          </cell>
        </row>
        <row r="971">
          <cell r="D971" t="str">
            <v>Independência</v>
          </cell>
          <cell r="E971">
            <v>26178</v>
          </cell>
        </row>
        <row r="972">
          <cell r="D972" t="str">
            <v>Ipaporanga</v>
          </cell>
          <cell r="E972">
            <v>11593</v>
          </cell>
        </row>
        <row r="973">
          <cell r="D973" t="str">
            <v>Ipaumirim</v>
          </cell>
          <cell r="E973">
            <v>12463</v>
          </cell>
        </row>
        <row r="974">
          <cell r="D974" t="str">
            <v>Ipu</v>
          </cell>
          <cell r="E974">
            <v>41964</v>
          </cell>
        </row>
        <row r="975">
          <cell r="D975" t="str">
            <v>Ipueiras</v>
          </cell>
          <cell r="E975">
            <v>38166</v>
          </cell>
        </row>
        <row r="976">
          <cell r="D976" t="str">
            <v>Iracema</v>
          </cell>
          <cell r="E976">
            <v>14297</v>
          </cell>
        </row>
        <row r="977">
          <cell r="D977" t="str">
            <v>Irauçuba</v>
          </cell>
          <cell r="E977">
            <v>24156</v>
          </cell>
        </row>
        <row r="978">
          <cell r="D978" t="str">
            <v>Itaiçaba</v>
          </cell>
          <cell r="E978">
            <v>7827</v>
          </cell>
        </row>
        <row r="979">
          <cell r="D979" t="str">
            <v>Itaitinga</v>
          </cell>
          <cell r="E979">
            <v>37980</v>
          </cell>
        </row>
        <row r="980">
          <cell r="D980" t="str">
            <v>Itapajé</v>
          </cell>
          <cell r="E980">
            <v>52675</v>
          </cell>
        </row>
        <row r="981">
          <cell r="D981" t="str">
            <v>Itapipoca</v>
          </cell>
          <cell r="E981">
            <v>129358</v>
          </cell>
        </row>
        <row r="982">
          <cell r="D982" t="str">
            <v>Itapiúna</v>
          </cell>
          <cell r="E982">
            <v>20382</v>
          </cell>
        </row>
        <row r="983">
          <cell r="D983" t="str">
            <v>Itarema</v>
          </cell>
          <cell r="E983">
            <v>41826</v>
          </cell>
        </row>
        <row r="984">
          <cell r="D984" t="str">
            <v>Itatira</v>
          </cell>
          <cell r="E984">
            <v>21647</v>
          </cell>
        </row>
        <row r="985">
          <cell r="D985" t="str">
            <v>Jaguaretama</v>
          </cell>
          <cell r="E985">
            <v>18162</v>
          </cell>
        </row>
        <row r="986">
          <cell r="D986" t="str">
            <v>Jaguaribara</v>
          </cell>
          <cell r="E986">
            <v>11401</v>
          </cell>
        </row>
        <row r="987">
          <cell r="D987" t="str">
            <v>Jaguaribe</v>
          </cell>
          <cell r="E987">
            <v>34682</v>
          </cell>
        </row>
        <row r="988">
          <cell r="D988" t="str">
            <v>Jaguaruana</v>
          </cell>
          <cell r="E988">
            <v>33705</v>
          </cell>
        </row>
        <row r="989">
          <cell r="D989" t="str">
            <v>Jardim</v>
          </cell>
          <cell r="E989">
            <v>27174</v>
          </cell>
        </row>
        <row r="990">
          <cell r="D990" t="str">
            <v>Jati</v>
          </cell>
          <cell r="E990">
            <v>8111</v>
          </cell>
        </row>
        <row r="991">
          <cell r="D991" t="str">
            <v>Jijoca de Jericoacoara</v>
          </cell>
          <cell r="E991">
            <v>19816</v>
          </cell>
        </row>
        <row r="992">
          <cell r="D992" t="str">
            <v>Juazeiro do Norte</v>
          </cell>
          <cell r="E992">
            <v>274207</v>
          </cell>
        </row>
        <row r="993">
          <cell r="D993" t="str">
            <v>Jucás</v>
          </cell>
          <cell r="E993">
            <v>24833</v>
          </cell>
        </row>
        <row r="994">
          <cell r="D994" t="str">
            <v>Lavras da Mangabeira</v>
          </cell>
          <cell r="E994">
            <v>31508</v>
          </cell>
        </row>
        <row r="995">
          <cell r="D995" t="str">
            <v>Limoeiro do Norte</v>
          </cell>
          <cell r="E995">
            <v>59540</v>
          </cell>
        </row>
        <row r="996">
          <cell r="D996" t="str">
            <v>Madalena</v>
          </cell>
          <cell r="E996">
            <v>19691</v>
          </cell>
        </row>
        <row r="997">
          <cell r="D997" t="str">
            <v>Maracanaú</v>
          </cell>
          <cell r="E997">
            <v>227886</v>
          </cell>
        </row>
        <row r="998">
          <cell r="D998" t="str">
            <v>Maranguape</v>
          </cell>
          <cell r="E998">
            <v>128978</v>
          </cell>
        </row>
        <row r="999">
          <cell r="D999" t="str">
            <v>Marco</v>
          </cell>
          <cell r="E999">
            <v>27361</v>
          </cell>
        </row>
        <row r="1000">
          <cell r="D1000" t="str">
            <v>Martinópole</v>
          </cell>
          <cell r="E1000">
            <v>11233</v>
          </cell>
        </row>
        <row r="1001">
          <cell r="D1001" t="str">
            <v>Massapê</v>
          </cell>
          <cell r="E1001">
            <v>38737</v>
          </cell>
        </row>
        <row r="1002">
          <cell r="D1002" t="str">
            <v>Mauriti</v>
          </cell>
          <cell r="E1002">
            <v>47962</v>
          </cell>
        </row>
        <row r="1003">
          <cell r="D1003" t="str">
            <v>Meruoca</v>
          </cell>
          <cell r="E1003">
            <v>15057</v>
          </cell>
        </row>
        <row r="1004">
          <cell r="D1004" t="str">
            <v>Milagres</v>
          </cell>
          <cell r="E1004">
            <v>27512</v>
          </cell>
        </row>
        <row r="1005">
          <cell r="D1005" t="str">
            <v>Milhã</v>
          </cell>
          <cell r="E1005">
            <v>13155</v>
          </cell>
        </row>
        <row r="1006">
          <cell r="D1006" t="str">
            <v>Miraíma</v>
          </cell>
          <cell r="E1006">
            <v>13818</v>
          </cell>
        </row>
        <row r="1007">
          <cell r="D1007" t="str">
            <v>Missão Velha</v>
          </cell>
          <cell r="E1007">
            <v>36442</v>
          </cell>
        </row>
        <row r="1008">
          <cell r="D1008" t="str">
            <v>Mombaça</v>
          </cell>
          <cell r="E1008">
            <v>43797</v>
          </cell>
        </row>
        <row r="1009">
          <cell r="D1009" t="str">
            <v>Monsenhor Tabosa</v>
          </cell>
          <cell r="E1009">
            <v>17234</v>
          </cell>
        </row>
        <row r="1010">
          <cell r="D1010" t="str">
            <v>Morada Nova</v>
          </cell>
          <cell r="E1010">
            <v>61890</v>
          </cell>
        </row>
        <row r="1011">
          <cell r="D1011" t="str">
            <v>Moraújo</v>
          </cell>
          <cell r="E1011">
            <v>8724</v>
          </cell>
        </row>
        <row r="1012">
          <cell r="D1012" t="str">
            <v>Morrinhos</v>
          </cell>
          <cell r="E1012">
            <v>22534</v>
          </cell>
        </row>
        <row r="1013">
          <cell r="D1013" t="str">
            <v>Mucambo</v>
          </cell>
          <cell r="E1013">
            <v>14537</v>
          </cell>
        </row>
        <row r="1014">
          <cell r="D1014" t="str">
            <v>Mulungu</v>
          </cell>
          <cell r="E1014">
            <v>10823</v>
          </cell>
        </row>
        <row r="1015">
          <cell r="D1015" t="str">
            <v>Nova Olinda</v>
          </cell>
          <cell r="E1015">
            <v>15565</v>
          </cell>
        </row>
        <row r="1016">
          <cell r="D1016" t="str">
            <v>Nova Russas</v>
          </cell>
          <cell r="E1016">
            <v>32328</v>
          </cell>
        </row>
        <row r="1017">
          <cell r="D1017" t="str">
            <v>Novo Oriente</v>
          </cell>
          <cell r="E1017">
            <v>28607</v>
          </cell>
        </row>
        <row r="1018">
          <cell r="D1018" t="str">
            <v>Ocara</v>
          </cell>
          <cell r="E1018">
            <v>25703</v>
          </cell>
        </row>
        <row r="1019">
          <cell r="D1019" t="str">
            <v>Orós</v>
          </cell>
          <cell r="E1019">
            <v>21427</v>
          </cell>
        </row>
        <row r="1020">
          <cell r="D1020" t="str">
            <v>Pacajus</v>
          </cell>
          <cell r="E1020">
            <v>72203</v>
          </cell>
        </row>
        <row r="1021">
          <cell r="D1021" t="str">
            <v>Pacatuba</v>
          </cell>
          <cell r="E1021">
            <v>83432</v>
          </cell>
        </row>
        <row r="1022">
          <cell r="D1022" t="str">
            <v>Pacoti</v>
          </cell>
          <cell r="E1022">
            <v>12261</v>
          </cell>
        </row>
        <row r="1023">
          <cell r="D1023" t="str">
            <v>Pacujá</v>
          </cell>
          <cell r="E1023">
            <v>6533</v>
          </cell>
        </row>
        <row r="1024">
          <cell r="D1024" t="str">
            <v>Palhano</v>
          </cell>
          <cell r="E1024">
            <v>9386</v>
          </cell>
        </row>
        <row r="1025">
          <cell r="D1025" t="str">
            <v>Palmácia</v>
          </cell>
          <cell r="E1025">
            <v>13322</v>
          </cell>
        </row>
        <row r="1026">
          <cell r="D1026" t="str">
            <v>Paracuru</v>
          </cell>
          <cell r="E1026">
            <v>35076</v>
          </cell>
        </row>
        <row r="1027">
          <cell r="D1027" t="str">
            <v>Paraipaba</v>
          </cell>
          <cell r="E1027">
            <v>32744</v>
          </cell>
        </row>
        <row r="1028">
          <cell r="D1028" t="str">
            <v>Parambu</v>
          </cell>
          <cell r="E1028">
            <v>31521</v>
          </cell>
        </row>
        <row r="1029">
          <cell r="D1029" t="str">
            <v>Paramoti</v>
          </cell>
          <cell r="E1029">
            <v>12226</v>
          </cell>
        </row>
        <row r="1030">
          <cell r="D1030" t="str">
            <v>Pedra Branca</v>
          </cell>
          <cell r="E1030">
            <v>43258</v>
          </cell>
        </row>
        <row r="1031">
          <cell r="D1031" t="str">
            <v>Penaforte</v>
          </cell>
          <cell r="E1031">
            <v>9077</v>
          </cell>
        </row>
        <row r="1032">
          <cell r="D1032" t="str">
            <v>Pentecoste</v>
          </cell>
          <cell r="E1032">
            <v>37751</v>
          </cell>
        </row>
        <row r="1033">
          <cell r="D1033" t="str">
            <v>Pereiro</v>
          </cell>
          <cell r="E1033">
            <v>16307</v>
          </cell>
        </row>
        <row r="1034">
          <cell r="D1034" t="str">
            <v>Pindoretama</v>
          </cell>
          <cell r="E1034">
            <v>20567</v>
          </cell>
        </row>
        <row r="1035">
          <cell r="D1035" t="str">
            <v>Piquet Carneiro</v>
          </cell>
          <cell r="E1035">
            <v>16959</v>
          </cell>
        </row>
        <row r="1036">
          <cell r="D1036" t="str">
            <v>Pires Ferreira</v>
          </cell>
          <cell r="E1036">
            <v>10951</v>
          </cell>
        </row>
        <row r="1037">
          <cell r="D1037" t="str">
            <v>Poranga</v>
          </cell>
          <cell r="E1037">
            <v>12336</v>
          </cell>
        </row>
        <row r="1038">
          <cell r="D1038" t="str">
            <v>Porteiras</v>
          </cell>
          <cell r="E1038">
            <v>14996</v>
          </cell>
        </row>
        <row r="1039">
          <cell r="D1039" t="str">
            <v>Potengi</v>
          </cell>
          <cell r="E1039">
            <v>11045</v>
          </cell>
        </row>
        <row r="1040">
          <cell r="D1040" t="str">
            <v>Potiretama</v>
          </cell>
          <cell r="E1040">
            <v>6419</v>
          </cell>
        </row>
        <row r="1041">
          <cell r="D1041" t="str">
            <v>Quiterianópolis</v>
          </cell>
          <cell r="E1041">
            <v>21084</v>
          </cell>
        </row>
        <row r="1042">
          <cell r="D1042" t="str">
            <v>Quixadá</v>
          </cell>
          <cell r="E1042">
            <v>87728</v>
          </cell>
        </row>
        <row r="1043">
          <cell r="D1043" t="str">
            <v>Quixelô</v>
          </cell>
          <cell r="E1043">
            <v>16178</v>
          </cell>
        </row>
        <row r="1044">
          <cell r="D1044" t="str">
            <v>Quixeramobim</v>
          </cell>
          <cell r="E1044">
            <v>81082</v>
          </cell>
        </row>
        <row r="1045">
          <cell r="D1045" t="str">
            <v>Quixeré</v>
          </cell>
          <cell r="E1045">
            <v>22149</v>
          </cell>
        </row>
        <row r="1046">
          <cell r="D1046" t="str">
            <v>Redenção</v>
          </cell>
          <cell r="E1046">
            <v>29053</v>
          </cell>
        </row>
        <row r="1047">
          <cell r="D1047" t="str">
            <v>Reriutaba</v>
          </cell>
          <cell r="E1047">
            <v>18491</v>
          </cell>
        </row>
        <row r="1048">
          <cell r="D1048" t="str">
            <v>Russas</v>
          </cell>
          <cell r="E1048">
            <v>78194</v>
          </cell>
        </row>
        <row r="1049">
          <cell r="D1049" t="str">
            <v>Saboeiro</v>
          </cell>
          <cell r="E1049">
            <v>15819</v>
          </cell>
        </row>
        <row r="1050">
          <cell r="D1050" t="str">
            <v>Salitre</v>
          </cell>
          <cell r="E1050">
            <v>16554</v>
          </cell>
        </row>
        <row r="1051">
          <cell r="D1051" t="str">
            <v>Santana do Acaraú</v>
          </cell>
          <cell r="E1051">
            <v>32452</v>
          </cell>
        </row>
        <row r="1052">
          <cell r="D1052" t="str">
            <v>Santana do Cariri</v>
          </cell>
          <cell r="E1052">
            <v>17700</v>
          </cell>
        </row>
        <row r="1053">
          <cell r="D1053" t="str">
            <v>Santa Quitéria</v>
          </cell>
          <cell r="E1053">
            <v>43703</v>
          </cell>
        </row>
        <row r="1054">
          <cell r="D1054" t="str">
            <v>São Benedito</v>
          </cell>
          <cell r="E1054">
            <v>47903</v>
          </cell>
        </row>
        <row r="1055">
          <cell r="D1055" t="str">
            <v>São Gonçalo do Amarante</v>
          </cell>
          <cell r="E1055">
            <v>48422</v>
          </cell>
        </row>
        <row r="1056">
          <cell r="D1056" t="str">
            <v>São João do Jaguaribe</v>
          </cell>
          <cell r="E1056">
            <v>7645</v>
          </cell>
        </row>
        <row r="1057">
          <cell r="D1057" t="str">
            <v>São Luís do Curu</v>
          </cell>
          <cell r="E1057">
            <v>13000</v>
          </cell>
        </row>
        <row r="1058">
          <cell r="D1058" t="str">
            <v>Senador Pompeu</v>
          </cell>
          <cell r="E1058">
            <v>25496</v>
          </cell>
        </row>
        <row r="1059">
          <cell r="D1059" t="str">
            <v>Senador Sá</v>
          </cell>
          <cell r="E1059">
            <v>7623</v>
          </cell>
        </row>
        <row r="1060">
          <cell r="D1060" t="str">
            <v>Sobral</v>
          </cell>
          <cell r="E1060">
            <v>208935</v>
          </cell>
        </row>
        <row r="1061">
          <cell r="D1061" t="str">
            <v>Solonópole</v>
          </cell>
          <cell r="E1061">
            <v>18324</v>
          </cell>
        </row>
        <row r="1062">
          <cell r="D1062" t="str">
            <v>Tabuleiro do Norte</v>
          </cell>
          <cell r="E1062">
            <v>30697</v>
          </cell>
        </row>
        <row r="1063">
          <cell r="D1063" t="str">
            <v>Tamboril</v>
          </cell>
          <cell r="E1063">
            <v>26251</v>
          </cell>
        </row>
        <row r="1064">
          <cell r="D1064" t="str">
            <v>Tarrafas</v>
          </cell>
          <cell r="E1064">
            <v>8592</v>
          </cell>
        </row>
        <row r="1065">
          <cell r="D1065" t="str">
            <v>Tauá</v>
          </cell>
          <cell r="E1065">
            <v>58859</v>
          </cell>
        </row>
        <row r="1066">
          <cell r="D1066" t="str">
            <v>Tejuçuoca</v>
          </cell>
          <cell r="E1066">
            <v>19187</v>
          </cell>
        </row>
        <row r="1067">
          <cell r="D1067" t="str">
            <v>Tianguá</v>
          </cell>
          <cell r="E1067">
            <v>75946</v>
          </cell>
        </row>
        <row r="1068">
          <cell r="D1068" t="str">
            <v>Trairi</v>
          </cell>
          <cell r="E1068">
            <v>55918</v>
          </cell>
        </row>
        <row r="1069">
          <cell r="D1069" t="str">
            <v>Tururu</v>
          </cell>
          <cell r="E1069">
            <v>16271</v>
          </cell>
        </row>
        <row r="1070">
          <cell r="D1070" t="str">
            <v>Ubajara</v>
          </cell>
          <cell r="E1070">
            <v>34792</v>
          </cell>
        </row>
        <row r="1071">
          <cell r="D1071" t="str">
            <v>Umari</v>
          </cell>
          <cell r="E1071">
            <v>7733</v>
          </cell>
        </row>
        <row r="1072">
          <cell r="D1072" t="str">
            <v>Umirim</v>
          </cell>
          <cell r="E1072">
            <v>19825</v>
          </cell>
        </row>
        <row r="1073">
          <cell r="D1073" t="str">
            <v>Uruburetama</v>
          </cell>
          <cell r="E1073">
            <v>21850</v>
          </cell>
        </row>
        <row r="1074">
          <cell r="D1074" t="str">
            <v>Uruoca</v>
          </cell>
          <cell r="E1074">
            <v>13840</v>
          </cell>
        </row>
        <row r="1075">
          <cell r="D1075" t="str">
            <v>Varjota</v>
          </cell>
          <cell r="E1075">
            <v>18420</v>
          </cell>
        </row>
        <row r="1076">
          <cell r="D1076" t="str">
            <v>Várzea Alegre</v>
          </cell>
          <cell r="E1076">
            <v>40721</v>
          </cell>
        </row>
        <row r="1077">
          <cell r="D1077" t="str">
            <v>Viçosa do Ceará</v>
          </cell>
          <cell r="E1077">
            <v>60889</v>
          </cell>
        </row>
        <row r="1078">
          <cell r="D1078" t="str">
            <v>Acari</v>
          </cell>
          <cell r="E1078">
            <v>11136</v>
          </cell>
        </row>
        <row r="1079">
          <cell r="D1079" t="str">
            <v>Açu</v>
          </cell>
          <cell r="E1079">
            <v>58017</v>
          </cell>
        </row>
        <row r="1080">
          <cell r="D1080" t="str">
            <v>Afonso Bezerra</v>
          </cell>
          <cell r="E1080">
            <v>11035</v>
          </cell>
        </row>
        <row r="1081">
          <cell r="D1081" t="str">
            <v>Água Nova</v>
          </cell>
          <cell r="E1081">
            <v>3252</v>
          </cell>
        </row>
        <row r="1082">
          <cell r="D1082" t="str">
            <v>Alexandria</v>
          </cell>
          <cell r="E1082">
            <v>13577</v>
          </cell>
        </row>
        <row r="1083">
          <cell r="D1083" t="str">
            <v>Almino Afonso</v>
          </cell>
          <cell r="E1083">
            <v>4735</v>
          </cell>
        </row>
        <row r="1084">
          <cell r="D1084" t="str">
            <v>Alto do Rodrigues</v>
          </cell>
          <cell r="E1084">
            <v>14529</v>
          </cell>
        </row>
        <row r="1085">
          <cell r="D1085" t="str">
            <v>Angicos</v>
          </cell>
          <cell r="E1085">
            <v>11714</v>
          </cell>
        </row>
        <row r="1086">
          <cell r="D1086" t="str">
            <v>Antônio Martins</v>
          </cell>
          <cell r="E1086">
            <v>7145</v>
          </cell>
        </row>
        <row r="1087">
          <cell r="D1087" t="str">
            <v>Apodi</v>
          </cell>
          <cell r="E1087">
            <v>35845</v>
          </cell>
        </row>
        <row r="1088">
          <cell r="D1088" t="str">
            <v>Areia Branca</v>
          </cell>
          <cell r="E1088">
            <v>27774</v>
          </cell>
        </row>
        <row r="1089">
          <cell r="D1089" t="str">
            <v>Arês</v>
          </cell>
          <cell r="E1089">
            <v>14306</v>
          </cell>
        </row>
        <row r="1090">
          <cell r="D1090" t="str">
            <v>Augusto Severo</v>
          </cell>
          <cell r="E1090">
            <v>9655</v>
          </cell>
        </row>
        <row r="1091">
          <cell r="D1091" t="str">
            <v>Baía Formosa</v>
          </cell>
          <cell r="E1091">
            <v>9271</v>
          </cell>
        </row>
        <row r="1092">
          <cell r="D1092" t="str">
            <v>Baraúna</v>
          </cell>
          <cell r="E1092">
            <v>28374</v>
          </cell>
        </row>
        <row r="1093">
          <cell r="D1093" t="str">
            <v>Barcelona</v>
          </cell>
          <cell r="E1093">
            <v>3998</v>
          </cell>
        </row>
        <row r="1094">
          <cell r="D1094" t="str">
            <v>Bento Fernandes</v>
          </cell>
          <cell r="E1094">
            <v>5497</v>
          </cell>
        </row>
        <row r="1095">
          <cell r="D1095" t="str">
            <v>Bodó</v>
          </cell>
          <cell r="E1095">
            <v>2223</v>
          </cell>
        </row>
        <row r="1096">
          <cell r="D1096" t="str">
            <v>Bom Jesus</v>
          </cell>
          <cell r="E1096">
            <v>10210</v>
          </cell>
        </row>
        <row r="1097">
          <cell r="D1097" t="str">
            <v>Brejinho</v>
          </cell>
          <cell r="E1097">
            <v>12699</v>
          </cell>
        </row>
        <row r="1098">
          <cell r="D1098" t="str">
            <v>Caiçara do Norte</v>
          </cell>
          <cell r="E1098">
            <v>6549</v>
          </cell>
        </row>
        <row r="1099">
          <cell r="D1099" t="str">
            <v>Caiçara do Rio do Vento</v>
          </cell>
          <cell r="E1099">
            <v>3684</v>
          </cell>
        </row>
        <row r="1100">
          <cell r="D1100" t="str">
            <v>Caicó</v>
          </cell>
          <cell r="E1100">
            <v>67952</v>
          </cell>
        </row>
        <row r="1101">
          <cell r="D1101" t="str">
            <v>Campo Redondo</v>
          </cell>
          <cell r="E1101">
            <v>11217</v>
          </cell>
        </row>
        <row r="1102">
          <cell r="D1102" t="str">
            <v>Canguaretama</v>
          </cell>
          <cell r="E1102">
            <v>34276</v>
          </cell>
        </row>
        <row r="1103">
          <cell r="D1103" t="str">
            <v>Caraúbas</v>
          </cell>
          <cell r="E1103">
            <v>20493</v>
          </cell>
        </row>
        <row r="1104">
          <cell r="D1104" t="str">
            <v>Carnaúba dos Dantas</v>
          </cell>
          <cell r="E1104">
            <v>8180</v>
          </cell>
        </row>
        <row r="1105">
          <cell r="D1105" t="str">
            <v>Carnaubais</v>
          </cell>
          <cell r="E1105">
            <v>10759</v>
          </cell>
        </row>
        <row r="1106">
          <cell r="D1106" t="str">
            <v>Ceará-Mirim</v>
          </cell>
          <cell r="E1106">
            <v>73497</v>
          </cell>
        </row>
        <row r="1107">
          <cell r="D1107" t="str">
            <v>Cerro Corá</v>
          </cell>
          <cell r="E1107">
            <v>11179</v>
          </cell>
        </row>
        <row r="1108">
          <cell r="D1108" t="str">
            <v>Coronel Ezequiel</v>
          </cell>
          <cell r="E1108">
            <v>5506</v>
          </cell>
        </row>
        <row r="1109">
          <cell r="D1109" t="str">
            <v>Coronel João Pessoa</v>
          </cell>
          <cell r="E1109">
            <v>4912</v>
          </cell>
        </row>
        <row r="1110">
          <cell r="D1110" t="str">
            <v>Cruzeta</v>
          </cell>
          <cell r="E1110">
            <v>7998</v>
          </cell>
        </row>
        <row r="1111">
          <cell r="D1111" t="str">
            <v>Currais Novos</v>
          </cell>
          <cell r="E1111">
            <v>44786</v>
          </cell>
        </row>
        <row r="1112">
          <cell r="D1112" t="str">
            <v>Doutor Severiano</v>
          </cell>
          <cell r="E1112">
            <v>7076</v>
          </cell>
        </row>
        <row r="1113">
          <cell r="D1113" t="str">
            <v>Parnamirim</v>
          </cell>
          <cell r="E1113">
            <v>261469</v>
          </cell>
        </row>
        <row r="1114">
          <cell r="D1114" t="str">
            <v>Encanto</v>
          </cell>
          <cell r="E1114">
            <v>5638</v>
          </cell>
        </row>
        <row r="1115">
          <cell r="D1115" t="str">
            <v>Equador</v>
          </cell>
          <cell r="E1115">
            <v>6045</v>
          </cell>
        </row>
        <row r="1116">
          <cell r="D1116" t="str">
            <v>Espírito Santo</v>
          </cell>
          <cell r="E1116">
            <v>10505</v>
          </cell>
        </row>
        <row r="1117">
          <cell r="D1117" t="str">
            <v>Extremoz</v>
          </cell>
          <cell r="E1117">
            <v>28583</v>
          </cell>
        </row>
        <row r="1118">
          <cell r="D1118" t="str">
            <v>Felipe Guerra</v>
          </cell>
          <cell r="E1118">
            <v>5985</v>
          </cell>
        </row>
        <row r="1119">
          <cell r="D1119" t="str">
            <v>Fernando Pedroza</v>
          </cell>
          <cell r="E1119">
            <v>3054</v>
          </cell>
        </row>
        <row r="1120">
          <cell r="D1120" t="str">
            <v>Florânia</v>
          </cell>
          <cell r="E1120">
            <v>9116</v>
          </cell>
        </row>
        <row r="1121">
          <cell r="D1121" t="str">
            <v>Francisco Dantas</v>
          </cell>
          <cell r="E1121">
            <v>2824</v>
          </cell>
        </row>
        <row r="1122">
          <cell r="D1122" t="str">
            <v>Frutuoso Gomes</v>
          </cell>
          <cell r="E1122">
            <v>4068</v>
          </cell>
        </row>
        <row r="1123">
          <cell r="D1123" t="str">
            <v>Galinhos</v>
          </cell>
          <cell r="E1123">
            <v>2786</v>
          </cell>
        </row>
        <row r="1124">
          <cell r="D1124" t="str">
            <v>Goianinha</v>
          </cell>
          <cell r="E1124">
            <v>26328</v>
          </cell>
        </row>
        <row r="1125">
          <cell r="D1125" t="str">
            <v>Governador Dix-Sept Rosado</v>
          </cell>
          <cell r="E1125">
            <v>13037</v>
          </cell>
        </row>
        <row r="1126">
          <cell r="D1126" t="str">
            <v>Grossos</v>
          </cell>
          <cell r="E1126">
            <v>10383</v>
          </cell>
        </row>
        <row r="1127">
          <cell r="D1127" t="str">
            <v>Guamaré</v>
          </cell>
          <cell r="E1127">
            <v>15659</v>
          </cell>
        </row>
        <row r="1128">
          <cell r="D1128" t="str">
            <v>Ielmo Marinho</v>
          </cell>
          <cell r="E1128">
            <v>13766</v>
          </cell>
        </row>
        <row r="1129">
          <cell r="D1129" t="str">
            <v>Ipanguaçu</v>
          </cell>
          <cell r="E1129">
            <v>15491</v>
          </cell>
        </row>
        <row r="1130">
          <cell r="D1130" t="str">
            <v>Ipueira</v>
          </cell>
          <cell r="E1130">
            <v>2241</v>
          </cell>
        </row>
        <row r="1131">
          <cell r="D1131" t="str">
            <v>Itajá</v>
          </cell>
          <cell r="E1131">
            <v>7548</v>
          </cell>
        </row>
        <row r="1132">
          <cell r="D1132" t="str">
            <v>Itaú</v>
          </cell>
          <cell r="E1132">
            <v>5878</v>
          </cell>
        </row>
        <row r="1133">
          <cell r="D1133" t="str">
            <v>Jaçanã</v>
          </cell>
          <cell r="E1133">
            <v>9133</v>
          </cell>
        </row>
        <row r="1134">
          <cell r="D1134" t="str">
            <v>Jandaíra</v>
          </cell>
          <cell r="E1134">
            <v>6878</v>
          </cell>
        </row>
        <row r="1135">
          <cell r="D1135" t="str">
            <v>Janduís</v>
          </cell>
          <cell r="E1135">
            <v>5268</v>
          </cell>
        </row>
        <row r="1136">
          <cell r="D1136" t="str">
            <v>Januário Cicco</v>
          </cell>
          <cell r="E1136">
            <v>10181</v>
          </cell>
        </row>
        <row r="1137">
          <cell r="D1137" t="str">
            <v>Japi</v>
          </cell>
          <cell r="E1137">
            <v>5055</v>
          </cell>
        </row>
        <row r="1138">
          <cell r="D1138" t="str">
            <v>Jardim de Angicos</v>
          </cell>
          <cell r="E1138">
            <v>2612</v>
          </cell>
        </row>
        <row r="1139">
          <cell r="D1139" t="str">
            <v>Jardim de Piranhas</v>
          </cell>
          <cell r="E1139">
            <v>14837</v>
          </cell>
        </row>
        <row r="1140">
          <cell r="D1140" t="str">
            <v>Jardim do Seridó</v>
          </cell>
          <cell r="E1140">
            <v>12396</v>
          </cell>
        </row>
        <row r="1141">
          <cell r="D1141" t="str">
            <v>João Câmara</v>
          </cell>
          <cell r="E1141">
            <v>34955</v>
          </cell>
        </row>
        <row r="1142">
          <cell r="D1142" t="str">
            <v>João Dias</v>
          </cell>
          <cell r="E1142">
            <v>2654</v>
          </cell>
        </row>
        <row r="1143">
          <cell r="D1143" t="str">
            <v>José da Penha</v>
          </cell>
          <cell r="E1143">
            <v>5951</v>
          </cell>
        </row>
        <row r="1144">
          <cell r="D1144" t="str">
            <v>Jucurutu</v>
          </cell>
          <cell r="E1144">
            <v>18295</v>
          </cell>
        </row>
        <row r="1145">
          <cell r="D1145" t="str">
            <v>Jundiá</v>
          </cell>
          <cell r="E1145">
            <v>3898</v>
          </cell>
        </row>
        <row r="1146">
          <cell r="D1146" t="str">
            <v>Lagoa d'Anta</v>
          </cell>
          <cell r="E1146">
            <v>6769</v>
          </cell>
        </row>
        <row r="1147">
          <cell r="D1147" t="str">
            <v>Lagoa de Pedras</v>
          </cell>
          <cell r="E1147">
            <v>7544</v>
          </cell>
        </row>
        <row r="1148">
          <cell r="D1148" t="str">
            <v>Lagoa de Velhos</v>
          </cell>
          <cell r="E1148">
            <v>2732</v>
          </cell>
        </row>
        <row r="1149">
          <cell r="D1149" t="str">
            <v>Lagoa Nova</v>
          </cell>
          <cell r="E1149">
            <v>15614</v>
          </cell>
        </row>
        <row r="1150">
          <cell r="D1150" t="str">
            <v>Lagoa Salgada</v>
          </cell>
          <cell r="E1150">
            <v>8245</v>
          </cell>
        </row>
        <row r="1151">
          <cell r="D1151" t="str">
            <v>Lajes</v>
          </cell>
          <cell r="E1151">
            <v>11277</v>
          </cell>
        </row>
        <row r="1152">
          <cell r="D1152" t="str">
            <v>Lajes Pintadas</v>
          </cell>
          <cell r="E1152">
            <v>4759</v>
          </cell>
        </row>
        <row r="1153">
          <cell r="D1153" t="str">
            <v>Lucrécia</v>
          </cell>
          <cell r="E1153">
            <v>3996</v>
          </cell>
        </row>
        <row r="1154">
          <cell r="D1154" t="str">
            <v>Luís Gomes</v>
          </cell>
          <cell r="E1154">
            <v>10116</v>
          </cell>
        </row>
        <row r="1155">
          <cell r="D1155" t="str">
            <v>Macaíba</v>
          </cell>
          <cell r="E1155">
            <v>80792</v>
          </cell>
        </row>
        <row r="1156">
          <cell r="D1156" t="str">
            <v>Macau</v>
          </cell>
          <cell r="E1156">
            <v>31814</v>
          </cell>
        </row>
        <row r="1157">
          <cell r="D1157" t="str">
            <v>Major Sales</v>
          </cell>
          <cell r="E1157">
            <v>4020</v>
          </cell>
        </row>
        <row r="1158">
          <cell r="D1158" t="str">
            <v>Marcelino Vieira</v>
          </cell>
          <cell r="E1158">
            <v>8347</v>
          </cell>
        </row>
        <row r="1159">
          <cell r="D1159" t="str">
            <v>Martins</v>
          </cell>
          <cell r="E1159">
            <v>8725</v>
          </cell>
        </row>
        <row r="1160">
          <cell r="D1160" t="str">
            <v>Maxaranguape</v>
          </cell>
          <cell r="E1160">
            <v>12371</v>
          </cell>
        </row>
        <row r="1161">
          <cell r="D1161" t="str">
            <v>Messias Targino</v>
          </cell>
          <cell r="E1161">
            <v>4601</v>
          </cell>
        </row>
        <row r="1162">
          <cell r="D1162" t="str">
            <v>Montanhas</v>
          </cell>
          <cell r="E1162">
            <v>11251</v>
          </cell>
        </row>
        <row r="1163">
          <cell r="D1163" t="str">
            <v>Monte Alegre</v>
          </cell>
          <cell r="E1163">
            <v>22451</v>
          </cell>
        </row>
        <row r="1164">
          <cell r="D1164" t="str">
            <v>Monte das Gameleiras</v>
          </cell>
          <cell r="E1164">
            <v>2105</v>
          </cell>
        </row>
        <row r="1165">
          <cell r="D1165" t="str">
            <v>Mossoró</v>
          </cell>
          <cell r="E1165">
            <v>297378</v>
          </cell>
        </row>
        <row r="1166">
          <cell r="D1166" t="str">
            <v>Natal</v>
          </cell>
          <cell r="E1166">
            <v>884122</v>
          </cell>
        </row>
        <row r="1167">
          <cell r="D1167" t="str">
            <v>Nísia Floresta</v>
          </cell>
          <cell r="E1167">
            <v>27602</v>
          </cell>
        </row>
        <row r="1168">
          <cell r="D1168" t="str">
            <v>Nova Cruz</v>
          </cell>
          <cell r="E1168">
            <v>37343</v>
          </cell>
        </row>
        <row r="1169">
          <cell r="D1169" t="str">
            <v>Olho-d'Água do Borges</v>
          </cell>
          <cell r="E1169">
            <v>4258</v>
          </cell>
        </row>
        <row r="1170">
          <cell r="D1170" t="str">
            <v>Ouro Branco</v>
          </cell>
          <cell r="E1170">
            <v>4812</v>
          </cell>
        </row>
        <row r="1171">
          <cell r="D1171" t="str">
            <v>Paraná</v>
          </cell>
          <cell r="E1171">
            <v>4254</v>
          </cell>
        </row>
        <row r="1172">
          <cell r="D1172" t="str">
            <v>Paraú</v>
          </cell>
          <cell r="E1172">
            <v>3768</v>
          </cell>
        </row>
        <row r="1173">
          <cell r="D1173" t="str">
            <v>Parazinho</v>
          </cell>
          <cell r="E1173">
            <v>5237</v>
          </cell>
        </row>
        <row r="1174">
          <cell r="D1174" t="str">
            <v>Parelhas</v>
          </cell>
          <cell r="E1174">
            <v>21477</v>
          </cell>
        </row>
        <row r="1175">
          <cell r="D1175" t="str">
            <v>Rio do Fogo</v>
          </cell>
          <cell r="E1175">
            <v>10848</v>
          </cell>
        </row>
        <row r="1176">
          <cell r="D1176" t="str">
            <v>Passa e Fica</v>
          </cell>
          <cell r="E1176">
            <v>13277</v>
          </cell>
        </row>
        <row r="1177">
          <cell r="D1177" t="str">
            <v>Passagem</v>
          </cell>
          <cell r="E1177">
            <v>3089</v>
          </cell>
        </row>
        <row r="1178">
          <cell r="D1178" t="str">
            <v>Patu</v>
          </cell>
          <cell r="E1178">
            <v>12755</v>
          </cell>
        </row>
        <row r="1179">
          <cell r="D1179" t="str">
            <v>Santa Maria</v>
          </cell>
          <cell r="E1179">
            <v>5551</v>
          </cell>
        </row>
        <row r="1180">
          <cell r="D1180" t="str">
            <v>Pau dos Ferros</v>
          </cell>
          <cell r="E1180">
            <v>30394</v>
          </cell>
        </row>
        <row r="1181">
          <cell r="D1181" t="str">
            <v>Pedra Grande</v>
          </cell>
          <cell r="E1181">
            <v>3237</v>
          </cell>
        </row>
        <row r="1182">
          <cell r="D1182" t="str">
            <v>Pedra Preta</v>
          </cell>
          <cell r="E1182">
            <v>2458</v>
          </cell>
        </row>
        <row r="1183">
          <cell r="D1183" t="str">
            <v>Pedro Avelino</v>
          </cell>
          <cell r="E1183">
            <v>6716</v>
          </cell>
        </row>
        <row r="1184">
          <cell r="D1184" t="str">
            <v>Pedro Velho</v>
          </cell>
          <cell r="E1184">
            <v>14806</v>
          </cell>
        </row>
        <row r="1185">
          <cell r="D1185" t="str">
            <v>Pendências</v>
          </cell>
          <cell r="E1185">
            <v>15129</v>
          </cell>
        </row>
        <row r="1186">
          <cell r="D1186" t="str">
            <v>Pilões</v>
          </cell>
          <cell r="E1186">
            <v>3838</v>
          </cell>
        </row>
        <row r="1187">
          <cell r="D1187" t="str">
            <v>Poço Branco</v>
          </cell>
          <cell r="E1187">
            <v>15413</v>
          </cell>
        </row>
        <row r="1188">
          <cell r="D1188" t="str">
            <v>Portalegre</v>
          </cell>
          <cell r="E1188">
            <v>7867</v>
          </cell>
        </row>
        <row r="1189">
          <cell r="D1189" t="str">
            <v>Porto do Mangue</v>
          </cell>
          <cell r="E1189">
            <v>6437</v>
          </cell>
        </row>
        <row r="1190">
          <cell r="D1190" t="str">
            <v>Serra Caiada</v>
          </cell>
          <cell r="E1190">
            <v>10395</v>
          </cell>
        </row>
        <row r="1191">
          <cell r="D1191" t="str">
            <v>Pureza</v>
          </cell>
          <cell r="E1191">
            <v>9621</v>
          </cell>
        </row>
        <row r="1192">
          <cell r="D1192" t="str">
            <v>Rafael Fernandes</v>
          </cell>
          <cell r="E1192">
            <v>5098</v>
          </cell>
        </row>
        <row r="1193">
          <cell r="D1193" t="str">
            <v>Rafael Godeiro</v>
          </cell>
          <cell r="E1193">
            <v>3201</v>
          </cell>
        </row>
        <row r="1194">
          <cell r="D1194" t="str">
            <v>Riacho da Cruz</v>
          </cell>
          <cell r="E1194">
            <v>3579</v>
          </cell>
        </row>
        <row r="1195">
          <cell r="D1195" t="str">
            <v>Riacho de Santana</v>
          </cell>
          <cell r="E1195">
            <v>4204</v>
          </cell>
        </row>
        <row r="1196">
          <cell r="D1196" t="str">
            <v>Riachuelo</v>
          </cell>
          <cell r="E1196">
            <v>8128</v>
          </cell>
        </row>
        <row r="1197">
          <cell r="D1197" t="str">
            <v>Rodolfo Fernandes</v>
          </cell>
          <cell r="E1197">
            <v>4467</v>
          </cell>
        </row>
        <row r="1198">
          <cell r="D1198" t="str">
            <v>Tibau</v>
          </cell>
          <cell r="E1198">
            <v>4106</v>
          </cell>
        </row>
        <row r="1199">
          <cell r="D1199" t="str">
            <v>Ruy Barbosa</v>
          </cell>
          <cell r="E1199">
            <v>3600</v>
          </cell>
        </row>
        <row r="1200">
          <cell r="D1200" t="str">
            <v>Santa Cruz</v>
          </cell>
          <cell r="E1200">
            <v>39674</v>
          </cell>
        </row>
        <row r="1201">
          <cell r="D1201" t="str">
            <v>Santana do Matos</v>
          </cell>
          <cell r="E1201">
            <v>12791</v>
          </cell>
        </row>
        <row r="1202">
          <cell r="D1202" t="str">
            <v>Santana do Seridó</v>
          </cell>
          <cell r="E1202">
            <v>2680</v>
          </cell>
        </row>
        <row r="1203">
          <cell r="D1203" t="str">
            <v>Santo Antônio</v>
          </cell>
          <cell r="E1203">
            <v>24136</v>
          </cell>
        </row>
        <row r="1204">
          <cell r="D1204" t="str">
            <v>São Bento do Norte</v>
          </cell>
          <cell r="E1204">
            <v>2747</v>
          </cell>
        </row>
        <row r="1205">
          <cell r="D1205" t="str">
            <v>São Bento do Trairí</v>
          </cell>
          <cell r="E1205">
            <v>4449</v>
          </cell>
        </row>
        <row r="1206">
          <cell r="D1206" t="str">
            <v>São Fernando</v>
          </cell>
          <cell r="E1206">
            <v>3584</v>
          </cell>
        </row>
        <row r="1207">
          <cell r="D1207" t="str">
            <v>São Francisco do Oeste</v>
          </cell>
          <cell r="E1207">
            <v>4228</v>
          </cell>
        </row>
        <row r="1208">
          <cell r="D1208" t="str">
            <v>São Gonçalo do Amarante</v>
          </cell>
          <cell r="E1208" t="str">
            <v>102400 (7)</v>
          </cell>
        </row>
        <row r="1209">
          <cell r="D1209" t="str">
            <v>São João do Sabugi</v>
          </cell>
          <cell r="E1209">
            <v>6193</v>
          </cell>
        </row>
        <row r="1210">
          <cell r="D1210" t="str">
            <v>São José de Mipibu</v>
          </cell>
          <cell r="E1210">
            <v>43899</v>
          </cell>
        </row>
        <row r="1211">
          <cell r="D1211" t="str">
            <v>São José do Campestre</v>
          </cell>
          <cell r="E1211">
            <v>12856</v>
          </cell>
        </row>
        <row r="1212">
          <cell r="D1212" t="str">
            <v>São José do Seridó</v>
          </cell>
          <cell r="E1212">
            <v>4634</v>
          </cell>
        </row>
        <row r="1213">
          <cell r="D1213" t="str">
            <v>São Miguel</v>
          </cell>
          <cell r="E1213">
            <v>23519</v>
          </cell>
        </row>
        <row r="1214">
          <cell r="D1214" t="str">
            <v>São Miguel do Gostoso</v>
          </cell>
          <cell r="E1214">
            <v>10282</v>
          </cell>
        </row>
        <row r="1215">
          <cell r="D1215" t="str">
            <v>São Paulo do Potengi</v>
          </cell>
          <cell r="E1215">
            <v>17579</v>
          </cell>
        </row>
        <row r="1216">
          <cell r="D1216" t="str">
            <v>São Pedro</v>
          </cell>
          <cell r="E1216">
            <v>5971</v>
          </cell>
        </row>
        <row r="1217">
          <cell r="D1217" t="str">
            <v>São Rafael</v>
          </cell>
          <cell r="E1217">
            <v>8202</v>
          </cell>
        </row>
        <row r="1218">
          <cell r="D1218" t="str">
            <v>São Tomé</v>
          </cell>
          <cell r="E1218">
            <v>11055</v>
          </cell>
        </row>
        <row r="1219">
          <cell r="D1219" t="str">
            <v>São Vicente</v>
          </cell>
          <cell r="E1219">
            <v>6424</v>
          </cell>
        </row>
        <row r="1220">
          <cell r="D1220" t="str">
            <v>Senador Elói de Souza</v>
          </cell>
          <cell r="E1220">
            <v>6086</v>
          </cell>
        </row>
        <row r="1221">
          <cell r="D1221" t="str">
            <v>Senador Georgino Avelino</v>
          </cell>
          <cell r="E1221">
            <v>4440</v>
          </cell>
        </row>
        <row r="1222">
          <cell r="D1222" t="str">
            <v>Serra de São Bento</v>
          </cell>
          <cell r="E1222">
            <v>5762</v>
          </cell>
        </row>
        <row r="1223">
          <cell r="D1223" t="str">
            <v>Serra do Mel</v>
          </cell>
          <cell r="E1223">
            <v>11938</v>
          </cell>
        </row>
        <row r="1224">
          <cell r="D1224" t="str">
            <v>Serra Negra do Norte</v>
          </cell>
          <cell r="E1224">
            <v>8078</v>
          </cell>
        </row>
        <row r="1225">
          <cell r="D1225" t="str">
            <v>Serrinha</v>
          </cell>
          <cell r="E1225">
            <v>6229</v>
          </cell>
        </row>
        <row r="1226">
          <cell r="D1226" t="str">
            <v>Serrinha dos Pintos</v>
          </cell>
          <cell r="E1226">
            <v>4800</v>
          </cell>
        </row>
        <row r="1227">
          <cell r="D1227" t="str">
            <v>Severiano Melo</v>
          </cell>
          <cell r="E1227">
            <v>2440</v>
          </cell>
        </row>
        <row r="1228">
          <cell r="D1228" t="str">
            <v>Sítio Novo</v>
          </cell>
          <cell r="E1228">
            <v>5522</v>
          </cell>
        </row>
        <row r="1229">
          <cell r="D1229" t="str">
            <v>Taboleiro Grande</v>
          </cell>
          <cell r="E1229">
            <v>2566</v>
          </cell>
        </row>
        <row r="1230">
          <cell r="D1230" t="str">
            <v>Taipu</v>
          </cell>
          <cell r="E1230">
            <v>12279</v>
          </cell>
        </row>
        <row r="1231">
          <cell r="D1231" t="str">
            <v>Tangará</v>
          </cell>
          <cell r="E1231">
            <v>15727</v>
          </cell>
        </row>
        <row r="1232">
          <cell r="D1232" t="str">
            <v>Tenente Ananias</v>
          </cell>
          <cell r="E1232">
            <v>10786</v>
          </cell>
        </row>
        <row r="1233">
          <cell r="D1233" t="str">
            <v>Tenente Laurentino Cruz</v>
          </cell>
          <cell r="E1233">
            <v>5952</v>
          </cell>
        </row>
        <row r="1234">
          <cell r="D1234" t="str">
            <v>Tibau do Sul</v>
          </cell>
          <cell r="E1234">
            <v>14180</v>
          </cell>
        </row>
        <row r="1235">
          <cell r="D1235" t="str">
            <v>Timbaúba dos Batistas</v>
          </cell>
          <cell r="E1235">
            <v>2414</v>
          </cell>
        </row>
        <row r="1236">
          <cell r="D1236" t="str">
            <v>Touros</v>
          </cell>
          <cell r="E1236">
            <v>33287</v>
          </cell>
        </row>
        <row r="1237">
          <cell r="D1237" t="str">
            <v>Triunfo Potiguar</v>
          </cell>
          <cell r="E1237">
            <v>3237</v>
          </cell>
        </row>
        <row r="1238">
          <cell r="D1238" t="str">
            <v>Umarizal</v>
          </cell>
          <cell r="E1238">
            <v>10555</v>
          </cell>
        </row>
        <row r="1239">
          <cell r="D1239" t="str">
            <v>Upanema</v>
          </cell>
          <cell r="E1239">
            <v>14659</v>
          </cell>
        </row>
        <row r="1240">
          <cell r="D1240" t="str">
            <v>Várzea</v>
          </cell>
          <cell r="E1240">
            <v>5500</v>
          </cell>
        </row>
        <row r="1241">
          <cell r="D1241" t="str">
            <v>Venha-Ver</v>
          </cell>
          <cell r="E1241">
            <v>4177</v>
          </cell>
        </row>
        <row r="1242">
          <cell r="D1242" t="str">
            <v>Vera Cruz</v>
          </cell>
          <cell r="E1242">
            <v>12481</v>
          </cell>
        </row>
        <row r="1243">
          <cell r="D1243" t="str">
            <v>Viçosa</v>
          </cell>
          <cell r="E1243">
            <v>1718</v>
          </cell>
        </row>
        <row r="1244">
          <cell r="D1244" t="str">
            <v>Vila Flor</v>
          </cell>
          <cell r="E1244">
            <v>3170</v>
          </cell>
        </row>
        <row r="1245">
          <cell r="D1245" t="str">
            <v>Água Branca</v>
          </cell>
          <cell r="E1245">
            <v>10234</v>
          </cell>
        </row>
        <row r="1246">
          <cell r="D1246" t="str">
            <v>Aguiar</v>
          </cell>
          <cell r="E1246">
            <v>5640</v>
          </cell>
        </row>
        <row r="1247">
          <cell r="D1247" t="str">
            <v>Alagoa Grande</v>
          </cell>
          <cell r="E1247">
            <v>28496</v>
          </cell>
        </row>
        <row r="1248">
          <cell r="D1248" t="str">
            <v>Alagoa Nova</v>
          </cell>
          <cell r="E1248">
            <v>20849</v>
          </cell>
        </row>
        <row r="1249">
          <cell r="D1249" t="str">
            <v>Alagoinha</v>
          </cell>
          <cell r="E1249">
            <v>14489</v>
          </cell>
        </row>
        <row r="1250">
          <cell r="D1250" t="str">
            <v>Alcantil</v>
          </cell>
          <cell r="E1250">
            <v>5492</v>
          </cell>
        </row>
        <row r="1251">
          <cell r="D1251" t="str">
            <v>Algodão de Jandaíra</v>
          </cell>
          <cell r="E1251">
            <v>2567</v>
          </cell>
        </row>
        <row r="1252">
          <cell r="D1252" t="str">
            <v>Alhandra</v>
          </cell>
          <cell r="E1252">
            <v>19588</v>
          </cell>
        </row>
        <row r="1253">
          <cell r="D1253" t="str">
            <v>São João do Rio do Peixe</v>
          </cell>
          <cell r="E1253">
            <v>18034</v>
          </cell>
        </row>
        <row r="1254">
          <cell r="D1254" t="str">
            <v>Amparo</v>
          </cell>
          <cell r="E1254">
            <v>2238</v>
          </cell>
        </row>
        <row r="1255">
          <cell r="D1255" t="str">
            <v>Aparecida</v>
          </cell>
          <cell r="E1255">
            <v>8347</v>
          </cell>
        </row>
        <row r="1256">
          <cell r="D1256" t="str">
            <v>Araçagi</v>
          </cell>
          <cell r="E1256">
            <v>16987</v>
          </cell>
        </row>
        <row r="1257">
          <cell r="D1257" t="str">
            <v>Arara</v>
          </cell>
          <cell r="E1257">
            <v>13470</v>
          </cell>
        </row>
        <row r="1258">
          <cell r="D1258" t="str">
            <v>Araruna</v>
          </cell>
          <cell r="E1258">
            <v>20312</v>
          </cell>
        </row>
        <row r="1259">
          <cell r="D1259" t="str">
            <v>Areia</v>
          </cell>
          <cell r="E1259">
            <v>22819</v>
          </cell>
        </row>
        <row r="1260">
          <cell r="D1260" t="str">
            <v>Areia de Baraúnas</v>
          </cell>
          <cell r="E1260">
            <v>2128</v>
          </cell>
        </row>
        <row r="1261">
          <cell r="D1261" t="str">
            <v>Areial</v>
          </cell>
          <cell r="E1261">
            <v>6998</v>
          </cell>
        </row>
        <row r="1262">
          <cell r="D1262" t="str">
            <v>Aroeiras</v>
          </cell>
          <cell r="E1262">
            <v>19153</v>
          </cell>
        </row>
        <row r="1263">
          <cell r="D1263" t="str">
            <v>Assunção</v>
          </cell>
          <cell r="E1263">
            <v>3990</v>
          </cell>
        </row>
        <row r="1264">
          <cell r="D1264" t="str">
            <v>Baía da Traição</v>
          </cell>
          <cell r="E1264">
            <v>8993</v>
          </cell>
        </row>
        <row r="1265">
          <cell r="D1265" t="str">
            <v>Bananeiras</v>
          </cell>
          <cell r="E1265">
            <v>21318</v>
          </cell>
        </row>
        <row r="1266">
          <cell r="D1266" t="str">
            <v>Baraúna</v>
          </cell>
          <cell r="E1266">
            <v>4892</v>
          </cell>
        </row>
        <row r="1267">
          <cell r="D1267" t="str">
            <v>Barra de Santana</v>
          </cell>
          <cell r="E1267">
            <v>8359</v>
          </cell>
        </row>
        <row r="1268">
          <cell r="D1268" t="str">
            <v>Barra de Santa Rosa</v>
          </cell>
          <cell r="E1268">
            <v>15384</v>
          </cell>
        </row>
        <row r="1269">
          <cell r="D1269" t="str">
            <v>Barra de São Miguel</v>
          </cell>
          <cell r="E1269">
            <v>6036</v>
          </cell>
        </row>
        <row r="1270">
          <cell r="D1270" t="str">
            <v>Bayeux</v>
          </cell>
          <cell r="E1270">
            <v>96880</v>
          </cell>
        </row>
        <row r="1271">
          <cell r="D1271" t="str">
            <v>Belém</v>
          </cell>
          <cell r="E1271">
            <v>17676</v>
          </cell>
        </row>
        <row r="1272">
          <cell r="D1272" t="str">
            <v>Belém do Brejo do Cruz</v>
          </cell>
          <cell r="E1272">
            <v>7342</v>
          </cell>
        </row>
        <row r="1273">
          <cell r="D1273" t="str">
            <v>Bernardino Batista</v>
          </cell>
          <cell r="E1273">
            <v>3501</v>
          </cell>
        </row>
        <row r="1274">
          <cell r="D1274" t="str">
            <v>Boa Ventura</v>
          </cell>
          <cell r="E1274">
            <v>5366</v>
          </cell>
        </row>
        <row r="1275">
          <cell r="D1275" t="str">
            <v>Boa Vista</v>
          </cell>
          <cell r="E1275">
            <v>7051</v>
          </cell>
        </row>
        <row r="1276">
          <cell r="D1276" t="str">
            <v>Bom Jesus</v>
          </cell>
          <cell r="E1276">
            <v>2561</v>
          </cell>
        </row>
        <row r="1277">
          <cell r="D1277" t="str">
            <v>Bom Sucesso</v>
          </cell>
          <cell r="E1277">
            <v>4975</v>
          </cell>
        </row>
        <row r="1278">
          <cell r="D1278" t="str">
            <v>Bonito de Santa Fé</v>
          </cell>
          <cell r="E1278">
            <v>11917</v>
          </cell>
        </row>
        <row r="1279">
          <cell r="D1279" t="str">
            <v>Boqueirão</v>
          </cell>
          <cell r="E1279">
            <v>17804</v>
          </cell>
        </row>
        <row r="1280">
          <cell r="D1280" t="str">
            <v>Igaracy</v>
          </cell>
          <cell r="E1280">
            <v>6117</v>
          </cell>
        </row>
        <row r="1281">
          <cell r="D1281" t="str">
            <v>Borborema</v>
          </cell>
          <cell r="E1281">
            <v>5263</v>
          </cell>
        </row>
        <row r="1282">
          <cell r="D1282" t="str">
            <v>Brejo do Cruz</v>
          </cell>
          <cell r="E1282">
            <v>14122</v>
          </cell>
        </row>
        <row r="1283">
          <cell r="D1283" t="str">
            <v>Brejo dos Santos</v>
          </cell>
          <cell r="E1283">
            <v>6449</v>
          </cell>
        </row>
        <row r="1284">
          <cell r="D1284" t="str">
            <v>Caaporã</v>
          </cell>
          <cell r="E1284">
            <v>21828</v>
          </cell>
        </row>
        <row r="1285">
          <cell r="D1285" t="str">
            <v>Cabaceiras</v>
          </cell>
          <cell r="E1285">
            <v>5611</v>
          </cell>
        </row>
        <row r="1286">
          <cell r="D1286" t="str">
            <v>Cabedelo</v>
          </cell>
          <cell r="E1286">
            <v>67736</v>
          </cell>
        </row>
        <row r="1287">
          <cell r="D1287" t="str">
            <v>Cachoeira dos Índios</v>
          </cell>
          <cell r="E1287">
            <v>10244</v>
          </cell>
        </row>
        <row r="1288">
          <cell r="D1288" t="str">
            <v>Cacimba de Areia</v>
          </cell>
          <cell r="E1288">
            <v>3682</v>
          </cell>
        </row>
        <row r="1289">
          <cell r="D1289" t="str">
            <v>Cacimba de Dentro</v>
          </cell>
          <cell r="E1289">
            <v>17187</v>
          </cell>
        </row>
        <row r="1290">
          <cell r="D1290" t="str">
            <v>Cacimbas</v>
          </cell>
          <cell r="E1290">
            <v>7173</v>
          </cell>
        </row>
        <row r="1291">
          <cell r="D1291" t="str">
            <v>Caiçara</v>
          </cell>
          <cell r="E1291">
            <v>7201</v>
          </cell>
        </row>
        <row r="1292">
          <cell r="D1292" t="str">
            <v>Cajazeiras</v>
          </cell>
          <cell r="E1292">
            <v>61993</v>
          </cell>
        </row>
        <row r="1293">
          <cell r="D1293" t="str">
            <v>Cajazeirinhas</v>
          </cell>
          <cell r="E1293">
            <v>3193</v>
          </cell>
        </row>
        <row r="1294">
          <cell r="D1294" t="str">
            <v>Caldas Brandão</v>
          </cell>
          <cell r="E1294">
            <v>6014</v>
          </cell>
        </row>
        <row r="1295">
          <cell r="D1295" t="str">
            <v>Camalaú</v>
          </cell>
          <cell r="E1295">
            <v>6013</v>
          </cell>
        </row>
        <row r="1296">
          <cell r="D1296" t="str">
            <v>Campina Grande</v>
          </cell>
          <cell r="E1296">
            <v>409731</v>
          </cell>
        </row>
        <row r="1297">
          <cell r="D1297" t="str">
            <v>Capim</v>
          </cell>
          <cell r="E1297">
            <v>6523</v>
          </cell>
        </row>
        <row r="1298">
          <cell r="D1298" t="str">
            <v>Caraúbas</v>
          </cell>
          <cell r="E1298">
            <v>4162</v>
          </cell>
        </row>
        <row r="1299">
          <cell r="D1299" t="str">
            <v>Carrapateira</v>
          </cell>
          <cell r="E1299">
            <v>2659</v>
          </cell>
        </row>
        <row r="1300">
          <cell r="D1300" t="str">
            <v>Casserengue</v>
          </cell>
          <cell r="E1300">
            <v>7468</v>
          </cell>
        </row>
        <row r="1301">
          <cell r="D1301" t="str">
            <v>Catingueira</v>
          </cell>
          <cell r="E1301">
            <v>4932</v>
          </cell>
        </row>
        <row r="1302">
          <cell r="D1302" t="str">
            <v>Catolé do Rocha</v>
          </cell>
          <cell r="E1302">
            <v>30546</v>
          </cell>
        </row>
        <row r="1303">
          <cell r="D1303" t="str">
            <v>Caturité</v>
          </cell>
          <cell r="E1303">
            <v>4852</v>
          </cell>
        </row>
        <row r="1304">
          <cell r="D1304" t="str">
            <v>Conceição</v>
          </cell>
          <cell r="E1304">
            <v>18982</v>
          </cell>
        </row>
        <row r="1305">
          <cell r="D1305" t="str">
            <v>Condado</v>
          </cell>
          <cell r="E1305">
            <v>6654</v>
          </cell>
        </row>
        <row r="1306">
          <cell r="D1306" t="str">
            <v>Conde</v>
          </cell>
          <cell r="E1306">
            <v>24670</v>
          </cell>
        </row>
        <row r="1307">
          <cell r="D1307" t="str">
            <v>Congo</v>
          </cell>
          <cell r="E1307">
            <v>4786</v>
          </cell>
        </row>
        <row r="1308">
          <cell r="D1308" t="str">
            <v>Coremas</v>
          </cell>
          <cell r="E1308">
            <v>15445</v>
          </cell>
        </row>
        <row r="1309">
          <cell r="D1309" t="str">
            <v>Coxixola</v>
          </cell>
          <cell r="E1309">
            <v>1921</v>
          </cell>
        </row>
        <row r="1310">
          <cell r="D1310" t="str">
            <v>Cruz do Espírito Santo</v>
          </cell>
          <cell r="E1310">
            <v>17319</v>
          </cell>
        </row>
        <row r="1311">
          <cell r="D1311" t="str">
            <v>Cubati</v>
          </cell>
          <cell r="E1311">
            <v>7797</v>
          </cell>
        </row>
        <row r="1312">
          <cell r="D1312" t="str">
            <v>Cuité</v>
          </cell>
          <cell r="E1312">
            <v>20338</v>
          </cell>
        </row>
        <row r="1313">
          <cell r="D1313" t="str">
            <v>Cuitegi</v>
          </cell>
          <cell r="E1313">
            <v>6803</v>
          </cell>
        </row>
        <row r="1314">
          <cell r="D1314" t="str">
            <v>Cuité de Mamanguape</v>
          </cell>
          <cell r="E1314">
            <v>6353</v>
          </cell>
        </row>
        <row r="1315">
          <cell r="D1315" t="str">
            <v>Curral de Cima</v>
          </cell>
          <cell r="E1315">
            <v>5227</v>
          </cell>
        </row>
        <row r="1316">
          <cell r="D1316" t="str">
            <v>Curral Velho</v>
          </cell>
          <cell r="E1316">
            <v>2516</v>
          </cell>
        </row>
        <row r="1317">
          <cell r="D1317" t="str">
            <v>Damião</v>
          </cell>
          <cell r="E1317">
            <v>5330</v>
          </cell>
        </row>
        <row r="1318">
          <cell r="D1318" t="str">
            <v>Desterro</v>
          </cell>
          <cell r="E1318">
            <v>8297</v>
          </cell>
        </row>
        <row r="1319">
          <cell r="D1319" t="str">
            <v>Vista Serrana</v>
          </cell>
          <cell r="E1319">
            <v>3798</v>
          </cell>
        </row>
        <row r="1320">
          <cell r="D1320" t="str">
            <v>Diamante</v>
          </cell>
          <cell r="E1320">
            <v>6552</v>
          </cell>
        </row>
        <row r="1321">
          <cell r="D1321" t="str">
            <v>Dona Inês</v>
          </cell>
          <cell r="E1321">
            <v>10453</v>
          </cell>
        </row>
        <row r="1322">
          <cell r="D1322" t="str">
            <v>Duas Estradas</v>
          </cell>
          <cell r="E1322">
            <v>3596</v>
          </cell>
        </row>
        <row r="1323">
          <cell r="D1323" t="str">
            <v>Emas</v>
          </cell>
          <cell r="E1323">
            <v>3522</v>
          </cell>
        </row>
        <row r="1324">
          <cell r="D1324" t="str">
            <v>Esperança</v>
          </cell>
          <cell r="E1324">
            <v>33007</v>
          </cell>
        </row>
        <row r="1325">
          <cell r="D1325" t="str">
            <v>Fagundes</v>
          </cell>
          <cell r="E1325">
            <v>11253</v>
          </cell>
        </row>
        <row r="1326">
          <cell r="D1326" t="str">
            <v>Frei Martinho</v>
          </cell>
          <cell r="E1326">
            <v>2989</v>
          </cell>
        </row>
        <row r="1327">
          <cell r="D1327" t="str">
            <v>Gado Bravo</v>
          </cell>
          <cell r="E1327">
            <v>8316</v>
          </cell>
        </row>
        <row r="1328">
          <cell r="D1328" t="str">
            <v>Guarabira</v>
          </cell>
          <cell r="E1328">
            <v>58833</v>
          </cell>
        </row>
        <row r="1329">
          <cell r="D1329" t="str">
            <v>Gurinhém</v>
          </cell>
          <cell r="E1329">
            <v>14129</v>
          </cell>
        </row>
        <row r="1330">
          <cell r="D1330" t="str">
            <v>Gurjão</v>
          </cell>
          <cell r="E1330">
            <v>3428</v>
          </cell>
        </row>
        <row r="1331">
          <cell r="D1331" t="str">
            <v>Ibiara</v>
          </cell>
          <cell r="E1331">
            <v>5929</v>
          </cell>
        </row>
        <row r="1332">
          <cell r="D1332" t="str">
            <v>Imaculada</v>
          </cell>
          <cell r="E1332">
            <v>11819</v>
          </cell>
        </row>
        <row r="1333">
          <cell r="D1333" t="str">
            <v>Ingá</v>
          </cell>
          <cell r="E1333">
            <v>18103</v>
          </cell>
        </row>
        <row r="1334">
          <cell r="D1334" t="str">
            <v>Itabaiana</v>
          </cell>
          <cell r="E1334">
            <v>24477</v>
          </cell>
        </row>
        <row r="1335">
          <cell r="D1335" t="str">
            <v>Itaporanga</v>
          </cell>
          <cell r="E1335">
            <v>24692</v>
          </cell>
        </row>
        <row r="1336">
          <cell r="D1336" t="str">
            <v>Itapororoca</v>
          </cell>
          <cell r="E1336">
            <v>18664</v>
          </cell>
        </row>
        <row r="1337">
          <cell r="D1337" t="str">
            <v>Itatuba</v>
          </cell>
          <cell r="E1337">
            <v>10962</v>
          </cell>
        </row>
        <row r="1338">
          <cell r="D1338" t="str">
            <v>Jacaraú</v>
          </cell>
          <cell r="E1338">
            <v>14431</v>
          </cell>
        </row>
        <row r="1339">
          <cell r="D1339" t="str">
            <v>Jericó</v>
          </cell>
          <cell r="E1339">
            <v>7739</v>
          </cell>
        </row>
        <row r="1340">
          <cell r="D1340" t="str">
            <v>João Pessoa</v>
          </cell>
          <cell r="E1340">
            <v>809015</v>
          </cell>
        </row>
        <row r="1341">
          <cell r="D1341" t="str">
            <v>Juarez Távora</v>
          </cell>
          <cell r="E1341">
            <v>7936</v>
          </cell>
        </row>
        <row r="1342">
          <cell r="D1342" t="str">
            <v>Juazeirinho</v>
          </cell>
          <cell r="E1342">
            <v>18171</v>
          </cell>
        </row>
        <row r="1343">
          <cell r="D1343" t="str">
            <v>Junco do Seridó</v>
          </cell>
          <cell r="E1343">
            <v>7150</v>
          </cell>
        </row>
        <row r="1344">
          <cell r="D1344" t="str">
            <v>Juripiranga</v>
          </cell>
          <cell r="E1344">
            <v>10756</v>
          </cell>
        </row>
        <row r="1345">
          <cell r="D1345" t="str">
            <v>Juru</v>
          </cell>
          <cell r="E1345">
            <v>9867</v>
          </cell>
        </row>
        <row r="1346">
          <cell r="D1346" t="str">
            <v>Lagoa</v>
          </cell>
          <cell r="E1346">
            <v>4666</v>
          </cell>
        </row>
        <row r="1347">
          <cell r="D1347" t="str">
            <v>Lagoa de Dentro</v>
          </cell>
          <cell r="E1347">
            <v>7719</v>
          </cell>
        </row>
        <row r="1348">
          <cell r="D1348" t="str">
            <v>Lagoa Seca</v>
          </cell>
          <cell r="E1348">
            <v>27503</v>
          </cell>
        </row>
        <row r="1349">
          <cell r="D1349" t="str">
            <v>Lastro</v>
          </cell>
          <cell r="E1349">
            <v>2737</v>
          </cell>
        </row>
        <row r="1350">
          <cell r="D1350" t="str">
            <v>Livramento</v>
          </cell>
          <cell r="E1350">
            <v>7256</v>
          </cell>
        </row>
        <row r="1351">
          <cell r="D1351" t="str">
            <v>Logradouro</v>
          </cell>
          <cell r="E1351">
            <v>4332</v>
          </cell>
        </row>
        <row r="1352">
          <cell r="D1352" t="str">
            <v>Lucena</v>
          </cell>
          <cell r="E1352">
            <v>13080</v>
          </cell>
        </row>
        <row r="1353">
          <cell r="D1353" t="str">
            <v>Mãe d'Água</v>
          </cell>
          <cell r="E1353">
            <v>4009</v>
          </cell>
        </row>
        <row r="1354">
          <cell r="D1354" t="str">
            <v>Malta</v>
          </cell>
          <cell r="E1354">
            <v>5759</v>
          </cell>
        </row>
        <row r="1355">
          <cell r="D1355" t="str">
            <v>Mamanguape</v>
          </cell>
          <cell r="E1355">
            <v>44882</v>
          </cell>
        </row>
        <row r="1356">
          <cell r="D1356" t="str">
            <v>Manaíra</v>
          </cell>
          <cell r="E1356">
            <v>10955</v>
          </cell>
        </row>
        <row r="1357">
          <cell r="D1357" t="str">
            <v>Marcação</v>
          </cell>
          <cell r="E1357">
            <v>8558</v>
          </cell>
        </row>
        <row r="1358">
          <cell r="D1358" t="str">
            <v>Mari</v>
          </cell>
          <cell r="E1358">
            <v>21837</v>
          </cell>
        </row>
        <row r="1359">
          <cell r="D1359" t="str">
            <v>Marizópolis</v>
          </cell>
          <cell r="E1359">
            <v>6617</v>
          </cell>
        </row>
        <row r="1360">
          <cell r="D1360" t="str">
            <v>Massaranduba</v>
          </cell>
          <cell r="E1360">
            <v>13918</v>
          </cell>
        </row>
        <row r="1361">
          <cell r="D1361" t="str">
            <v>Mataraca</v>
          </cell>
          <cell r="E1361">
            <v>8434</v>
          </cell>
        </row>
        <row r="1362">
          <cell r="D1362" t="str">
            <v>Matinhas</v>
          </cell>
          <cell r="E1362">
            <v>4500</v>
          </cell>
        </row>
        <row r="1363">
          <cell r="D1363" t="str">
            <v>Mato Grosso</v>
          </cell>
          <cell r="E1363">
            <v>2908</v>
          </cell>
        </row>
        <row r="1364">
          <cell r="D1364" t="str">
            <v>Maturéia</v>
          </cell>
          <cell r="E1364">
            <v>6569</v>
          </cell>
        </row>
        <row r="1365">
          <cell r="D1365" t="str">
            <v>Mogeiro</v>
          </cell>
          <cell r="E1365">
            <v>13284</v>
          </cell>
        </row>
        <row r="1366">
          <cell r="D1366" t="str">
            <v>Montadas</v>
          </cell>
          <cell r="E1366">
            <v>5669</v>
          </cell>
        </row>
        <row r="1367">
          <cell r="D1367" t="str">
            <v>Monte Horebe</v>
          </cell>
          <cell r="E1367">
            <v>4816</v>
          </cell>
        </row>
        <row r="1368">
          <cell r="D1368" t="str">
            <v>Monteiro</v>
          </cell>
          <cell r="E1368">
            <v>33222</v>
          </cell>
        </row>
        <row r="1369">
          <cell r="D1369" t="str">
            <v>Mulungu</v>
          </cell>
          <cell r="E1369">
            <v>9902</v>
          </cell>
        </row>
        <row r="1370">
          <cell r="D1370" t="str">
            <v>Natuba</v>
          </cell>
          <cell r="E1370">
            <v>10454</v>
          </cell>
        </row>
        <row r="1371">
          <cell r="D1371" t="str">
            <v>Nazarezinho</v>
          </cell>
          <cell r="E1371">
            <v>7301</v>
          </cell>
        </row>
        <row r="1372">
          <cell r="D1372" t="str">
            <v>Nova Floresta</v>
          </cell>
          <cell r="E1372">
            <v>10638</v>
          </cell>
        </row>
        <row r="1373">
          <cell r="D1373" t="str">
            <v>Nova Olinda</v>
          </cell>
          <cell r="E1373">
            <v>5949</v>
          </cell>
        </row>
        <row r="1374">
          <cell r="D1374" t="str">
            <v>Nova Palmeira</v>
          </cell>
          <cell r="E1374">
            <v>4906</v>
          </cell>
        </row>
        <row r="1375">
          <cell r="D1375" t="str">
            <v>Olho d'Água</v>
          </cell>
          <cell r="E1375">
            <v>6526</v>
          </cell>
        </row>
        <row r="1376">
          <cell r="D1376" t="str">
            <v>Olivedos</v>
          </cell>
          <cell r="E1376">
            <v>3932</v>
          </cell>
        </row>
        <row r="1377">
          <cell r="D1377" t="str">
            <v>Ouro Velho</v>
          </cell>
          <cell r="E1377">
            <v>3039</v>
          </cell>
        </row>
        <row r="1378">
          <cell r="D1378" t="str">
            <v>Parari</v>
          </cell>
          <cell r="E1378">
            <v>1771</v>
          </cell>
        </row>
        <row r="1379">
          <cell r="D1379" t="str">
            <v>Passagem</v>
          </cell>
          <cell r="E1379">
            <v>2419</v>
          </cell>
        </row>
        <row r="1380">
          <cell r="D1380" t="str">
            <v>Patos</v>
          </cell>
          <cell r="E1380">
            <v>107605</v>
          </cell>
        </row>
        <row r="1381">
          <cell r="D1381" t="str">
            <v>Paulista</v>
          </cell>
          <cell r="E1381">
            <v>12347</v>
          </cell>
        </row>
        <row r="1382">
          <cell r="D1382" t="str">
            <v>Pedra Branca</v>
          </cell>
          <cell r="E1382">
            <v>3801</v>
          </cell>
        </row>
        <row r="1383">
          <cell r="D1383" t="str">
            <v>Pedra Lavrada</v>
          </cell>
          <cell r="E1383">
            <v>7843</v>
          </cell>
        </row>
        <row r="1384">
          <cell r="D1384" t="str">
            <v>Pedras de Fogo</v>
          </cell>
          <cell r="E1384">
            <v>28458</v>
          </cell>
        </row>
        <row r="1385">
          <cell r="D1385" t="str">
            <v>Piancó</v>
          </cell>
          <cell r="E1385">
            <v>16075</v>
          </cell>
        </row>
        <row r="1386">
          <cell r="D1386" t="str">
            <v>Picuí</v>
          </cell>
          <cell r="E1386">
            <v>18703</v>
          </cell>
        </row>
        <row r="1387">
          <cell r="D1387" t="str">
            <v>Pilar</v>
          </cell>
          <cell r="E1387">
            <v>11917</v>
          </cell>
        </row>
        <row r="1388">
          <cell r="D1388" t="str">
            <v>Pilões</v>
          </cell>
          <cell r="E1388">
            <v>6635</v>
          </cell>
        </row>
        <row r="1389">
          <cell r="D1389" t="str">
            <v>Pilõezinhos</v>
          </cell>
          <cell r="E1389">
            <v>4976</v>
          </cell>
        </row>
        <row r="1390">
          <cell r="D1390" t="str">
            <v>Pirpirituba</v>
          </cell>
          <cell r="E1390">
            <v>10579</v>
          </cell>
        </row>
        <row r="1391">
          <cell r="D1391" t="str">
            <v>Pitimbu</v>
          </cell>
          <cell r="E1391">
            <v>19065</v>
          </cell>
        </row>
        <row r="1392">
          <cell r="D1392" t="str">
            <v>Pocinhos</v>
          </cell>
          <cell r="E1392">
            <v>18564</v>
          </cell>
        </row>
        <row r="1393">
          <cell r="D1393" t="str">
            <v>Poço Dantas</v>
          </cell>
          <cell r="E1393">
            <v>3888</v>
          </cell>
        </row>
        <row r="1394">
          <cell r="D1394" t="str">
            <v>Poço de José de Moura</v>
          </cell>
          <cell r="E1394">
            <v>4307</v>
          </cell>
        </row>
        <row r="1395">
          <cell r="D1395" t="str">
            <v>Pombal</v>
          </cell>
          <cell r="E1395">
            <v>32801</v>
          </cell>
        </row>
        <row r="1396">
          <cell r="D1396" t="str">
            <v>Prata</v>
          </cell>
          <cell r="E1396">
            <v>4209</v>
          </cell>
        </row>
        <row r="1397">
          <cell r="D1397" t="str">
            <v>Princesa Isabel</v>
          </cell>
          <cell r="E1397">
            <v>23345</v>
          </cell>
        </row>
        <row r="1398">
          <cell r="D1398" t="str">
            <v>Puxinanã</v>
          </cell>
          <cell r="E1398">
            <v>13680</v>
          </cell>
        </row>
        <row r="1399">
          <cell r="D1399" t="str">
            <v>Queimadas</v>
          </cell>
          <cell r="E1399">
            <v>43967</v>
          </cell>
        </row>
        <row r="1400">
          <cell r="D1400" t="str">
            <v>Quixaba</v>
          </cell>
          <cell r="E1400">
            <v>1956</v>
          </cell>
        </row>
        <row r="1401">
          <cell r="D1401" t="str">
            <v>Remígio</v>
          </cell>
          <cell r="E1401">
            <v>19621</v>
          </cell>
        </row>
        <row r="1402">
          <cell r="D1402" t="str">
            <v>Pedro Régis</v>
          </cell>
          <cell r="E1402">
            <v>6089</v>
          </cell>
        </row>
        <row r="1403">
          <cell r="D1403" t="str">
            <v>Riachão</v>
          </cell>
          <cell r="E1403">
            <v>3588</v>
          </cell>
        </row>
        <row r="1404">
          <cell r="D1404" t="str">
            <v>Riachão do Bacamarte</v>
          </cell>
          <cell r="E1404">
            <v>4521</v>
          </cell>
        </row>
        <row r="1405">
          <cell r="D1405" t="str">
            <v>Riachão do Poço</v>
          </cell>
          <cell r="E1405">
            <v>4509</v>
          </cell>
        </row>
        <row r="1406">
          <cell r="D1406" t="str">
            <v>Riacho de Santo Antônio</v>
          </cell>
          <cell r="E1406">
            <v>1948</v>
          </cell>
        </row>
        <row r="1407">
          <cell r="D1407" t="str">
            <v>Riacho dos Cavalos</v>
          </cell>
          <cell r="E1407">
            <v>8526</v>
          </cell>
        </row>
        <row r="1408">
          <cell r="D1408" t="str">
            <v>Rio Tinto</v>
          </cell>
          <cell r="E1408">
            <v>24176</v>
          </cell>
        </row>
        <row r="1409">
          <cell r="D1409" t="str">
            <v>Salgadinho</v>
          </cell>
          <cell r="E1409">
            <v>3885</v>
          </cell>
        </row>
        <row r="1410">
          <cell r="D1410" t="str">
            <v>Salgado de São Félix</v>
          </cell>
          <cell r="E1410">
            <v>12140</v>
          </cell>
        </row>
        <row r="1411">
          <cell r="D1411" t="str">
            <v>Santa Cecília</v>
          </cell>
          <cell r="E1411">
            <v>6558</v>
          </cell>
        </row>
        <row r="1412">
          <cell r="D1412" t="str">
            <v>Santa Cruz</v>
          </cell>
          <cell r="E1412">
            <v>6583</v>
          </cell>
        </row>
        <row r="1413">
          <cell r="D1413" t="str">
            <v>Santa Helena</v>
          </cell>
          <cell r="E1413">
            <v>5889</v>
          </cell>
        </row>
        <row r="1414">
          <cell r="D1414" t="str">
            <v>Santa Inês</v>
          </cell>
          <cell r="E1414">
            <v>3595</v>
          </cell>
        </row>
        <row r="1415">
          <cell r="D1415" t="str">
            <v>Santa Luzia</v>
          </cell>
          <cell r="E1415">
            <v>15382</v>
          </cell>
        </row>
        <row r="1416">
          <cell r="D1416" t="str">
            <v>Santana de Mangueira</v>
          </cell>
          <cell r="E1416">
            <v>5162</v>
          </cell>
        </row>
        <row r="1417">
          <cell r="D1417" t="str">
            <v>Santana dos Garrotes</v>
          </cell>
          <cell r="E1417">
            <v>7031</v>
          </cell>
        </row>
        <row r="1418">
          <cell r="D1418" t="str">
            <v>Joca Claudino</v>
          </cell>
          <cell r="E1418">
            <v>2636</v>
          </cell>
        </row>
        <row r="1419">
          <cell r="D1419" t="str">
            <v>Santa Rita</v>
          </cell>
          <cell r="E1419">
            <v>136586</v>
          </cell>
        </row>
        <row r="1420">
          <cell r="D1420" t="str">
            <v>Santa Teresinha</v>
          </cell>
          <cell r="E1420">
            <v>4573</v>
          </cell>
        </row>
        <row r="1421">
          <cell r="D1421" t="str">
            <v>Santo André</v>
          </cell>
          <cell r="E1421">
            <v>2521</v>
          </cell>
        </row>
        <row r="1422">
          <cell r="D1422" t="str">
            <v>São Bento</v>
          </cell>
          <cell r="E1422">
            <v>34031</v>
          </cell>
        </row>
        <row r="1423">
          <cell r="D1423" t="str">
            <v>São Bentinho</v>
          </cell>
          <cell r="E1423">
            <v>4529</v>
          </cell>
        </row>
        <row r="1424">
          <cell r="D1424" t="str">
            <v>São Domingos do Cariri</v>
          </cell>
          <cell r="E1424">
            <v>2615</v>
          </cell>
        </row>
        <row r="1425">
          <cell r="D1425" t="str">
            <v>São Domingos</v>
          </cell>
          <cell r="E1425">
            <v>3073</v>
          </cell>
        </row>
        <row r="1426">
          <cell r="D1426" t="str">
            <v>São Francisco</v>
          </cell>
          <cell r="E1426">
            <v>3392</v>
          </cell>
        </row>
        <row r="1427">
          <cell r="D1427" t="str">
            <v>São João do Cariri</v>
          </cell>
          <cell r="E1427">
            <v>4199</v>
          </cell>
        </row>
        <row r="1428">
          <cell r="D1428" t="str">
            <v>São João do Tigre</v>
          </cell>
          <cell r="E1428">
            <v>4422</v>
          </cell>
        </row>
        <row r="1429">
          <cell r="D1429" t="str">
            <v>São José da Lagoa Tapada</v>
          </cell>
          <cell r="E1429">
            <v>7630</v>
          </cell>
        </row>
        <row r="1430">
          <cell r="D1430" t="str">
            <v>São José de Caiana</v>
          </cell>
          <cell r="E1430">
            <v>6359</v>
          </cell>
        </row>
        <row r="1431">
          <cell r="D1431" t="str">
            <v>São José de Espinharas</v>
          </cell>
          <cell r="E1431">
            <v>4682</v>
          </cell>
        </row>
        <row r="1432">
          <cell r="D1432" t="str">
            <v>São José dos Ramos</v>
          </cell>
          <cell r="E1432">
            <v>5957</v>
          </cell>
        </row>
        <row r="1433">
          <cell r="D1433" t="str">
            <v>São José de Piranhas</v>
          </cell>
          <cell r="E1433">
            <v>20251</v>
          </cell>
        </row>
        <row r="1434">
          <cell r="D1434" t="str">
            <v>São José de Princesa</v>
          </cell>
          <cell r="E1434">
            <v>4003</v>
          </cell>
        </row>
        <row r="1435">
          <cell r="D1435" t="str">
            <v>São José do Bonfim</v>
          </cell>
          <cell r="E1435">
            <v>3557</v>
          </cell>
        </row>
        <row r="1436">
          <cell r="D1436" t="str">
            <v>São José do Brejo do Cruz</v>
          </cell>
          <cell r="E1436">
            <v>1801</v>
          </cell>
        </row>
        <row r="1437">
          <cell r="D1437" t="str">
            <v>São José do Sabugi</v>
          </cell>
          <cell r="E1437">
            <v>4141</v>
          </cell>
        </row>
        <row r="1438">
          <cell r="D1438" t="str">
            <v>São José dos Cordeiros</v>
          </cell>
          <cell r="E1438">
            <v>3628</v>
          </cell>
        </row>
        <row r="1439">
          <cell r="D1439" t="str">
            <v>São Mamede</v>
          </cell>
          <cell r="E1439">
            <v>7724</v>
          </cell>
        </row>
        <row r="1440">
          <cell r="D1440" t="str">
            <v>São Miguel de Taipu</v>
          </cell>
          <cell r="E1440">
            <v>7368</v>
          </cell>
        </row>
        <row r="1441">
          <cell r="D1441" t="str">
            <v>São Sebastião de Lagoa de Roça</v>
          </cell>
          <cell r="E1441">
            <v>11661</v>
          </cell>
        </row>
        <row r="1442">
          <cell r="D1442" t="str">
            <v>São Sebastião do Umbuzeiro</v>
          </cell>
          <cell r="E1442">
            <v>3489</v>
          </cell>
        </row>
        <row r="1443">
          <cell r="D1443" t="str">
            <v>Sapé</v>
          </cell>
          <cell r="E1443">
            <v>52625</v>
          </cell>
        </row>
        <row r="1444">
          <cell r="D1444" t="str">
            <v>São Vicente do Seridó</v>
          </cell>
          <cell r="E1444">
            <v>10775</v>
          </cell>
        </row>
        <row r="1445">
          <cell r="D1445" t="str">
            <v>Serra Branca</v>
          </cell>
          <cell r="E1445">
            <v>13699</v>
          </cell>
        </row>
        <row r="1446">
          <cell r="D1446" t="str">
            <v>Serra da Raiz</v>
          </cell>
          <cell r="E1446">
            <v>3148</v>
          </cell>
        </row>
        <row r="1447">
          <cell r="D1447" t="str">
            <v>Serra Grande</v>
          </cell>
          <cell r="E1447">
            <v>2909</v>
          </cell>
        </row>
        <row r="1448">
          <cell r="D1448" t="str">
            <v>Serra Redonda</v>
          </cell>
          <cell r="E1448">
            <v>7041</v>
          </cell>
        </row>
        <row r="1449">
          <cell r="D1449" t="str">
            <v>Serraria</v>
          </cell>
          <cell r="E1449">
            <v>6099</v>
          </cell>
        </row>
        <row r="1450">
          <cell r="D1450" t="str">
            <v>Sertãozinho</v>
          </cell>
          <cell r="E1450">
            <v>5024</v>
          </cell>
        </row>
        <row r="1451">
          <cell r="D1451" t="str">
            <v>Sobrado</v>
          </cell>
          <cell r="E1451">
            <v>7783</v>
          </cell>
        </row>
        <row r="1452">
          <cell r="D1452" t="str">
            <v>Solânea</v>
          </cell>
          <cell r="E1452">
            <v>26407</v>
          </cell>
        </row>
        <row r="1453">
          <cell r="D1453" t="str">
            <v>Soledade</v>
          </cell>
          <cell r="E1453">
            <v>14989</v>
          </cell>
        </row>
        <row r="1454">
          <cell r="D1454" t="str">
            <v>Sossêgo</v>
          </cell>
          <cell r="E1454">
            <v>3555</v>
          </cell>
        </row>
        <row r="1455">
          <cell r="D1455" t="str">
            <v>Sousa</v>
          </cell>
          <cell r="E1455">
            <v>69444</v>
          </cell>
        </row>
        <row r="1456">
          <cell r="D1456" t="str">
            <v>Sumé</v>
          </cell>
          <cell r="E1456">
            <v>16966</v>
          </cell>
        </row>
        <row r="1457">
          <cell r="D1457" t="str">
            <v>Tacima</v>
          </cell>
          <cell r="E1457">
            <v>10911</v>
          </cell>
        </row>
        <row r="1458">
          <cell r="D1458" t="str">
            <v>Taperoá</v>
          </cell>
          <cell r="E1458">
            <v>15376</v>
          </cell>
        </row>
        <row r="1459">
          <cell r="D1459" t="str">
            <v>Tavares</v>
          </cell>
          <cell r="E1459">
            <v>14726</v>
          </cell>
        </row>
        <row r="1460">
          <cell r="D1460" t="str">
            <v>Teixeira</v>
          </cell>
          <cell r="E1460">
            <v>15161</v>
          </cell>
        </row>
        <row r="1461">
          <cell r="D1461" t="str">
            <v>Tenório</v>
          </cell>
          <cell r="E1461">
            <v>3058</v>
          </cell>
        </row>
        <row r="1462">
          <cell r="D1462" t="str">
            <v>Triunfo</v>
          </cell>
          <cell r="E1462">
            <v>9455</v>
          </cell>
        </row>
        <row r="1463">
          <cell r="D1463" t="str">
            <v>Uiraúna</v>
          </cell>
          <cell r="E1463">
            <v>15242</v>
          </cell>
        </row>
        <row r="1464">
          <cell r="D1464" t="str">
            <v>Umbuzeiro</v>
          </cell>
          <cell r="E1464">
            <v>9907</v>
          </cell>
        </row>
        <row r="1465">
          <cell r="D1465" t="str">
            <v>Várzea</v>
          </cell>
          <cell r="E1465">
            <v>2810</v>
          </cell>
        </row>
        <row r="1466">
          <cell r="D1466" t="str">
            <v>Vieirópolis</v>
          </cell>
          <cell r="E1466">
            <v>5348</v>
          </cell>
        </row>
        <row r="1467">
          <cell r="D1467" t="str">
            <v>Zabelê</v>
          </cell>
          <cell r="E1467">
            <v>2240</v>
          </cell>
        </row>
        <row r="1468">
          <cell r="D1468" t="str">
            <v>Abreu e Lima</v>
          </cell>
          <cell r="E1468">
            <v>99990</v>
          </cell>
        </row>
        <row r="1469">
          <cell r="D1469" t="str">
            <v>Afogados da Ingazeira</v>
          </cell>
          <cell r="E1469">
            <v>37259</v>
          </cell>
        </row>
        <row r="1470">
          <cell r="D1470" t="str">
            <v>Afrânio</v>
          </cell>
          <cell r="E1470">
            <v>19635</v>
          </cell>
        </row>
        <row r="1471">
          <cell r="D1471" t="str">
            <v>Agrestina</v>
          </cell>
          <cell r="E1471">
            <v>24885</v>
          </cell>
        </row>
        <row r="1472">
          <cell r="D1472" t="str">
            <v>Água Preta</v>
          </cell>
          <cell r="E1472">
            <v>36771</v>
          </cell>
        </row>
        <row r="1473">
          <cell r="D1473" t="str">
            <v>Águas Belas</v>
          </cell>
          <cell r="E1473">
            <v>43443</v>
          </cell>
        </row>
        <row r="1474">
          <cell r="D1474" t="str">
            <v>Alagoinha</v>
          </cell>
          <cell r="E1474">
            <v>14636</v>
          </cell>
        </row>
        <row r="1475">
          <cell r="D1475" t="str">
            <v>Aliança</v>
          </cell>
          <cell r="E1475">
            <v>38386</v>
          </cell>
        </row>
        <row r="1476">
          <cell r="D1476" t="str">
            <v>Altinho</v>
          </cell>
          <cell r="E1476">
            <v>22972</v>
          </cell>
        </row>
        <row r="1477">
          <cell r="D1477" t="str">
            <v>Amaraji</v>
          </cell>
          <cell r="E1477">
            <v>22829</v>
          </cell>
        </row>
        <row r="1478">
          <cell r="D1478" t="str">
            <v>Angelim</v>
          </cell>
          <cell r="E1478">
            <v>11150</v>
          </cell>
        </row>
        <row r="1479">
          <cell r="D1479" t="str">
            <v>Araçoiaba</v>
          </cell>
          <cell r="E1479">
            <v>20524</v>
          </cell>
        </row>
        <row r="1480">
          <cell r="D1480" t="str">
            <v>Araripina</v>
          </cell>
          <cell r="E1480">
            <v>84418</v>
          </cell>
        </row>
        <row r="1481">
          <cell r="D1481" t="str">
            <v>Arcoverde</v>
          </cell>
          <cell r="E1481">
            <v>74338</v>
          </cell>
        </row>
        <row r="1482">
          <cell r="D1482" t="str">
            <v>Barra de Guabiraba</v>
          </cell>
          <cell r="E1482">
            <v>14385</v>
          </cell>
        </row>
        <row r="1483">
          <cell r="D1483" t="str">
            <v>Barreiros</v>
          </cell>
          <cell r="E1483">
            <v>42659</v>
          </cell>
        </row>
        <row r="1484">
          <cell r="D1484" t="str">
            <v>Belém de Maria</v>
          </cell>
          <cell r="E1484">
            <v>12073</v>
          </cell>
        </row>
        <row r="1485">
          <cell r="D1485" t="str">
            <v>Belém do São Francisco</v>
          </cell>
          <cell r="E1485">
            <v>20729</v>
          </cell>
        </row>
        <row r="1486">
          <cell r="D1486" t="str">
            <v>Belo Jardim</v>
          </cell>
          <cell r="E1486">
            <v>76439</v>
          </cell>
        </row>
        <row r="1487">
          <cell r="D1487" t="str">
            <v>Betânia</v>
          </cell>
          <cell r="E1487">
            <v>12719</v>
          </cell>
        </row>
        <row r="1488">
          <cell r="D1488" t="str">
            <v>Bezerros</v>
          </cell>
          <cell r="E1488">
            <v>60798</v>
          </cell>
        </row>
        <row r="1489">
          <cell r="D1489" t="str">
            <v>Bodocó</v>
          </cell>
          <cell r="E1489">
            <v>38146</v>
          </cell>
        </row>
        <row r="1490">
          <cell r="D1490" t="str">
            <v>Bom Conselho</v>
          </cell>
          <cell r="E1490">
            <v>48554</v>
          </cell>
        </row>
        <row r="1491">
          <cell r="D1491" t="str">
            <v>Bom Jardim</v>
          </cell>
          <cell r="E1491">
            <v>39184</v>
          </cell>
        </row>
        <row r="1492">
          <cell r="D1492" t="str">
            <v>Bonito</v>
          </cell>
          <cell r="E1492">
            <v>38134</v>
          </cell>
        </row>
        <row r="1493">
          <cell r="D1493" t="str">
            <v>Brejão</v>
          </cell>
          <cell r="E1493">
            <v>8993</v>
          </cell>
        </row>
        <row r="1494">
          <cell r="D1494" t="str">
            <v>Brejinho</v>
          </cell>
          <cell r="E1494">
            <v>7487</v>
          </cell>
        </row>
        <row r="1495">
          <cell r="D1495" t="str">
            <v>Brejo da Madre de Deus</v>
          </cell>
          <cell r="E1495">
            <v>50742</v>
          </cell>
        </row>
        <row r="1496">
          <cell r="D1496" t="str">
            <v>Buenos Aires</v>
          </cell>
          <cell r="E1496">
            <v>13155</v>
          </cell>
        </row>
        <row r="1497">
          <cell r="D1497" t="str">
            <v>Buíque</v>
          </cell>
          <cell r="E1497">
            <v>58378</v>
          </cell>
        </row>
        <row r="1498">
          <cell r="D1498" t="str">
            <v>Cabo de Santo Agostinho</v>
          </cell>
          <cell r="E1498">
            <v>207048</v>
          </cell>
        </row>
        <row r="1499">
          <cell r="D1499" t="str">
            <v>Cabrobó</v>
          </cell>
          <cell r="E1499">
            <v>34221</v>
          </cell>
        </row>
        <row r="1500">
          <cell r="D1500" t="str">
            <v>Cachoeirinha</v>
          </cell>
          <cell r="E1500">
            <v>20380</v>
          </cell>
        </row>
        <row r="1501">
          <cell r="D1501" t="str">
            <v>Caetés</v>
          </cell>
          <cell r="E1501">
            <v>28739</v>
          </cell>
        </row>
        <row r="1502">
          <cell r="D1502" t="str">
            <v>Calçado</v>
          </cell>
          <cell r="E1502">
            <v>11053</v>
          </cell>
        </row>
        <row r="1503">
          <cell r="D1503" t="str">
            <v>Calumbi</v>
          </cell>
          <cell r="E1503">
            <v>5750</v>
          </cell>
        </row>
        <row r="1504">
          <cell r="D1504" t="str">
            <v>Camaragibe</v>
          </cell>
          <cell r="E1504">
            <v>157828</v>
          </cell>
        </row>
        <row r="1505">
          <cell r="D1505" t="str">
            <v>Camocim de São Félix</v>
          </cell>
          <cell r="E1505">
            <v>18765</v>
          </cell>
        </row>
        <row r="1506">
          <cell r="D1506" t="str">
            <v>Camutanga</v>
          </cell>
          <cell r="E1506">
            <v>8551</v>
          </cell>
        </row>
        <row r="1507">
          <cell r="D1507" t="str">
            <v>Canhotinho</v>
          </cell>
          <cell r="E1507">
            <v>24804</v>
          </cell>
        </row>
        <row r="1508">
          <cell r="D1508" t="str">
            <v>Capoeiras</v>
          </cell>
          <cell r="E1508">
            <v>20048</v>
          </cell>
        </row>
        <row r="1509">
          <cell r="D1509" t="str">
            <v>Carnaíba</v>
          </cell>
          <cell r="E1509">
            <v>19551</v>
          </cell>
        </row>
        <row r="1510">
          <cell r="D1510" t="str">
            <v>Carnaubeira da Penha</v>
          </cell>
          <cell r="E1510">
            <v>12932</v>
          </cell>
        </row>
        <row r="1511">
          <cell r="D1511" t="str">
            <v>Carpina</v>
          </cell>
          <cell r="E1511">
            <v>83641</v>
          </cell>
        </row>
        <row r="1512">
          <cell r="D1512" t="str">
            <v>Caruaru</v>
          </cell>
          <cell r="E1512">
            <v>361118</v>
          </cell>
        </row>
        <row r="1513">
          <cell r="D1513" t="str">
            <v>Casinhas</v>
          </cell>
          <cell r="E1513">
            <v>14341</v>
          </cell>
        </row>
        <row r="1514">
          <cell r="D1514" t="str">
            <v>Catende</v>
          </cell>
          <cell r="E1514">
            <v>42892</v>
          </cell>
        </row>
        <row r="1515">
          <cell r="D1515" t="str">
            <v>Cedro</v>
          </cell>
          <cell r="E1515">
            <v>11807</v>
          </cell>
        </row>
        <row r="1516">
          <cell r="D1516" t="str">
            <v>Chã de Alegria</v>
          </cell>
          <cell r="E1516">
            <v>13518</v>
          </cell>
        </row>
        <row r="1517">
          <cell r="D1517" t="str">
            <v>Chã Grande</v>
          </cell>
          <cell r="E1517">
            <v>21698</v>
          </cell>
        </row>
        <row r="1518">
          <cell r="D1518" t="str">
            <v>Condado</v>
          </cell>
          <cell r="E1518">
            <v>26421</v>
          </cell>
        </row>
        <row r="1519">
          <cell r="D1519" t="str">
            <v>Correntes</v>
          </cell>
          <cell r="E1519">
            <v>18207</v>
          </cell>
        </row>
        <row r="1520">
          <cell r="D1520" t="str">
            <v>Cortês</v>
          </cell>
          <cell r="E1520">
            <v>12578</v>
          </cell>
        </row>
        <row r="1521">
          <cell r="D1521" t="str">
            <v>Cumaru</v>
          </cell>
          <cell r="E1521">
            <v>10906</v>
          </cell>
        </row>
        <row r="1522">
          <cell r="D1522" t="str">
            <v>Cupira</v>
          </cell>
          <cell r="E1522">
            <v>24107</v>
          </cell>
        </row>
        <row r="1523">
          <cell r="D1523" t="str">
            <v>Custódia</v>
          </cell>
          <cell r="E1523">
            <v>37111</v>
          </cell>
        </row>
        <row r="1524">
          <cell r="D1524" t="str">
            <v>Dormentes</v>
          </cell>
          <cell r="E1524">
            <v>18908</v>
          </cell>
        </row>
        <row r="1525">
          <cell r="D1525" t="str">
            <v>Escada</v>
          </cell>
          <cell r="E1525">
            <v>68875</v>
          </cell>
        </row>
        <row r="1526">
          <cell r="D1526" t="str">
            <v>Exu</v>
          </cell>
          <cell r="E1526">
            <v>31825</v>
          </cell>
        </row>
        <row r="1527">
          <cell r="D1527" t="str">
            <v>Feira Nova</v>
          </cell>
          <cell r="E1527">
            <v>22131</v>
          </cell>
        </row>
        <row r="1528">
          <cell r="D1528" t="str">
            <v>Fernando de Noronha</v>
          </cell>
          <cell r="E1528">
            <v>3061</v>
          </cell>
        </row>
        <row r="1529">
          <cell r="D1529" t="str">
            <v>Ferreiros</v>
          </cell>
          <cell r="E1529">
            <v>12123</v>
          </cell>
        </row>
        <row r="1530">
          <cell r="D1530" t="str">
            <v>Flores</v>
          </cell>
          <cell r="E1530">
            <v>22624</v>
          </cell>
        </row>
        <row r="1531">
          <cell r="D1531" t="str">
            <v>Floresta</v>
          </cell>
          <cell r="E1531">
            <v>32873</v>
          </cell>
        </row>
        <row r="1532">
          <cell r="D1532" t="str">
            <v>Frei Miguelinho</v>
          </cell>
          <cell r="E1532">
            <v>15457</v>
          </cell>
        </row>
        <row r="1533">
          <cell r="D1533" t="str">
            <v>Gameleira</v>
          </cell>
          <cell r="E1533">
            <v>31052</v>
          </cell>
        </row>
        <row r="1534">
          <cell r="D1534" t="str">
            <v>Garanhuns</v>
          </cell>
          <cell r="E1534">
            <v>139788</v>
          </cell>
        </row>
        <row r="1535">
          <cell r="D1535" t="str">
            <v>Glória do Goitá</v>
          </cell>
          <cell r="E1535">
            <v>30604</v>
          </cell>
        </row>
        <row r="1536">
          <cell r="D1536" t="str">
            <v>Goiana</v>
          </cell>
          <cell r="E1536">
            <v>79758</v>
          </cell>
        </row>
        <row r="1537">
          <cell r="D1537" t="str">
            <v>Granito</v>
          </cell>
          <cell r="E1537">
            <v>7486</v>
          </cell>
        </row>
        <row r="1538">
          <cell r="D1538" t="str">
            <v>Gravatá</v>
          </cell>
          <cell r="E1538">
            <v>84074</v>
          </cell>
        </row>
        <row r="1539">
          <cell r="D1539" t="str">
            <v>Iati</v>
          </cell>
          <cell r="E1539">
            <v>19197</v>
          </cell>
        </row>
        <row r="1540">
          <cell r="D1540" t="str">
            <v>Ibimirim</v>
          </cell>
          <cell r="E1540">
            <v>29235</v>
          </cell>
        </row>
        <row r="1541">
          <cell r="D1541" t="str">
            <v>Ibirajuba</v>
          </cell>
          <cell r="E1541">
            <v>7762</v>
          </cell>
        </row>
        <row r="1542">
          <cell r="D1542" t="str">
            <v>Igarassu</v>
          </cell>
          <cell r="E1542">
            <v>117019</v>
          </cell>
        </row>
        <row r="1543">
          <cell r="D1543" t="str">
            <v>Iguaracy</v>
          </cell>
          <cell r="E1543">
            <v>12228</v>
          </cell>
        </row>
        <row r="1544">
          <cell r="D1544" t="str">
            <v>Inajá</v>
          </cell>
          <cell r="E1544">
            <v>23247</v>
          </cell>
        </row>
        <row r="1545">
          <cell r="D1545" t="str">
            <v>Ingazeira</v>
          </cell>
          <cell r="E1545">
            <v>4548</v>
          </cell>
        </row>
        <row r="1546">
          <cell r="D1546" t="str">
            <v>Ipojuca</v>
          </cell>
          <cell r="E1546">
            <v>96204</v>
          </cell>
        </row>
        <row r="1547">
          <cell r="D1547" t="str">
            <v>Ipubi</v>
          </cell>
          <cell r="E1547">
            <v>30854</v>
          </cell>
        </row>
        <row r="1548">
          <cell r="D1548" t="str">
            <v>Itacuruba</v>
          </cell>
          <cell r="E1548">
            <v>4918</v>
          </cell>
        </row>
        <row r="1549">
          <cell r="D1549" t="str">
            <v>Itaíba</v>
          </cell>
          <cell r="E1549">
            <v>26349</v>
          </cell>
        </row>
        <row r="1550">
          <cell r="D1550" t="str">
            <v>Ilha de Itamaracá</v>
          </cell>
          <cell r="E1550">
            <v>26258</v>
          </cell>
        </row>
        <row r="1551">
          <cell r="D1551" t="str">
            <v>Itambé</v>
          </cell>
          <cell r="E1551">
            <v>36447</v>
          </cell>
        </row>
        <row r="1552">
          <cell r="D1552" t="str">
            <v>Itapetim</v>
          </cell>
          <cell r="E1552">
            <v>13616</v>
          </cell>
        </row>
        <row r="1553">
          <cell r="D1553" t="str">
            <v>Itapissuma</v>
          </cell>
          <cell r="E1553">
            <v>26651</v>
          </cell>
        </row>
        <row r="1554">
          <cell r="D1554" t="str">
            <v>Itaquitinga</v>
          </cell>
          <cell r="E1554">
            <v>16955</v>
          </cell>
        </row>
        <row r="1555">
          <cell r="D1555" t="str">
            <v>Jaboatão dos Guararapes</v>
          </cell>
          <cell r="E1555">
            <v>702298</v>
          </cell>
        </row>
        <row r="1556">
          <cell r="D1556" t="str">
            <v>Jaqueira</v>
          </cell>
          <cell r="E1556">
            <v>11656</v>
          </cell>
        </row>
        <row r="1557">
          <cell r="D1557" t="str">
            <v>Jataúba</v>
          </cell>
          <cell r="E1557">
            <v>17150</v>
          </cell>
        </row>
        <row r="1558">
          <cell r="D1558" t="str">
            <v>Jatobá</v>
          </cell>
          <cell r="E1558">
            <v>14796</v>
          </cell>
        </row>
        <row r="1559">
          <cell r="D1559" t="str">
            <v>João Alfredo</v>
          </cell>
          <cell r="E1559">
            <v>33822</v>
          </cell>
        </row>
        <row r="1560">
          <cell r="D1560" t="str">
            <v>Joaquim Nabuco</v>
          </cell>
          <cell r="E1560">
            <v>16023</v>
          </cell>
        </row>
        <row r="1561">
          <cell r="D1561" t="str">
            <v>Jucati</v>
          </cell>
          <cell r="E1561">
            <v>11424</v>
          </cell>
        </row>
        <row r="1562">
          <cell r="D1562" t="str">
            <v>Jupi</v>
          </cell>
          <cell r="E1562">
            <v>14836</v>
          </cell>
        </row>
        <row r="1563">
          <cell r="D1563" t="str">
            <v>Jurema</v>
          </cell>
          <cell r="E1563">
            <v>15378</v>
          </cell>
        </row>
        <row r="1564">
          <cell r="D1564" t="str">
            <v>Lagoa do Carro</v>
          </cell>
          <cell r="E1564">
            <v>18071</v>
          </cell>
        </row>
        <row r="1565">
          <cell r="D1565" t="str">
            <v>Lagoa de Itaenga</v>
          </cell>
          <cell r="E1565">
            <v>21429</v>
          </cell>
        </row>
        <row r="1566">
          <cell r="D1566" t="str">
            <v>Lagoa do Ouro</v>
          </cell>
          <cell r="E1566">
            <v>13145</v>
          </cell>
        </row>
        <row r="1567">
          <cell r="D1567" t="str">
            <v>Lagoa dos Gatos</v>
          </cell>
          <cell r="E1567">
            <v>16290</v>
          </cell>
        </row>
        <row r="1568">
          <cell r="D1568" t="str">
            <v>Lagoa Grande</v>
          </cell>
          <cell r="E1568">
            <v>25601</v>
          </cell>
        </row>
        <row r="1569">
          <cell r="D1569" t="str">
            <v>Lajedo</v>
          </cell>
          <cell r="E1569">
            <v>40288</v>
          </cell>
        </row>
        <row r="1570">
          <cell r="D1570" t="str">
            <v>Limoeiro</v>
          </cell>
          <cell r="E1570">
            <v>56250</v>
          </cell>
        </row>
        <row r="1571">
          <cell r="D1571" t="str">
            <v>Macaparana</v>
          </cell>
          <cell r="E1571">
            <v>25376</v>
          </cell>
        </row>
        <row r="1572">
          <cell r="D1572" t="str">
            <v>Machados</v>
          </cell>
          <cell r="E1572">
            <v>16088</v>
          </cell>
        </row>
        <row r="1573">
          <cell r="D1573" t="str">
            <v>Manari</v>
          </cell>
          <cell r="E1573">
            <v>21434</v>
          </cell>
        </row>
        <row r="1574">
          <cell r="D1574" t="str">
            <v>Maraial</v>
          </cell>
          <cell r="E1574">
            <v>11345</v>
          </cell>
        </row>
        <row r="1575">
          <cell r="D1575" t="str">
            <v>Mirandiba</v>
          </cell>
          <cell r="E1575">
            <v>15390</v>
          </cell>
        </row>
        <row r="1576">
          <cell r="D1576" t="str">
            <v>Moreno</v>
          </cell>
          <cell r="E1576">
            <v>62784</v>
          </cell>
        </row>
        <row r="1577">
          <cell r="D1577" t="str">
            <v>Nazaré da Mata</v>
          </cell>
          <cell r="E1577">
            <v>32471</v>
          </cell>
        </row>
        <row r="1578">
          <cell r="D1578" t="str">
            <v>Olinda</v>
          </cell>
          <cell r="E1578">
            <v>392482</v>
          </cell>
        </row>
        <row r="1579">
          <cell r="D1579" t="str">
            <v>Orobó</v>
          </cell>
          <cell r="E1579">
            <v>23884</v>
          </cell>
        </row>
        <row r="1580">
          <cell r="D1580" t="str">
            <v>Orocó</v>
          </cell>
          <cell r="E1580">
            <v>14991</v>
          </cell>
        </row>
        <row r="1581">
          <cell r="D1581" t="str">
            <v>Ouricuri</v>
          </cell>
          <cell r="E1581">
            <v>69459</v>
          </cell>
        </row>
        <row r="1582">
          <cell r="D1582" t="str">
            <v>Palmares</v>
          </cell>
          <cell r="E1582">
            <v>63250</v>
          </cell>
        </row>
        <row r="1583">
          <cell r="D1583" t="str">
            <v>Palmeirina</v>
          </cell>
          <cell r="E1583">
            <v>7693</v>
          </cell>
        </row>
        <row r="1584">
          <cell r="D1584" t="str">
            <v>Panelas</v>
          </cell>
          <cell r="E1584">
            <v>26474</v>
          </cell>
        </row>
        <row r="1585">
          <cell r="D1585" t="str">
            <v>Paranatama</v>
          </cell>
          <cell r="E1585">
            <v>11523</v>
          </cell>
        </row>
        <row r="1586">
          <cell r="D1586" t="str">
            <v>Parnamirim</v>
          </cell>
          <cell r="E1586">
            <v>22010</v>
          </cell>
        </row>
        <row r="1587">
          <cell r="D1587" t="str">
            <v>Passira</v>
          </cell>
          <cell r="E1587">
            <v>28933</v>
          </cell>
        </row>
        <row r="1588">
          <cell r="D1588" t="str">
            <v>Paudalho</v>
          </cell>
          <cell r="E1588">
            <v>56506</v>
          </cell>
        </row>
        <row r="1589">
          <cell r="D1589" t="str">
            <v>Paulista</v>
          </cell>
          <cell r="E1589">
            <v>331774</v>
          </cell>
        </row>
        <row r="1590">
          <cell r="D1590" t="str">
            <v>Pedra</v>
          </cell>
          <cell r="E1590">
            <v>22617</v>
          </cell>
        </row>
        <row r="1591">
          <cell r="D1591" t="str">
            <v>Pesqueira</v>
          </cell>
          <cell r="E1591">
            <v>67395</v>
          </cell>
        </row>
        <row r="1592">
          <cell r="D1592" t="str">
            <v>Petrolândia</v>
          </cell>
          <cell r="E1592">
            <v>36548</v>
          </cell>
        </row>
        <row r="1593">
          <cell r="D1593" t="str">
            <v>Petrolina</v>
          </cell>
          <cell r="E1593">
            <v>349145</v>
          </cell>
        </row>
        <row r="1594">
          <cell r="D1594" t="str">
            <v>Poção</v>
          </cell>
          <cell r="E1594">
            <v>11302</v>
          </cell>
        </row>
        <row r="1595">
          <cell r="D1595" t="str">
            <v>Pombos</v>
          </cell>
          <cell r="E1595">
            <v>27091</v>
          </cell>
        </row>
        <row r="1596">
          <cell r="D1596" t="str">
            <v>Primavera</v>
          </cell>
          <cell r="E1596">
            <v>14966</v>
          </cell>
        </row>
        <row r="1597">
          <cell r="D1597" t="str">
            <v>Quipapá</v>
          </cell>
          <cell r="E1597">
            <v>26037</v>
          </cell>
        </row>
        <row r="1598">
          <cell r="D1598" t="str">
            <v>Quixaba</v>
          </cell>
          <cell r="E1598">
            <v>6813</v>
          </cell>
        </row>
        <row r="1599">
          <cell r="D1599" t="str">
            <v>Recife</v>
          </cell>
          <cell r="E1599">
            <v>1645727</v>
          </cell>
        </row>
        <row r="1600">
          <cell r="D1600" t="str">
            <v>Riacho das Almas</v>
          </cell>
          <cell r="E1600">
            <v>20546</v>
          </cell>
        </row>
        <row r="1601">
          <cell r="D1601" t="str">
            <v>Ribeirão</v>
          </cell>
          <cell r="E1601">
            <v>47415</v>
          </cell>
        </row>
        <row r="1602">
          <cell r="D1602" t="str">
            <v>Rio Formoso</v>
          </cell>
          <cell r="E1602">
            <v>23535</v>
          </cell>
        </row>
        <row r="1603">
          <cell r="D1603" t="str">
            <v>Sairé</v>
          </cell>
          <cell r="E1603">
            <v>9932</v>
          </cell>
        </row>
        <row r="1604">
          <cell r="D1604" t="str">
            <v>Salgadinho</v>
          </cell>
          <cell r="E1604">
            <v>10919</v>
          </cell>
        </row>
        <row r="1605">
          <cell r="D1605" t="str">
            <v>Salgueiro</v>
          </cell>
          <cell r="E1605">
            <v>60930</v>
          </cell>
        </row>
        <row r="1606">
          <cell r="D1606" t="str">
            <v>Saloá</v>
          </cell>
          <cell r="E1606">
            <v>15843</v>
          </cell>
        </row>
        <row r="1607">
          <cell r="D1607" t="str">
            <v>Sanharó</v>
          </cell>
          <cell r="E1607">
            <v>26462</v>
          </cell>
        </row>
        <row r="1608">
          <cell r="D1608" t="str">
            <v>Santa Cruz</v>
          </cell>
          <cell r="E1608">
            <v>15398</v>
          </cell>
        </row>
        <row r="1609">
          <cell r="D1609" t="str">
            <v>Santa Cruz da Baixa Verde</v>
          </cell>
          <cell r="E1609">
            <v>12592</v>
          </cell>
        </row>
        <row r="1610">
          <cell r="D1610" t="str">
            <v>Santa Cruz do Capibaribe</v>
          </cell>
          <cell r="E1610">
            <v>107937</v>
          </cell>
        </row>
        <row r="1611">
          <cell r="D1611" t="str">
            <v>Santa Filomena</v>
          </cell>
          <cell r="E1611">
            <v>14477</v>
          </cell>
        </row>
        <row r="1612">
          <cell r="D1612" t="str">
            <v>Santa Maria da Boa Vista</v>
          </cell>
          <cell r="E1612">
            <v>41931</v>
          </cell>
        </row>
        <row r="1613">
          <cell r="D1613" t="str">
            <v>Santa Maria do Cambucá</v>
          </cell>
          <cell r="E1613">
            <v>14137</v>
          </cell>
        </row>
        <row r="1614">
          <cell r="D1614" t="str">
            <v>Santa Terezinha</v>
          </cell>
          <cell r="E1614">
            <v>11815</v>
          </cell>
        </row>
        <row r="1615">
          <cell r="D1615" t="str">
            <v>São Benedito do Sul</v>
          </cell>
          <cell r="E1615">
            <v>15895</v>
          </cell>
        </row>
        <row r="1616">
          <cell r="D1616" t="str">
            <v>São Bento do Una</v>
          </cell>
          <cell r="E1616">
            <v>59504</v>
          </cell>
        </row>
        <row r="1617">
          <cell r="D1617" t="str">
            <v>São Caitano</v>
          </cell>
          <cell r="E1617">
            <v>37245</v>
          </cell>
        </row>
        <row r="1618">
          <cell r="D1618" t="str">
            <v>São João</v>
          </cell>
          <cell r="E1618">
            <v>22793</v>
          </cell>
        </row>
        <row r="1619">
          <cell r="D1619" t="str">
            <v>São Joaquim do Monte</v>
          </cell>
          <cell r="E1619">
            <v>21356</v>
          </cell>
        </row>
        <row r="1620">
          <cell r="D1620" t="str">
            <v>São José da Coroa Grande</v>
          </cell>
          <cell r="E1620">
            <v>21298</v>
          </cell>
        </row>
        <row r="1621">
          <cell r="D1621" t="str">
            <v>São José do Belmonte</v>
          </cell>
          <cell r="E1621">
            <v>33959</v>
          </cell>
        </row>
        <row r="1622">
          <cell r="D1622" t="str">
            <v>São José do Egito</v>
          </cell>
          <cell r="E1622">
            <v>33951</v>
          </cell>
        </row>
        <row r="1623">
          <cell r="D1623" t="str">
            <v>São Lourenço da Mata</v>
          </cell>
          <cell r="E1623">
            <v>113230</v>
          </cell>
        </row>
        <row r="1624">
          <cell r="D1624" t="str">
            <v>São Vicente Ferrer</v>
          </cell>
          <cell r="E1624">
            <v>18018</v>
          </cell>
        </row>
        <row r="1625">
          <cell r="D1625" t="str">
            <v>Serra Talhada</v>
          </cell>
          <cell r="E1625">
            <v>86350</v>
          </cell>
        </row>
        <row r="1626">
          <cell r="D1626" t="str">
            <v>Serrita</v>
          </cell>
          <cell r="E1626">
            <v>19165</v>
          </cell>
        </row>
        <row r="1627">
          <cell r="D1627" t="str">
            <v>Sertânia</v>
          </cell>
          <cell r="E1627">
            <v>35907</v>
          </cell>
        </row>
        <row r="1628">
          <cell r="D1628" t="str">
            <v>Sirinhaém</v>
          </cell>
          <cell r="E1628">
            <v>45865</v>
          </cell>
        </row>
        <row r="1629">
          <cell r="D1629" t="str">
            <v>Moreilândia</v>
          </cell>
          <cell r="E1629">
            <v>11270</v>
          </cell>
        </row>
        <row r="1630">
          <cell r="D1630" t="str">
            <v>Solidão</v>
          </cell>
          <cell r="E1630">
            <v>6007</v>
          </cell>
        </row>
        <row r="1631">
          <cell r="D1631" t="str">
            <v>Surubim</v>
          </cell>
          <cell r="E1631">
            <v>65089</v>
          </cell>
        </row>
        <row r="1632">
          <cell r="D1632" t="str">
            <v>Tabira</v>
          </cell>
          <cell r="E1632">
            <v>28534</v>
          </cell>
        </row>
        <row r="1633">
          <cell r="D1633" t="str">
            <v>Tacaimbó</v>
          </cell>
          <cell r="E1633">
            <v>12874</v>
          </cell>
        </row>
        <row r="1634">
          <cell r="D1634" t="str">
            <v>Tacaratu</v>
          </cell>
          <cell r="E1634">
            <v>25765</v>
          </cell>
        </row>
        <row r="1635">
          <cell r="D1635" t="str">
            <v>Tamandaré</v>
          </cell>
          <cell r="E1635">
            <v>23388</v>
          </cell>
        </row>
        <row r="1636">
          <cell r="D1636" t="str">
            <v>Taquaritinga do Norte</v>
          </cell>
          <cell r="E1636">
            <v>28775</v>
          </cell>
        </row>
        <row r="1637">
          <cell r="D1637" t="str">
            <v>Terezinha</v>
          </cell>
          <cell r="E1637">
            <v>7169</v>
          </cell>
        </row>
        <row r="1638">
          <cell r="D1638" t="str">
            <v>Terra Nova</v>
          </cell>
          <cell r="E1638">
            <v>10096</v>
          </cell>
        </row>
        <row r="1639">
          <cell r="D1639" t="str">
            <v>Timbaúba</v>
          </cell>
          <cell r="E1639">
            <v>53022</v>
          </cell>
        </row>
        <row r="1640">
          <cell r="D1640" t="str">
            <v>Toritama</v>
          </cell>
          <cell r="E1640">
            <v>45219</v>
          </cell>
        </row>
        <row r="1641">
          <cell r="D1641" t="str">
            <v>Tracunhaém</v>
          </cell>
          <cell r="E1641">
            <v>13769</v>
          </cell>
        </row>
        <row r="1642">
          <cell r="D1642" t="str">
            <v>Trindade</v>
          </cell>
          <cell r="E1642">
            <v>30521</v>
          </cell>
        </row>
        <row r="1643">
          <cell r="D1643" t="str">
            <v>Triunfo</v>
          </cell>
          <cell r="E1643">
            <v>15254</v>
          </cell>
        </row>
        <row r="1644">
          <cell r="D1644" t="str">
            <v>Tupanatinga</v>
          </cell>
          <cell r="E1644">
            <v>27304</v>
          </cell>
        </row>
        <row r="1645">
          <cell r="D1645" t="str">
            <v>Tuparetama</v>
          </cell>
          <cell r="E1645">
            <v>8202</v>
          </cell>
        </row>
        <row r="1646">
          <cell r="D1646" t="str">
            <v>Venturosa</v>
          </cell>
          <cell r="E1646">
            <v>18482</v>
          </cell>
        </row>
        <row r="1647">
          <cell r="D1647" t="str">
            <v>Verdejante</v>
          </cell>
          <cell r="E1647">
            <v>9534</v>
          </cell>
        </row>
        <row r="1648">
          <cell r="D1648" t="str">
            <v>Vertente do Lério</v>
          </cell>
          <cell r="E1648">
            <v>7618</v>
          </cell>
        </row>
        <row r="1649">
          <cell r="D1649" t="str">
            <v>Vertentes</v>
          </cell>
          <cell r="E1649">
            <v>20731</v>
          </cell>
        </row>
        <row r="1650">
          <cell r="D1650" t="str">
            <v>Vicência</v>
          </cell>
          <cell r="E1650">
            <v>32643</v>
          </cell>
        </row>
        <row r="1651">
          <cell r="D1651" t="str">
            <v>Vitória de Santo Antão</v>
          </cell>
          <cell r="E1651">
            <v>138757</v>
          </cell>
        </row>
        <row r="1652">
          <cell r="D1652" t="str">
            <v>Xexéu</v>
          </cell>
          <cell r="E1652">
            <v>14725</v>
          </cell>
        </row>
        <row r="1653">
          <cell r="D1653" t="str">
            <v>Água Branca</v>
          </cell>
          <cell r="E1653">
            <v>20196</v>
          </cell>
        </row>
        <row r="1654">
          <cell r="D1654" t="str">
            <v>Anadia</v>
          </cell>
          <cell r="E1654">
            <v>17545</v>
          </cell>
        </row>
        <row r="1655">
          <cell r="D1655" t="str">
            <v>Arapiraca</v>
          </cell>
          <cell r="E1655">
            <v>231747</v>
          </cell>
        </row>
        <row r="1656">
          <cell r="D1656" t="str">
            <v>Atalaia</v>
          </cell>
          <cell r="E1656">
            <v>47185</v>
          </cell>
        </row>
        <row r="1657">
          <cell r="D1657" t="str">
            <v>Barra de Santo Antônio</v>
          </cell>
          <cell r="E1657">
            <v>15932</v>
          </cell>
        </row>
        <row r="1658">
          <cell r="D1658" t="str">
            <v>Barra de São Miguel</v>
          </cell>
          <cell r="E1658">
            <v>8322</v>
          </cell>
        </row>
        <row r="1659">
          <cell r="D1659" t="str">
            <v>Batalha</v>
          </cell>
          <cell r="E1659">
            <v>18232</v>
          </cell>
        </row>
        <row r="1660">
          <cell r="D1660" t="str">
            <v>Belém</v>
          </cell>
          <cell r="E1660">
            <v>4344</v>
          </cell>
        </row>
        <row r="1661">
          <cell r="D1661" t="str">
            <v>Belo Monte</v>
          </cell>
          <cell r="E1661">
            <v>6704</v>
          </cell>
        </row>
        <row r="1662">
          <cell r="D1662" t="str">
            <v>Boca da Mata</v>
          </cell>
          <cell r="E1662">
            <v>27281</v>
          </cell>
        </row>
        <row r="1663">
          <cell r="D1663" t="str">
            <v>Branquinha</v>
          </cell>
          <cell r="E1663">
            <v>10494</v>
          </cell>
        </row>
        <row r="1664">
          <cell r="D1664" t="str">
            <v>Cacimbinhas</v>
          </cell>
          <cell r="E1664">
            <v>10858</v>
          </cell>
        </row>
        <row r="1665">
          <cell r="D1665" t="str">
            <v>Cajueiro</v>
          </cell>
          <cell r="E1665">
            <v>21264</v>
          </cell>
        </row>
        <row r="1666">
          <cell r="D1666" t="str">
            <v>Campestre</v>
          </cell>
          <cell r="E1666">
            <v>6936</v>
          </cell>
        </row>
        <row r="1667">
          <cell r="D1667" t="str">
            <v>Campo Alegre</v>
          </cell>
          <cell r="E1667">
            <v>57063</v>
          </cell>
        </row>
        <row r="1668">
          <cell r="D1668" t="str">
            <v>Campo Grande</v>
          </cell>
          <cell r="E1668">
            <v>9558</v>
          </cell>
        </row>
        <row r="1669">
          <cell r="D1669" t="str">
            <v>Canapi</v>
          </cell>
          <cell r="E1669">
            <v>17722</v>
          </cell>
        </row>
        <row r="1670">
          <cell r="D1670" t="str">
            <v>Capela</v>
          </cell>
          <cell r="E1670">
            <v>17053</v>
          </cell>
        </row>
        <row r="1671">
          <cell r="D1671" t="str">
            <v>Carneiros</v>
          </cell>
          <cell r="E1671">
            <v>9081</v>
          </cell>
        </row>
        <row r="1672">
          <cell r="D1672" t="str">
            <v>Chã Preta</v>
          </cell>
          <cell r="E1672">
            <v>7311</v>
          </cell>
        </row>
        <row r="1673">
          <cell r="D1673" t="str">
            <v>Coité do Nóia</v>
          </cell>
          <cell r="E1673">
            <v>10693</v>
          </cell>
        </row>
        <row r="1674">
          <cell r="D1674" t="str">
            <v>Colônia Leopoldina</v>
          </cell>
          <cell r="E1674">
            <v>21698</v>
          </cell>
        </row>
        <row r="1675">
          <cell r="D1675" t="str">
            <v>Coqueiro Seco</v>
          </cell>
          <cell r="E1675">
            <v>5845</v>
          </cell>
        </row>
        <row r="1676">
          <cell r="D1676" t="str">
            <v>Coruripe</v>
          </cell>
          <cell r="E1676">
            <v>56933</v>
          </cell>
        </row>
        <row r="1677">
          <cell r="D1677" t="str">
            <v>Craíbas</v>
          </cell>
          <cell r="E1677">
            <v>24219</v>
          </cell>
        </row>
        <row r="1678">
          <cell r="D1678" t="str">
            <v>Delmiro Gouveia</v>
          </cell>
          <cell r="E1678">
            <v>52016</v>
          </cell>
        </row>
        <row r="1679">
          <cell r="D1679" t="str">
            <v>Dois Riachos</v>
          </cell>
          <cell r="E1679">
            <v>11075</v>
          </cell>
        </row>
        <row r="1680">
          <cell r="D1680" t="str">
            <v>Estrela de Alagoas</v>
          </cell>
          <cell r="E1680">
            <v>18205</v>
          </cell>
        </row>
        <row r="1681">
          <cell r="D1681" t="str">
            <v>Feira Grande</v>
          </cell>
          <cell r="E1681">
            <v>22166</v>
          </cell>
        </row>
        <row r="1682">
          <cell r="D1682" t="str">
            <v>Feliz Deserto</v>
          </cell>
          <cell r="E1682">
            <v>4754</v>
          </cell>
        </row>
        <row r="1683">
          <cell r="D1683" t="str">
            <v>Flexeiras</v>
          </cell>
          <cell r="E1683">
            <v>12790</v>
          </cell>
        </row>
        <row r="1684">
          <cell r="D1684" t="str">
            <v>Girau do Ponciano</v>
          </cell>
          <cell r="E1684">
            <v>40917</v>
          </cell>
        </row>
        <row r="1685">
          <cell r="D1685" t="str">
            <v>Ibateguara</v>
          </cell>
          <cell r="E1685">
            <v>15616</v>
          </cell>
        </row>
        <row r="1686">
          <cell r="D1686" t="str">
            <v>Igaci</v>
          </cell>
          <cell r="E1686">
            <v>25631</v>
          </cell>
        </row>
        <row r="1687">
          <cell r="D1687" t="str">
            <v>Igreja Nova</v>
          </cell>
          <cell r="E1687">
            <v>24499</v>
          </cell>
        </row>
        <row r="1688">
          <cell r="D1688" t="str">
            <v>Inhapi</v>
          </cell>
          <cell r="E1688">
            <v>18385</v>
          </cell>
        </row>
        <row r="1689">
          <cell r="D1689" t="str">
            <v>Jacaré dos Homens</v>
          </cell>
          <cell r="E1689">
            <v>5253</v>
          </cell>
        </row>
        <row r="1690">
          <cell r="D1690" t="str">
            <v>Jacuípe</v>
          </cell>
          <cell r="E1690">
            <v>7021</v>
          </cell>
        </row>
        <row r="1691">
          <cell r="D1691" t="str">
            <v>Japaratinga</v>
          </cell>
          <cell r="E1691">
            <v>8361</v>
          </cell>
        </row>
        <row r="1692">
          <cell r="D1692" t="str">
            <v>Jaramataia</v>
          </cell>
          <cell r="E1692">
            <v>5770</v>
          </cell>
        </row>
        <row r="1693">
          <cell r="D1693" t="str">
            <v>Jequiá da Praia</v>
          </cell>
          <cell r="E1693">
            <v>11580</v>
          </cell>
        </row>
        <row r="1694">
          <cell r="D1694" t="str">
            <v>Joaquim Gomes</v>
          </cell>
          <cell r="E1694">
            <v>23993</v>
          </cell>
        </row>
        <row r="1695">
          <cell r="D1695" t="str">
            <v>Jundiá</v>
          </cell>
          <cell r="E1695">
            <v>4155</v>
          </cell>
        </row>
        <row r="1696">
          <cell r="D1696" t="str">
            <v>Junqueiro</v>
          </cell>
          <cell r="E1696">
            <v>24727</v>
          </cell>
        </row>
        <row r="1697">
          <cell r="D1697" t="str">
            <v>Lagoa da Canoa</v>
          </cell>
          <cell r="E1697">
            <v>17852</v>
          </cell>
        </row>
        <row r="1698">
          <cell r="D1698" t="str">
            <v>Limoeiro de Anadia</v>
          </cell>
          <cell r="E1698">
            <v>28635</v>
          </cell>
        </row>
        <row r="1699">
          <cell r="D1699" t="str">
            <v>Maceió</v>
          </cell>
          <cell r="E1699">
            <v>1018948</v>
          </cell>
        </row>
        <row r="1700">
          <cell r="D1700" t="str">
            <v>Major Isidoro</v>
          </cell>
          <cell r="E1700">
            <v>19804</v>
          </cell>
        </row>
        <row r="1701">
          <cell r="D1701" t="str">
            <v>Maragogi</v>
          </cell>
          <cell r="E1701">
            <v>32704</v>
          </cell>
        </row>
        <row r="1702">
          <cell r="D1702" t="str">
            <v>Maravilha</v>
          </cell>
          <cell r="E1702">
            <v>9163</v>
          </cell>
        </row>
        <row r="1703">
          <cell r="D1703" t="str">
            <v>Marechal Deodoro</v>
          </cell>
          <cell r="E1703">
            <v>51901</v>
          </cell>
        </row>
        <row r="1704">
          <cell r="D1704" t="str">
            <v>Maribondo</v>
          </cell>
          <cell r="E1704">
            <v>13264</v>
          </cell>
        </row>
        <row r="1705">
          <cell r="D1705" t="str">
            <v>Mar Vermelho</v>
          </cell>
          <cell r="E1705">
            <v>3514</v>
          </cell>
        </row>
        <row r="1706">
          <cell r="D1706" t="str">
            <v>Mata Grande</v>
          </cell>
          <cell r="E1706">
            <v>25216</v>
          </cell>
        </row>
        <row r="1707">
          <cell r="D1707" t="str">
            <v>Matriz de Camaragibe</v>
          </cell>
          <cell r="E1707">
            <v>24642</v>
          </cell>
        </row>
        <row r="1708">
          <cell r="D1708" t="str">
            <v>Messias</v>
          </cell>
          <cell r="E1708">
            <v>17856</v>
          </cell>
        </row>
        <row r="1709">
          <cell r="D1709" t="str">
            <v>Minador do Negrão</v>
          </cell>
          <cell r="E1709">
            <v>5329</v>
          </cell>
        </row>
        <row r="1710">
          <cell r="D1710" t="str">
            <v>Monteirópolis</v>
          </cell>
          <cell r="E1710">
            <v>7159</v>
          </cell>
        </row>
        <row r="1711">
          <cell r="D1711" t="str">
            <v>Murici</v>
          </cell>
          <cell r="E1711">
            <v>28236</v>
          </cell>
        </row>
        <row r="1712">
          <cell r="D1712" t="str">
            <v>Novo Lino</v>
          </cell>
          <cell r="E1712">
            <v>12690</v>
          </cell>
        </row>
        <row r="1713">
          <cell r="D1713" t="str">
            <v>Olho d'Água das Flores</v>
          </cell>
          <cell r="E1713">
            <v>21688</v>
          </cell>
        </row>
        <row r="1714">
          <cell r="D1714" t="str">
            <v>Olho d'Água do Casado</v>
          </cell>
          <cell r="E1714">
            <v>9373</v>
          </cell>
        </row>
        <row r="1715">
          <cell r="D1715" t="str">
            <v>Olho d'Água Grande</v>
          </cell>
          <cell r="E1715">
            <v>5123</v>
          </cell>
        </row>
        <row r="1716">
          <cell r="D1716" t="str">
            <v>Olivença</v>
          </cell>
          <cell r="E1716">
            <v>11624</v>
          </cell>
        </row>
        <row r="1717">
          <cell r="D1717" t="str">
            <v>Ouro Branco</v>
          </cell>
          <cell r="E1717">
            <v>11496</v>
          </cell>
        </row>
        <row r="1718">
          <cell r="D1718" t="str">
            <v>Palestina</v>
          </cell>
          <cell r="E1718">
            <v>5011</v>
          </cell>
        </row>
        <row r="1719">
          <cell r="D1719" t="str">
            <v>Palmeira dos Índios</v>
          </cell>
          <cell r="E1719">
            <v>73218</v>
          </cell>
        </row>
        <row r="1720">
          <cell r="D1720" t="str">
            <v>Pão de Açúcar</v>
          </cell>
          <cell r="E1720">
            <v>24399</v>
          </cell>
        </row>
        <row r="1721">
          <cell r="D1721" t="str">
            <v>Pariconha</v>
          </cell>
          <cell r="E1721">
            <v>10533</v>
          </cell>
        </row>
        <row r="1722">
          <cell r="D1722" t="str">
            <v>Paripueira</v>
          </cell>
          <cell r="E1722">
            <v>13176</v>
          </cell>
        </row>
        <row r="1723">
          <cell r="D1723" t="str">
            <v>Passo de Camaragibe</v>
          </cell>
          <cell r="E1723">
            <v>15245</v>
          </cell>
        </row>
        <row r="1724">
          <cell r="D1724" t="str">
            <v>Paulo Jacinto</v>
          </cell>
          <cell r="E1724">
            <v>7564</v>
          </cell>
        </row>
        <row r="1725">
          <cell r="D1725" t="str">
            <v>Penedo</v>
          </cell>
          <cell r="E1725">
            <v>63683</v>
          </cell>
        </row>
        <row r="1726">
          <cell r="D1726" t="str">
            <v>Piaçabuçu</v>
          </cell>
          <cell r="E1726">
            <v>17827</v>
          </cell>
        </row>
        <row r="1727">
          <cell r="D1727" t="str">
            <v>Pilar</v>
          </cell>
          <cell r="E1727">
            <v>35111</v>
          </cell>
        </row>
        <row r="1728">
          <cell r="D1728" t="str">
            <v>Pindoba</v>
          </cell>
          <cell r="E1728">
            <v>2908</v>
          </cell>
        </row>
        <row r="1729">
          <cell r="D1729" t="str">
            <v>Piranhas</v>
          </cell>
          <cell r="E1729">
            <v>25039</v>
          </cell>
        </row>
        <row r="1730">
          <cell r="D1730" t="str">
            <v>Poço das Trincheiras</v>
          </cell>
          <cell r="E1730">
            <v>14386</v>
          </cell>
        </row>
        <row r="1731">
          <cell r="D1731" t="str">
            <v>Porto Calvo</v>
          </cell>
          <cell r="E1731">
            <v>27165</v>
          </cell>
        </row>
        <row r="1732">
          <cell r="D1732" t="str">
            <v>Porto de Pedras</v>
          </cell>
          <cell r="E1732">
            <v>7786</v>
          </cell>
        </row>
        <row r="1733">
          <cell r="D1733" t="str">
            <v>Porto Real do Colégio</v>
          </cell>
          <cell r="E1733">
            <v>20066</v>
          </cell>
        </row>
        <row r="1734">
          <cell r="D1734" t="str">
            <v>Quebrangulo</v>
          </cell>
          <cell r="E1734">
            <v>11294</v>
          </cell>
        </row>
        <row r="1735">
          <cell r="D1735" t="str">
            <v>Rio Largo</v>
          </cell>
          <cell r="E1735">
            <v>75120</v>
          </cell>
        </row>
        <row r="1736">
          <cell r="D1736" t="str">
            <v>Roteiro</v>
          </cell>
          <cell r="E1736">
            <v>6664</v>
          </cell>
        </row>
        <row r="1737">
          <cell r="D1737" t="str">
            <v>Santa Luzia do Norte</v>
          </cell>
          <cell r="E1737">
            <v>7296</v>
          </cell>
        </row>
        <row r="1738">
          <cell r="D1738" t="str">
            <v>Santana do Ipanema</v>
          </cell>
          <cell r="E1738">
            <v>47654</v>
          </cell>
        </row>
        <row r="1739">
          <cell r="D1739" t="str">
            <v>Santana do Mundaú</v>
          </cell>
          <cell r="E1739">
            <v>10740</v>
          </cell>
        </row>
        <row r="1740">
          <cell r="D1740" t="str">
            <v>São Brás</v>
          </cell>
          <cell r="E1740">
            <v>6961</v>
          </cell>
        </row>
        <row r="1741">
          <cell r="D1741" t="str">
            <v>São José da Laje</v>
          </cell>
          <cell r="E1741">
            <v>23927</v>
          </cell>
        </row>
        <row r="1742">
          <cell r="D1742" t="str">
            <v>São José da Tapera</v>
          </cell>
          <cell r="E1742">
            <v>32260</v>
          </cell>
        </row>
        <row r="1743">
          <cell r="D1743" t="str">
            <v>São Luís do Quitunde</v>
          </cell>
          <cell r="E1743">
            <v>34555</v>
          </cell>
        </row>
        <row r="1744">
          <cell r="D1744" t="str">
            <v>São Miguel dos Campos</v>
          </cell>
          <cell r="E1744">
            <v>61251</v>
          </cell>
        </row>
        <row r="1745">
          <cell r="D1745" t="str">
            <v>São Miguel dos Milagres</v>
          </cell>
          <cell r="E1745">
            <v>7951</v>
          </cell>
        </row>
        <row r="1746">
          <cell r="D1746" t="str">
            <v>São Sebastião</v>
          </cell>
          <cell r="E1746">
            <v>34152</v>
          </cell>
        </row>
        <row r="1747">
          <cell r="D1747" t="str">
            <v>Satuba</v>
          </cell>
          <cell r="E1747">
            <v>13828</v>
          </cell>
        </row>
        <row r="1748">
          <cell r="D1748" t="str">
            <v>Senador Rui Palmeira</v>
          </cell>
          <cell r="E1748">
            <v>13870</v>
          </cell>
        </row>
        <row r="1749">
          <cell r="D1749" t="str">
            <v>Tanque d'Arca</v>
          </cell>
          <cell r="E1749">
            <v>6162</v>
          </cell>
        </row>
        <row r="1750">
          <cell r="D1750" t="str">
            <v>Taquarana</v>
          </cell>
          <cell r="E1750">
            <v>19980</v>
          </cell>
        </row>
        <row r="1751">
          <cell r="D1751" t="str">
            <v>Teotônio Vilela</v>
          </cell>
          <cell r="E1751">
            <v>44169</v>
          </cell>
        </row>
        <row r="1752">
          <cell r="D1752" t="str">
            <v>Traipu</v>
          </cell>
          <cell r="E1752">
            <v>27715</v>
          </cell>
        </row>
        <row r="1753">
          <cell r="D1753" t="str">
            <v>União dos Palmares</v>
          </cell>
          <cell r="E1753">
            <v>65611</v>
          </cell>
        </row>
        <row r="1754">
          <cell r="D1754" t="str">
            <v>Viçosa</v>
          </cell>
          <cell r="E1754">
            <v>25733</v>
          </cell>
        </row>
        <row r="1755">
          <cell r="D1755" t="str">
            <v>Amparo de São Francisco</v>
          </cell>
          <cell r="E1755">
            <v>2374</v>
          </cell>
        </row>
        <row r="1756">
          <cell r="D1756" t="str">
            <v>Aquidabã</v>
          </cell>
          <cell r="E1756">
            <v>21563</v>
          </cell>
        </row>
        <row r="1757">
          <cell r="D1757" t="str">
            <v>Aracaju</v>
          </cell>
          <cell r="E1757">
            <v>657013</v>
          </cell>
        </row>
        <row r="1758">
          <cell r="D1758" t="str">
            <v>Arauá</v>
          </cell>
          <cell r="E1758">
            <v>10056</v>
          </cell>
        </row>
        <row r="1759">
          <cell r="D1759" t="str">
            <v>Areia Branca</v>
          </cell>
          <cell r="E1759">
            <v>18542</v>
          </cell>
        </row>
        <row r="1760">
          <cell r="D1760" t="str">
            <v>Barra dos Coqueiros</v>
          </cell>
          <cell r="E1760">
            <v>30407</v>
          </cell>
        </row>
        <row r="1761">
          <cell r="D1761" t="str">
            <v>Boquim</v>
          </cell>
          <cell r="E1761">
            <v>26816</v>
          </cell>
        </row>
        <row r="1762">
          <cell r="D1762" t="str">
            <v>Brejo Grande</v>
          </cell>
          <cell r="E1762">
            <v>8309</v>
          </cell>
        </row>
        <row r="1763">
          <cell r="D1763" t="str">
            <v>Campo do Brito</v>
          </cell>
          <cell r="E1763">
            <v>18109</v>
          </cell>
        </row>
        <row r="1764">
          <cell r="D1764" t="str">
            <v>Canhoba</v>
          </cell>
          <cell r="E1764">
            <v>4008</v>
          </cell>
        </row>
        <row r="1765">
          <cell r="D1765" t="str">
            <v>Canindé de São Francisco</v>
          </cell>
          <cell r="E1765">
            <v>29900</v>
          </cell>
        </row>
        <row r="1766">
          <cell r="D1766" t="str">
            <v>Capela</v>
          </cell>
          <cell r="E1766">
            <v>34213</v>
          </cell>
        </row>
        <row r="1767">
          <cell r="D1767" t="str">
            <v>Carira</v>
          </cell>
          <cell r="E1767">
            <v>22082</v>
          </cell>
        </row>
        <row r="1768">
          <cell r="D1768" t="str">
            <v>Carmópolis</v>
          </cell>
          <cell r="E1768">
            <v>16634</v>
          </cell>
        </row>
        <row r="1769">
          <cell r="D1769" t="str">
            <v>Cedro de São João</v>
          </cell>
          <cell r="E1769">
            <v>5897</v>
          </cell>
        </row>
        <row r="1770">
          <cell r="D1770" t="str">
            <v>Cristinápolis</v>
          </cell>
          <cell r="E1770">
            <v>17874</v>
          </cell>
        </row>
        <row r="1771">
          <cell r="D1771" t="str">
            <v>Cumbe</v>
          </cell>
          <cell r="E1771">
            <v>3987</v>
          </cell>
        </row>
        <row r="1772">
          <cell r="D1772" t="str">
            <v>Divina Pastora</v>
          </cell>
          <cell r="E1772">
            <v>5138</v>
          </cell>
        </row>
        <row r="1773">
          <cell r="D1773" t="str">
            <v>Estância</v>
          </cell>
          <cell r="E1773">
            <v>69184</v>
          </cell>
        </row>
        <row r="1774">
          <cell r="D1774" t="str">
            <v>Feira Nova</v>
          </cell>
          <cell r="E1774">
            <v>5584</v>
          </cell>
        </row>
        <row r="1775">
          <cell r="D1775" t="str">
            <v>Frei Paulo</v>
          </cell>
          <cell r="E1775">
            <v>15421</v>
          </cell>
        </row>
        <row r="1776">
          <cell r="D1776" t="str">
            <v>Gararu</v>
          </cell>
          <cell r="E1776">
            <v>11604</v>
          </cell>
        </row>
        <row r="1777">
          <cell r="D1777" t="str">
            <v>General Maynard</v>
          </cell>
          <cell r="E1777">
            <v>3346</v>
          </cell>
        </row>
        <row r="1778">
          <cell r="D1778" t="str">
            <v>Graccho Cardoso</v>
          </cell>
          <cell r="E1778">
            <v>5818</v>
          </cell>
        </row>
        <row r="1779">
          <cell r="D1779" t="str">
            <v>Ilha das Flores</v>
          </cell>
          <cell r="E1779">
            <v>8520</v>
          </cell>
        </row>
        <row r="1780">
          <cell r="D1780" t="str">
            <v>Indiaroba</v>
          </cell>
          <cell r="E1780">
            <v>17957</v>
          </cell>
        </row>
        <row r="1781">
          <cell r="D1781" t="str">
            <v>Itabaiana</v>
          </cell>
          <cell r="E1781">
            <v>95427</v>
          </cell>
        </row>
        <row r="1782">
          <cell r="D1782" t="str">
            <v>Itabaianinha</v>
          </cell>
          <cell r="E1782">
            <v>41928</v>
          </cell>
        </row>
        <row r="1783">
          <cell r="D1783" t="str">
            <v>Itabi</v>
          </cell>
          <cell r="E1783">
            <v>4903</v>
          </cell>
        </row>
        <row r="1784">
          <cell r="D1784" t="str">
            <v>Itaporanga d'Ajuda</v>
          </cell>
          <cell r="E1784">
            <v>34356</v>
          </cell>
        </row>
        <row r="1785">
          <cell r="D1785" t="str">
            <v>Japaratuba</v>
          </cell>
          <cell r="E1785">
            <v>18743</v>
          </cell>
        </row>
        <row r="1786">
          <cell r="D1786" t="str">
            <v>Japoatã</v>
          </cell>
          <cell r="E1786">
            <v>13434</v>
          </cell>
        </row>
        <row r="1787">
          <cell r="D1787" t="str">
            <v>Lagarto</v>
          </cell>
          <cell r="E1787">
            <v>104408</v>
          </cell>
        </row>
        <row r="1788">
          <cell r="D1788" t="str">
            <v>Laranjeiras</v>
          </cell>
          <cell r="E1788">
            <v>29826</v>
          </cell>
        </row>
        <row r="1789">
          <cell r="D1789" t="str">
            <v>Macambira</v>
          </cell>
          <cell r="E1789">
            <v>6919</v>
          </cell>
        </row>
        <row r="1790">
          <cell r="D1790" t="str">
            <v>Malhada dos Bois</v>
          </cell>
          <cell r="E1790">
            <v>3682</v>
          </cell>
        </row>
        <row r="1791">
          <cell r="D1791" t="str">
            <v>Malhador</v>
          </cell>
          <cell r="E1791">
            <v>12618</v>
          </cell>
        </row>
        <row r="1792">
          <cell r="D1792" t="str">
            <v>Maruim</v>
          </cell>
          <cell r="E1792">
            <v>17213</v>
          </cell>
        </row>
        <row r="1793">
          <cell r="D1793" t="str">
            <v>Moita Bonita</v>
          </cell>
          <cell r="E1793">
            <v>11335</v>
          </cell>
        </row>
        <row r="1794">
          <cell r="D1794" t="str">
            <v>Monte Alegre de Sergipe</v>
          </cell>
          <cell r="E1794">
            <v>15031</v>
          </cell>
        </row>
        <row r="1795">
          <cell r="D1795" t="str">
            <v>Muribeca</v>
          </cell>
          <cell r="E1795">
            <v>7625</v>
          </cell>
        </row>
        <row r="1796">
          <cell r="D1796" t="str">
            <v>Neópolis</v>
          </cell>
          <cell r="E1796">
            <v>18719</v>
          </cell>
        </row>
        <row r="1797">
          <cell r="D1797" t="str">
            <v>Nossa Senhora Aparecida</v>
          </cell>
          <cell r="E1797">
            <v>8796</v>
          </cell>
        </row>
        <row r="1798">
          <cell r="D1798" t="str">
            <v>Nossa Senhora da Glória</v>
          </cell>
          <cell r="E1798">
            <v>36924</v>
          </cell>
        </row>
        <row r="1799">
          <cell r="D1799" t="str">
            <v>Nossa Senhora das Dores</v>
          </cell>
          <cell r="E1799">
            <v>26629</v>
          </cell>
        </row>
        <row r="1800">
          <cell r="D1800" t="str">
            <v>Nossa Senhora de Lourdes</v>
          </cell>
          <cell r="E1800">
            <v>6483</v>
          </cell>
        </row>
        <row r="1801">
          <cell r="D1801" t="str">
            <v>Nossa Senhora do Socorro</v>
          </cell>
          <cell r="E1801">
            <v>183628</v>
          </cell>
        </row>
        <row r="1802">
          <cell r="D1802" t="str">
            <v>Pacatuba</v>
          </cell>
          <cell r="E1802">
            <v>14428</v>
          </cell>
        </row>
        <row r="1803">
          <cell r="D1803" t="str">
            <v>Pedra Mole</v>
          </cell>
          <cell r="E1803">
            <v>3261</v>
          </cell>
        </row>
        <row r="1804">
          <cell r="D1804" t="str">
            <v>Pedrinhas</v>
          </cell>
          <cell r="E1804">
            <v>9602</v>
          </cell>
        </row>
        <row r="1805">
          <cell r="D1805" t="str">
            <v>Pinhão</v>
          </cell>
          <cell r="E1805">
            <v>6576</v>
          </cell>
        </row>
        <row r="1806">
          <cell r="D1806" t="str">
            <v>Pirambu</v>
          </cell>
          <cell r="E1806">
            <v>9280</v>
          </cell>
        </row>
        <row r="1807">
          <cell r="D1807" t="str">
            <v>Poço Redondo</v>
          </cell>
          <cell r="E1807">
            <v>34775</v>
          </cell>
        </row>
        <row r="1808">
          <cell r="D1808" t="str">
            <v>Poço Verde</v>
          </cell>
          <cell r="E1808">
            <v>23728</v>
          </cell>
        </row>
        <row r="1809">
          <cell r="D1809" t="str">
            <v>Porto da Folha</v>
          </cell>
          <cell r="E1809">
            <v>28596</v>
          </cell>
        </row>
        <row r="1810">
          <cell r="D1810" t="str">
            <v>Propriá</v>
          </cell>
          <cell r="E1810">
            <v>29626</v>
          </cell>
        </row>
        <row r="1811">
          <cell r="D1811" t="str">
            <v>Riachão do Dantas</v>
          </cell>
          <cell r="E1811">
            <v>19805</v>
          </cell>
        </row>
        <row r="1812">
          <cell r="D1812" t="str">
            <v>Riachuelo</v>
          </cell>
          <cell r="E1812">
            <v>10213</v>
          </cell>
        </row>
        <row r="1813">
          <cell r="D1813" t="str">
            <v>Ribeirópolis</v>
          </cell>
          <cell r="E1813">
            <v>18652</v>
          </cell>
        </row>
        <row r="1814">
          <cell r="D1814" t="str">
            <v>Rosário do Catete</v>
          </cell>
          <cell r="E1814">
            <v>10855</v>
          </cell>
        </row>
        <row r="1815">
          <cell r="D1815" t="str">
            <v>Salgado</v>
          </cell>
          <cell r="E1815">
            <v>19998</v>
          </cell>
        </row>
        <row r="1816">
          <cell r="D1816" t="str">
            <v>Santa Luzia do Itanhy</v>
          </cell>
          <cell r="E1816">
            <v>14035</v>
          </cell>
        </row>
        <row r="1817">
          <cell r="D1817" t="str">
            <v>Santana do São Francisco</v>
          </cell>
          <cell r="E1817">
            <v>7780</v>
          </cell>
        </row>
        <row r="1818">
          <cell r="D1818" t="str">
            <v>Santa Rosa de Lima</v>
          </cell>
          <cell r="E1818">
            <v>3913</v>
          </cell>
        </row>
        <row r="1819">
          <cell r="D1819" t="str">
            <v>Santo Amaro das Brotas</v>
          </cell>
          <cell r="E1819">
            <v>12102</v>
          </cell>
        </row>
        <row r="1820">
          <cell r="D1820" t="str">
            <v>São Cristóvão</v>
          </cell>
          <cell r="E1820">
            <v>90072</v>
          </cell>
        </row>
        <row r="1821">
          <cell r="D1821" t="str">
            <v>São Domingos</v>
          </cell>
          <cell r="E1821">
            <v>11137</v>
          </cell>
        </row>
        <row r="1822">
          <cell r="D1822" t="str">
            <v>São Francisco</v>
          </cell>
          <cell r="E1822">
            <v>3724</v>
          </cell>
        </row>
        <row r="1823">
          <cell r="D1823" t="str">
            <v>São Miguel do Aleixo</v>
          </cell>
          <cell r="E1823">
            <v>3930</v>
          </cell>
        </row>
        <row r="1824">
          <cell r="D1824" t="str">
            <v>Simão Dias</v>
          </cell>
          <cell r="E1824">
            <v>40484</v>
          </cell>
        </row>
        <row r="1825">
          <cell r="D1825" t="str">
            <v>Siriri</v>
          </cell>
          <cell r="E1825">
            <v>8893</v>
          </cell>
        </row>
        <row r="1826">
          <cell r="D1826" t="str">
            <v>Telha</v>
          </cell>
          <cell r="E1826">
            <v>3227</v>
          </cell>
        </row>
        <row r="1827">
          <cell r="D1827" t="str">
            <v>Tobias Barreto</v>
          </cell>
          <cell r="E1827">
            <v>52191</v>
          </cell>
        </row>
        <row r="1828">
          <cell r="D1828" t="str">
            <v>Tomar do Geru</v>
          </cell>
          <cell r="E1828">
            <v>13536</v>
          </cell>
        </row>
        <row r="1829">
          <cell r="D1829" t="str">
            <v>Umbaúba</v>
          </cell>
          <cell r="E1829">
            <v>25294</v>
          </cell>
        </row>
        <row r="1830">
          <cell r="D1830" t="str">
            <v>Abaíra</v>
          </cell>
          <cell r="E1830">
            <v>8739</v>
          </cell>
        </row>
        <row r="1831">
          <cell r="D1831" t="str">
            <v>Abaré</v>
          </cell>
          <cell r="E1831">
            <v>20086</v>
          </cell>
        </row>
        <row r="1832">
          <cell r="D1832" t="str">
            <v>Acajutiba</v>
          </cell>
          <cell r="E1832">
            <v>15159</v>
          </cell>
        </row>
        <row r="1833">
          <cell r="D1833" t="str">
            <v>Adustina</v>
          </cell>
          <cell r="E1833" t="str">
            <v>17040 (8)</v>
          </cell>
        </row>
        <row r="1834">
          <cell r="D1834" t="str">
            <v>Água Fria</v>
          </cell>
          <cell r="E1834">
            <v>16970</v>
          </cell>
        </row>
        <row r="1835">
          <cell r="D1835" t="str">
            <v>Érico Cardoso</v>
          </cell>
          <cell r="E1835">
            <v>10610</v>
          </cell>
        </row>
        <row r="1836">
          <cell r="D1836" t="str">
            <v>Aiquara</v>
          </cell>
          <cell r="E1836">
            <v>4446</v>
          </cell>
        </row>
        <row r="1837">
          <cell r="D1837" t="str">
            <v>Alagoinhas</v>
          </cell>
          <cell r="E1837">
            <v>151596</v>
          </cell>
        </row>
        <row r="1838">
          <cell r="D1838" t="str">
            <v>Alcobaça</v>
          </cell>
          <cell r="E1838">
            <v>22470</v>
          </cell>
        </row>
        <row r="1839">
          <cell r="D1839" t="str">
            <v>Almadina</v>
          </cell>
          <cell r="E1839">
            <v>5464</v>
          </cell>
        </row>
        <row r="1840">
          <cell r="D1840" t="str">
            <v>Amargosa</v>
          </cell>
          <cell r="E1840" t="str">
            <v>37241 (9)</v>
          </cell>
        </row>
        <row r="1841">
          <cell r="D1841" t="str">
            <v>Amélia Rodrigues</v>
          </cell>
          <cell r="E1841">
            <v>25102</v>
          </cell>
        </row>
        <row r="1842">
          <cell r="D1842" t="str">
            <v>América Dourada</v>
          </cell>
          <cell r="E1842">
            <v>16094</v>
          </cell>
        </row>
        <row r="1843">
          <cell r="D1843" t="str">
            <v>Anagé</v>
          </cell>
          <cell r="E1843">
            <v>17857</v>
          </cell>
        </row>
        <row r="1844">
          <cell r="D1844" t="str">
            <v>Andaraí</v>
          </cell>
          <cell r="E1844">
            <v>13143</v>
          </cell>
        </row>
        <row r="1845">
          <cell r="D1845" t="str">
            <v>Andorinha</v>
          </cell>
          <cell r="E1845">
            <v>14595</v>
          </cell>
        </row>
        <row r="1846">
          <cell r="D1846" t="str">
            <v>Angical</v>
          </cell>
          <cell r="E1846">
            <v>13977</v>
          </cell>
        </row>
        <row r="1847">
          <cell r="D1847" t="str">
            <v>Anguera</v>
          </cell>
          <cell r="E1847">
            <v>11221</v>
          </cell>
        </row>
        <row r="1848">
          <cell r="D1848" t="str">
            <v>Antas</v>
          </cell>
          <cell r="E1848">
            <v>19291</v>
          </cell>
        </row>
        <row r="1849">
          <cell r="D1849" t="str">
            <v>Antônio Cardoso</v>
          </cell>
          <cell r="E1849">
            <v>11683</v>
          </cell>
        </row>
        <row r="1850">
          <cell r="D1850" t="str">
            <v>Antônio Gonçalves</v>
          </cell>
          <cell r="E1850">
            <v>11798</v>
          </cell>
        </row>
        <row r="1851">
          <cell r="D1851" t="str">
            <v>Aporá</v>
          </cell>
          <cell r="E1851">
            <v>17731</v>
          </cell>
        </row>
        <row r="1852">
          <cell r="D1852" t="str">
            <v>Apuarema</v>
          </cell>
          <cell r="E1852">
            <v>7330</v>
          </cell>
        </row>
        <row r="1853">
          <cell r="D1853" t="str">
            <v>Aracatu</v>
          </cell>
          <cell r="E1853">
            <v>13135</v>
          </cell>
        </row>
        <row r="1854">
          <cell r="D1854" t="str">
            <v>Araças</v>
          </cell>
          <cell r="E1854">
            <v>12177</v>
          </cell>
        </row>
        <row r="1855">
          <cell r="D1855" t="str">
            <v>Araci</v>
          </cell>
          <cell r="E1855">
            <v>54379</v>
          </cell>
        </row>
        <row r="1856">
          <cell r="D1856" t="str">
            <v>Aramari</v>
          </cell>
          <cell r="E1856">
            <v>11397</v>
          </cell>
        </row>
        <row r="1857">
          <cell r="D1857" t="str">
            <v>Arataca</v>
          </cell>
          <cell r="E1857">
            <v>11019</v>
          </cell>
        </row>
        <row r="1858">
          <cell r="D1858" t="str">
            <v>Aratuípe</v>
          </cell>
          <cell r="E1858">
            <v>8825</v>
          </cell>
        </row>
        <row r="1859">
          <cell r="D1859" t="str">
            <v>Aurelino Leal</v>
          </cell>
          <cell r="E1859">
            <v>11531</v>
          </cell>
        </row>
        <row r="1860">
          <cell r="D1860" t="str">
            <v>Baianópolis</v>
          </cell>
          <cell r="E1860">
            <v>13877</v>
          </cell>
        </row>
        <row r="1861">
          <cell r="D1861" t="str">
            <v>Baixa Grande</v>
          </cell>
          <cell r="E1861">
            <v>20468</v>
          </cell>
        </row>
        <row r="1862">
          <cell r="D1862" t="str">
            <v>Banzaê</v>
          </cell>
          <cell r="E1862" t="str">
            <v>13229 (10)</v>
          </cell>
        </row>
        <row r="1863">
          <cell r="D1863" t="str">
            <v>Barra</v>
          </cell>
          <cell r="E1863">
            <v>53578</v>
          </cell>
        </row>
        <row r="1864">
          <cell r="D1864" t="str">
            <v>Barra da Estiva</v>
          </cell>
          <cell r="E1864">
            <v>20598</v>
          </cell>
        </row>
        <row r="1865">
          <cell r="D1865" t="str">
            <v>Barra do Choça</v>
          </cell>
          <cell r="E1865">
            <v>31603</v>
          </cell>
        </row>
        <row r="1866">
          <cell r="D1866" t="str">
            <v>Barra do Mendes</v>
          </cell>
          <cell r="E1866">
            <v>13865</v>
          </cell>
        </row>
        <row r="1867">
          <cell r="D1867" t="str">
            <v>Barra do Rocha</v>
          </cell>
          <cell r="E1867">
            <v>5714</v>
          </cell>
        </row>
        <row r="1868">
          <cell r="D1868" t="str">
            <v>Barreiras</v>
          </cell>
          <cell r="E1868">
            <v>155439</v>
          </cell>
        </row>
        <row r="1869">
          <cell r="D1869" t="str">
            <v>Barro Alto</v>
          </cell>
          <cell r="E1869">
            <v>14931</v>
          </cell>
        </row>
        <row r="1870">
          <cell r="D1870" t="str">
            <v>Barrocas</v>
          </cell>
          <cell r="E1870">
            <v>15978</v>
          </cell>
        </row>
        <row r="1871">
          <cell r="D1871" t="str">
            <v>Barro Preto</v>
          </cell>
          <cell r="E1871">
            <v>5591</v>
          </cell>
        </row>
        <row r="1872">
          <cell r="D1872" t="str">
            <v>Belmonte</v>
          </cell>
          <cell r="E1872">
            <v>23328</v>
          </cell>
        </row>
        <row r="1873">
          <cell r="D1873" t="str">
            <v>Belo Campo</v>
          </cell>
          <cell r="E1873">
            <v>17211</v>
          </cell>
        </row>
        <row r="1874">
          <cell r="D1874" t="str">
            <v>Biritinga</v>
          </cell>
          <cell r="E1874">
            <v>15979</v>
          </cell>
        </row>
        <row r="1875">
          <cell r="D1875" t="str">
            <v>Boa Nova</v>
          </cell>
          <cell r="E1875">
            <v>12633</v>
          </cell>
        </row>
        <row r="1876">
          <cell r="D1876" t="str">
            <v>Boa Vista do Tupim</v>
          </cell>
          <cell r="E1876">
            <v>18576</v>
          </cell>
        </row>
        <row r="1877">
          <cell r="D1877" t="str">
            <v>Bom Jesus da Lapa</v>
          </cell>
          <cell r="E1877">
            <v>69148</v>
          </cell>
        </row>
        <row r="1878">
          <cell r="D1878" t="str">
            <v>Bom Jesus da Serra</v>
          </cell>
          <cell r="E1878">
            <v>9880</v>
          </cell>
        </row>
        <row r="1879">
          <cell r="D1879" t="str">
            <v>Boninal</v>
          </cell>
          <cell r="E1879">
            <v>14368</v>
          </cell>
        </row>
        <row r="1880">
          <cell r="D1880" t="str">
            <v>Bonito</v>
          </cell>
          <cell r="E1880">
            <v>16764</v>
          </cell>
        </row>
        <row r="1881">
          <cell r="D1881" t="str">
            <v>Boquira</v>
          </cell>
          <cell r="E1881">
            <v>21508</v>
          </cell>
        </row>
        <row r="1882">
          <cell r="D1882" t="str">
            <v>Botuporã</v>
          </cell>
          <cell r="E1882">
            <v>10211</v>
          </cell>
        </row>
        <row r="1883">
          <cell r="D1883" t="str">
            <v>Brejões</v>
          </cell>
          <cell r="E1883">
            <v>14295</v>
          </cell>
        </row>
        <row r="1884">
          <cell r="D1884" t="str">
            <v>Brejolândia</v>
          </cell>
          <cell r="E1884">
            <v>10557</v>
          </cell>
        </row>
        <row r="1885">
          <cell r="D1885" t="str">
            <v>Brotas de Macaúbas</v>
          </cell>
          <cell r="E1885">
            <v>10231</v>
          </cell>
        </row>
        <row r="1886">
          <cell r="D1886" t="str">
            <v>Brumado</v>
          </cell>
          <cell r="E1886">
            <v>67195</v>
          </cell>
        </row>
        <row r="1887">
          <cell r="D1887" t="str">
            <v>Buerarema</v>
          </cell>
          <cell r="E1887">
            <v>18349</v>
          </cell>
        </row>
        <row r="1888">
          <cell r="D1888" t="str">
            <v>Buritirama</v>
          </cell>
          <cell r="E1888">
            <v>21174</v>
          </cell>
        </row>
        <row r="1889">
          <cell r="D1889" t="str">
            <v>Caatiba</v>
          </cell>
          <cell r="E1889">
            <v>6758</v>
          </cell>
        </row>
        <row r="1890">
          <cell r="D1890" t="str">
            <v>Cabaceiras do Paraguaçu</v>
          </cell>
          <cell r="E1890">
            <v>18807</v>
          </cell>
        </row>
        <row r="1891">
          <cell r="D1891" t="str">
            <v>Cachoeira</v>
          </cell>
          <cell r="E1891">
            <v>33470</v>
          </cell>
        </row>
        <row r="1892">
          <cell r="D1892" t="str">
            <v>Caculé</v>
          </cell>
          <cell r="E1892">
            <v>23170</v>
          </cell>
        </row>
        <row r="1893">
          <cell r="D1893" t="str">
            <v>Caém</v>
          </cell>
          <cell r="E1893">
            <v>9213</v>
          </cell>
        </row>
        <row r="1894">
          <cell r="D1894" t="str">
            <v>Caetanos</v>
          </cell>
          <cell r="E1894">
            <v>15573</v>
          </cell>
        </row>
        <row r="1895">
          <cell r="D1895" t="str">
            <v>Caetité</v>
          </cell>
          <cell r="E1895">
            <v>50975</v>
          </cell>
        </row>
        <row r="1896">
          <cell r="D1896" t="str">
            <v>Cafarnaum</v>
          </cell>
          <cell r="E1896">
            <v>18437</v>
          </cell>
        </row>
        <row r="1897">
          <cell r="D1897" t="str">
            <v>Cairu</v>
          </cell>
          <cell r="E1897">
            <v>18176</v>
          </cell>
        </row>
        <row r="1898">
          <cell r="D1898" t="str">
            <v>Caldeirão Grande</v>
          </cell>
          <cell r="E1898">
            <v>13327</v>
          </cell>
        </row>
        <row r="1899">
          <cell r="D1899" t="str">
            <v>Camacan</v>
          </cell>
          <cell r="E1899">
            <v>31988</v>
          </cell>
        </row>
        <row r="1900">
          <cell r="D1900" t="str">
            <v>Camaçari</v>
          </cell>
          <cell r="E1900">
            <v>299132</v>
          </cell>
        </row>
        <row r="1901">
          <cell r="D1901" t="str">
            <v>Camamu</v>
          </cell>
          <cell r="E1901">
            <v>35316</v>
          </cell>
        </row>
        <row r="1902">
          <cell r="D1902" t="str">
            <v>Campo Alegre de Lourdes</v>
          </cell>
          <cell r="E1902">
            <v>28798</v>
          </cell>
        </row>
        <row r="1903">
          <cell r="D1903" t="str">
            <v>Campo Formoso</v>
          </cell>
          <cell r="E1903">
            <v>71206</v>
          </cell>
        </row>
        <row r="1904">
          <cell r="D1904" t="str">
            <v>Canápolis</v>
          </cell>
          <cell r="E1904">
            <v>9711</v>
          </cell>
        </row>
        <row r="1905">
          <cell r="D1905" t="str">
            <v>Canarana</v>
          </cell>
          <cell r="E1905">
            <v>26176</v>
          </cell>
        </row>
        <row r="1906">
          <cell r="D1906" t="str">
            <v>Canavieiras</v>
          </cell>
          <cell r="E1906">
            <v>31099</v>
          </cell>
        </row>
        <row r="1907">
          <cell r="D1907" t="str">
            <v>Candeal</v>
          </cell>
          <cell r="E1907">
            <v>8258</v>
          </cell>
        </row>
        <row r="1908">
          <cell r="D1908" t="str">
            <v>Candeias</v>
          </cell>
          <cell r="E1908">
            <v>87076</v>
          </cell>
        </row>
        <row r="1909">
          <cell r="D1909" t="str">
            <v>Candiba</v>
          </cell>
          <cell r="E1909">
            <v>14319</v>
          </cell>
        </row>
        <row r="1910">
          <cell r="D1910" t="str">
            <v>Cândido Sales</v>
          </cell>
          <cell r="E1910">
            <v>25189</v>
          </cell>
        </row>
        <row r="1911">
          <cell r="D1911" t="str">
            <v>Cansanção</v>
          </cell>
          <cell r="E1911">
            <v>34834</v>
          </cell>
        </row>
        <row r="1912">
          <cell r="D1912" t="str">
            <v>Canudos</v>
          </cell>
          <cell r="E1912">
            <v>16668</v>
          </cell>
        </row>
        <row r="1913">
          <cell r="D1913" t="str">
            <v>Capela do Alto Alegre</v>
          </cell>
          <cell r="E1913">
            <v>11637</v>
          </cell>
        </row>
        <row r="1914">
          <cell r="D1914" t="str">
            <v>Capim Grosso</v>
          </cell>
          <cell r="E1914">
            <v>30662</v>
          </cell>
        </row>
        <row r="1915">
          <cell r="D1915" t="str">
            <v>Caraíbas</v>
          </cell>
          <cell r="E1915">
            <v>8951</v>
          </cell>
        </row>
        <row r="1916">
          <cell r="D1916" t="str">
            <v>Caravelas</v>
          </cell>
          <cell r="E1916">
            <v>22016</v>
          </cell>
        </row>
        <row r="1917">
          <cell r="D1917" t="str">
            <v>Cardeal da Silva</v>
          </cell>
          <cell r="E1917">
            <v>9295</v>
          </cell>
        </row>
        <row r="1918">
          <cell r="D1918" t="str">
            <v>Carinhanha</v>
          </cell>
          <cell r="E1918">
            <v>29018</v>
          </cell>
        </row>
        <row r="1919">
          <cell r="D1919" t="str">
            <v>Casa Nova</v>
          </cell>
          <cell r="E1919">
            <v>71969</v>
          </cell>
        </row>
        <row r="1920">
          <cell r="D1920" t="str">
            <v>Castro Alves</v>
          </cell>
          <cell r="E1920">
            <v>26264</v>
          </cell>
        </row>
        <row r="1921">
          <cell r="D1921" t="str">
            <v>Catolândia</v>
          </cell>
          <cell r="E1921">
            <v>3577</v>
          </cell>
        </row>
        <row r="1922">
          <cell r="D1922" t="str">
            <v>Catu</v>
          </cell>
          <cell r="E1922">
            <v>54704</v>
          </cell>
        </row>
        <row r="1923">
          <cell r="D1923" t="str">
            <v>Caturama</v>
          </cell>
          <cell r="E1923">
            <v>9329</v>
          </cell>
        </row>
        <row r="1924">
          <cell r="D1924" t="str">
            <v>Central</v>
          </cell>
          <cell r="E1924">
            <v>17266</v>
          </cell>
        </row>
        <row r="1925">
          <cell r="D1925" t="str">
            <v>Chorrochó</v>
          </cell>
          <cell r="E1925">
            <v>11177</v>
          </cell>
        </row>
        <row r="1926">
          <cell r="D1926" t="str">
            <v>Cícero Dantas</v>
          </cell>
          <cell r="E1926">
            <v>32515</v>
          </cell>
        </row>
        <row r="1927">
          <cell r="D1927" t="str">
            <v>Cipó</v>
          </cell>
          <cell r="E1927">
            <v>17300</v>
          </cell>
        </row>
        <row r="1928">
          <cell r="D1928" t="str">
            <v>Coaraci</v>
          </cell>
          <cell r="E1928">
            <v>16993</v>
          </cell>
        </row>
        <row r="1929">
          <cell r="D1929" t="str">
            <v>Cocos</v>
          </cell>
          <cell r="E1929">
            <v>18777</v>
          </cell>
        </row>
        <row r="1930">
          <cell r="D1930" t="str">
            <v>Conceição da Feira</v>
          </cell>
          <cell r="E1930">
            <v>22581</v>
          </cell>
        </row>
        <row r="1931">
          <cell r="D1931" t="str">
            <v>Conceição do Almeida</v>
          </cell>
          <cell r="E1931">
            <v>17247</v>
          </cell>
        </row>
        <row r="1932">
          <cell r="D1932" t="str">
            <v>Conceição do Coité</v>
          </cell>
          <cell r="E1932">
            <v>66612</v>
          </cell>
        </row>
        <row r="1933">
          <cell r="D1933" t="str">
            <v>Conceição do Jacuípe</v>
          </cell>
          <cell r="E1933">
            <v>33153</v>
          </cell>
        </row>
        <row r="1934">
          <cell r="D1934" t="str">
            <v>Conde</v>
          </cell>
          <cell r="E1934">
            <v>25837</v>
          </cell>
        </row>
        <row r="1935">
          <cell r="D1935" t="str">
            <v>Condeúba</v>
          </cell>
          <cell r="E1935">
            <v>17247</v>
          </cell>
        </row>
        <row r="1936">
          <cell r="D1936" t="str">
            <v>Contendas do Sincorá</v>
          </cell>
          <cell r="E1936">
            <v>4066</v>
          </cell>
        </row>
        <row r="1937">
          <cell r="D1937" t="str">
            <v>Coração de Maria</v>
          </cell>
          <cell r="E1937">
            <v>22605</v>
          </cell>
        </row>
        <row r="1938">
          <cell r="D1938" t="str">
            <v>Cordeiros</v>
          </cell>
          <cell r="E1938">
            <v>8614</v>
          </cell>
        </row>
        <row r="1939">
          <cell r="D1939" t="str">
            <v>Coribe</v>
          </cell>
          <cell r="E1939">
            <v>14194</v>
          </cell>
        </row>
        <row r="1940">
          <cell r="D1940" t="str">
            <v>Coronel João Sá</v>
          </cell>
          <cell r="E1940" t="str">
            <v>15895 (11)</v>
          </cell>
        </row>
        <row r="1941">
          <cell r="D1941" t="str">
            <v>Correntina</v>
          </cell>
          <cell r="E1941">
            <v>32137</v>
          </cell>
        </row>
        <row r="1942">
          <cell r="D1942" t="str">
            <v>Cotegipe</v>
          </cell>
          <cell r="E1942">
            <v>13782</v>
          </cell>
        </row>
        <row r="1943">
          <cell r="D1943" t="str">
            <v>Cravolândia</v>
          </cell>
          <cell r="E1943">
            <v>5349</v>
          </cell>
        </row>
        <row r="1944">
          <cell r="D1944" t="str">
            <v>Crisópolis</v>
          </cell>
          <cell r="E1944">
            <v>21103</v>
          </cell>
        </row>
        <row r="1945">
          <cell r="D1945" t="str">
            <v>Cristópolis</v>
          </cell>
          <cell r="E1945">
            <v>13910</v>
          </cell>
        </row>
        <row r="1946">
          <cell r="D1946" t="str">
            <v>Cruz das Almas</v>
          </cell>
          <cell r="E1946">
            <v>63239</v>
          </cell>
        </row>
        <row r="1947">
          <cell r="D1947" t="str">
            <v>Curaçá</v>
          </cell>
          <cell r="E1947">
            <v>34700</v>
          </cell>
        </row>
        <row r="1948">
          <cell r="D1948" t="str">
            <v>Dário Meira</v>
          </cell>
          <cell r="E1948">
            <v>10710</v>
          </cell>
        </row>
        <row r="1949">
          <cell r="D1949" t="str">
            <v>Dias d'Ávila</v>
          </cell>
          <cell r="E1949">
            <v>81089</v>
          </cell>
        </row>
        <row r="1950">
          <cell r="D1950" t="str">
            <v>Dom Basílio</v>
          </cell>
          <cell r="E1950">
            <v>12199</v>
          </cell>
        </row>
        <row r="1951">
          <cell r="D1951" t="str">
            <v>Dom Macedo Costa</v>
          </cell>
          <cell r="E1951">
            <v>4058</v>
          </cell>
        </row>
        <row r="1952">
          <cell r="D1952" t="str">
            <v>Elísio Medrado</v>
          </cell>
          <cell r="E1952">
            <v>8122</v>
          </cell>
        </row>
        <row r="1953">
          <cell r="D1953" t="str">
            <v>Encruzilhada</v>
          </cell>
          <cell r="E1953">
            <v>17006</v>
          </cell>
        </row>
        <row r="1954">
          <cell r="D1954" t="str">
            <v>Entre Rios</v>
          </cell>
          <cell r="E1954">
            <v>41780</v>
          </cell>
        </row>
        <row r="1955">
          <cell r="D1955" t="str">
            <v>Esplanada</v>
          </cell>
          <cell r="E1955">
            <v>37237</v>
          </cell>
        </row>
        <row r="1956">
          <cell r="D1956" t="str">
            <v>Euclides da Cunha</v>
          </cell>
          <cell r="E1956" t="str">
            <v>60585 (12)</v>
          </cell>
        </row>
        <row r="1957">
          <cell r="D1957" t="str">
            <v>Eunápolis</v>
          </cell>
          <cell r="E1957">
            <v>113380</v>
          </cell>
        </row>
        <row r="1958">
          <cell r="D1958" t="str">
            <v>Fátima</v>
          </cell>
          <cell r="E1958">
            <v>17890</v>
          </cell>
        </row>
        <row r="1959">
          <cell r="D1959" t="str">
            <v>Feira da Mata</v>
          </cell>
          <cell r="E1959">
            <v>5665</v>
          </cell>
        </row>
        <row r="1960">
          <cell r="D1960" t="str">
            <v>Feira de Santana</v>
          </cell>
          <cell r="E1960">
            <v>614872</v>
          </cell>
        </row>
        <row r="1961">
          <cell r="D1961" t="str">
            <v>Filadélfia</v>
          </cell>
          <cell r="E1961">
            <v>16377</v>
          </cell>
        </row>
        <row r="1962">
          <cell r="D1962" t="str">
            <v>Firmino Alves</v>
          </cell>
          <cell r="E1962">
            <v>5617</v>
          </cell>
        </row>
        <row r="1963">
          <cell r="D1963" t="str">
            <v>Floresta Azul</v>
          </cell>
          <cell r="E1963">
            <v>10629</v>
          </cell>
        </row>
        <row r="1964">
          <cell r="D1964" t="str">
            <v>Formosa do Rio Preto</v>
          </cell>
          <cell r="E1964">
            <v>25591</v>
          </cell>
        </row>
        <row r="1965">
          <cell r="D1965" t="str">
            <v>Gandu</v>
          </cell>
          <cell r="E1965">
            <v>32403</v>
          </cell>
        </row>
        <row r="1966">
          <cell r="D1966" t="str">
            <v>Gavião</v>
          </cell>
          <cell r="E1966">
            <v>4463</v>
          </cell>
        </row>
        <row r="1967">
          <cell r="D1967" t="str">
            <v>Gentio do Ouro</v>
          </cell>
          <cell r="E1967">
            <v>11233</v>
          </cell>
        </row>
        <row r="1968">
          <cell r="D1968" t="str">
            <v>Glória</v>
          </cell>
          <cell r="E1968">
            <v>15221</v>
          </cell>
        </row>
        <row r="1969">
          <cell r="D1969" t="str">
            <v>Gongogi</v>
          </cell>
          <cell r="E1969">
            <v>7128</v>
          </cell>
        </row>
        <row r="1970">
          <cell r="D1970" t="str">
            <v>Governador Mangabeira</v>
          </cell>
          <cell r="E1970">
            <v>20722</v>
          </cell>
        </row>
        <row r="1971">
          <cell r="D1971" t="str">
            <v>Guajeru</v>
          </cell>
          <cell r="E1971">
            <v>6937</v>
          </cell>
        </row>
        <row r="1972">
          <cell r="D1972" t="str">
            <v>Guanambi</v>
          </cell>
          <cell r="E1972">
            <v>84481</v>
          </cell>
        </row>
        <row r="1973">
          <cell r="D1973" t="str">
            <v>Guaratinga</v>
          </cell>
          <cell r="E1973">
            <v>20843</v>
          </cell>
        </row>
        <row r="1974">
          <cell r="D1974" t="str">
            <v>Heliópolis</v>
          </cell>
          <cell r="E1974" t="str">
            <v>13031 (13)</v>
          </cell>
        </row>
        <row r="1975">
          <cell r="D1975" t="str">
            <v>Iaçu</v>
          </cell>
          <cell r="E1975">
            <v>24305</v>
          </cell>
        </row>
        <row r="1976">
          <cell r="D1976" t="str">
            <v>Ibiassucê</v>
          </cell>
          <cell r="E1976" t="str">
            <v>9224 (14)</v>
          </cell>
        </row>
        <row r="1977">
          <cell r="D1977" t="str">
            <v>Ibicaraí</v>
          </cell>
          <cell r="E1977">
            <v>21689</v>
          </cell>
        </row>
        <row r="1978">
          <cell r="D1978" t="str">
            <v>Ibicoara</v>
          </cell>
          <cell r="E1978">
            <v>19571</v>
          </cell>
        </row>
        <row r="1979">
          <cell r="D1979" t="str">
            <v>Ibicuí</v>
          </cell>
          <cell r="E1979">
            <v>16198</v>
          </cell>
        </row>
        <row r="1980">
          <cell r="D1980" t="str">
            <v>Ibipeba</v>
          </cell>
          <cell r="E1980">
            <v>18211</v>
          </cell>
        </row>
        <row r="1981">
          <cell r="D1981" t="str">
            <v>Ibipitanga</v>
          </cell>
          <cell r="E1981">
            <v>14902</v>
          </cell>
        </row>
        <row r="1982">
          <cell r="D1982" t="str">
            <v>Ibiquera</v>
          </cell>
          <cell r="E1982">
            <v>4044</v>
          </cell>
        </row>
        <row r="1983">
          <cell r="D1983" t="str">
            <v>Ibirapitanga</v>
          </cell>
          <cell r="E1983">
            <v>23375</v>
          </cell>
        </row>
        <row r="1984">
          <cell r="D1984" t="str">
            <v>Ibirapuã</v>
          </cell>
          <cell r="E1984">
            <v>8637</v>
          </cell>
        </row>
        <row r="1985">
          <cell r="D1985" t="str">
            <v>Ibirataia</v>
          </cell>
          <cell r="E1985">
            <v>15312</v>
          </cell>
        </row>
        <row r="1986">
          <cell r="D1986" t="str">
            <v>Ibitiara</v>
          </cell>
          <cell r="E1986">
            <v>16339</v>
          </cell>
        </row>
        <row r="1987">
          <cell r="D1987" t="str">
            <v>Ibititá</v>
          </cell>
          <cell r="E1987">
            <v>17113</v>
          </cell>
        </row>
        <row r="1988">
          <cell r="D1988" t="str">
            <v>Ibotirama</v>
          </cell>
          <cell r="E1988">
            <v>26927</v>
          </cell>
        </row>
        <row r="1989">
          <cell r="D1989" t="str">
            <v>Ichu</v>
          </cell>
          <cell r="E1989">
            <v>6206</v>
          </cell>
        </row>
        <row r="1990">
          <cell r="D1990" t="str">
            <v>Igaporã</v>
          </cell>
          <cell r="E1990">
            <v>15640</v>
          </cell>
        </row>
        <row r="1991">
          <cell r="D1991" t="str">
            <v>Igrapiúna</v>
          </cell>
          <cell r="E1991">
            <v>13226</v>
          </cell>
        </row>
        <row r="1992">
          <cell r="D1992" t="str">
            <v>Iguaí</v>
          </cell>
          <cell r="E1992">
            <v>26916</v>
          </cell>
        </row>
        <row r="1993">
          <cell r="D1993" t="str">
            <v>Ilhéus</v>
          </cell>
          <cell r="E1993">
            <v>162327</v>
          </cell>
        </row>
        <row r="1994">
          <cell r="D1994" t="str">
            <v>Inhambupe</v>
          </cell>
          <cell r="E1994">
            <v>39926</v>
          </cell>
        </row>
        <row r="1995">
          <cell r="D1995" t="str">
            <v>Ipecaetá</v>
          </cell>
          <cell r="E1995">
            <v>14487</v>
          </cell>
        </row>
        <row r="1996">
          <cell r="D1996" t="str">
            <v>Ipiaú</v>
          </cell>
          <cell r="E1996">
            <v>45873</v>
          </cell>
        </row>
        <row r="1997">
          <cell r="D1997" t="str">
            <v>Ipirá</v>
          </cell>
          <cell r="E1997">
            <v>59595</v>
          </cell>
        </row>
        <row r="1998">
          <cell r="D1998" t="str">
            <v>Ipupiara</v>
          </cell>
          <cell r="E1998">
            <v>9865</v>
          </cell>
        </row>
        <row r="1999">
          <cell r="D1999" t="str">
            <v>Irajuba</v>
          </cell>
          <cell r="E1999">
            <v>7260</v>
          </cell>
        </row>
        <row r="2000">
          <cell r="D2000" t="str">
            <v>Iramaia</v>
          </cell>
          <cell r="E2000">
            <v>8537</v>
          </cell>
        </row>
        <row r="2001">
          <cell r="D2001" t="str">
            <v>Iraquara</v>
          </cell>
          <cell r="E2001">
            <v>25216</v>
          </cell>
        </row>
        <row r="2002">
          <cell r="D2002" t="str">
            <v>Irará</v>
          </cell>
          <cell r="E2002">
            <v>29034</v>
          </cell>
        </row>
        <row r="2003">
          <cell r="D2003" t="str">
            <v>Irecê</v>
          </cell>
          <cell r="E2003">
            <v>72967</v>
          </cell>
        </row>
        <row r="2004">
          <cell r="D2004" t="str">
            <v>Itabela</v>
          </cell>
          <cell r="E2004">
            <v>30584</v>
          </cell>
        </row>
        <row r="2005">
          <cell r="D2005" t="str">
            <v>Itaberaba</v>
          </cell>
          <cell r="E2005">
            <v>64489</v>
          </cell>
        </row>
        <row r="2006">
          <cell r="D2006" t="str">
            <v>Itabuna</v>
          </cell>
          <cell r="E2006">
            <v>213223</v>
          </cell>
        </row>
        <row r="2007">
          <cell r="D2007" t="str">
            <v>Itacaré</v>
          </cell>
          <cell r="E2007">
            <v>28296</v>
          </cell>
        </row>
        <row r="2008">
          <cell r="D2008" t="str">
            <v>Itaeté</v>
          </cell>
          <cell r="E2008">
            <v>16056</v>
          </cell>
        </row>
        <row r="2009">
          <cell r="D2009" t="str">
            <v>Itagi</v>
          </cell>
          <cell r="E2009">
            <v>12351</v>
          </cell>
        </row>
        <row r="2010">
          <cell r="D2010" t="str">
            <v>Itagibá</v>
          </cell>
          <cell r="E2010">
            <v>14579</v>
          </cell>
        </row>
        <row r="2011">
          <cell r="D2011" t="str">
            <v>Itagimirim</v>
          </cell>
          <cell r="E2011">
            <v>6869</v>
          </cell>
        </row>
        <row r="2012">
          <cell r="D2012" t="str">
            <v>Itaguaçu da Bahia</v>
          </cell>
          <cell r="E2012">
            <v>14429</v>
          </cell>
        </row>
        <row r="2013">
          <cell r="D2013" t="str">
            <v>Itaju do Colônia</v>
          </cell>
          <cell r="E2013">
            <v>6682</v>
          </cell>
        </row>
        <row r="2014">
          <cell r="D2014" t="str">
            <v>Itajuípe</v>
          </cell>
          <cell r="E2014">
            <v>20491</v>
          </cell>
        </row>
        <row r="2015">
          <cell r="D2015" t="str">
            <v>Itamaraju</v>
          </cell>
          <cell r="E2015">
            <v>64486</v>
          </cell>
        </row>
        <row r="2016">
          <cell r="D2016" t="str">
            <v>Itamari</v>
          </cell>
          <cell r="E2016">
            <v>8035</v>
          </cell>
        </row>
        <row r="2017">
          <cell r="D2017" t="str">
            <v>Itambé</v>
          </cell>
          <cell r="E2017">
            <v>23049</v>
          </cell>
        </row>
        <row r="2018">
          <cell r="D2018" t="str">
            <v>Itanagra</v>
          </cell>
          <cell r="E2018">
            <v>6441</v>
          </cell>
        </row>
        <row r="2019">
          <cell r="D2019" t="str">
            <v>Itanhém</v>
          </cell>
          <cell r="E2019">
            <v>19405</v>
          </cell>
        </row>
        <row r="2020">
          <cell r="D2020" t="str">
            <v>Itaparica</v>
          </cell>
          <cell r="E2020">
            <v>22228</v>
          </cell>
        </row>
        <row r="2021">
          <cell r="D2021" t="str">
            <v>Itapé</v>
          </cell>
          <cell r="E2021">
            <v>8761</v>
          </cell>
        </row>
        <row r="2022">
          <cell r="D2022" t="str">
            <v>Itapebi</v>
          </cell>
          <cell r="E2022">
            <v>10259</v>
          </cell>
        </row>
        <row r="2023">
          <cell r="D2023" t="str">
            <v>Itapetinga</v>
          </cell>
          <cell r="E2023">
            <v>76147</v>
          </cell>
        </row>
        <row r="2024">
          <cell r="D2024" t="str">
            <v>Itapicuru</v>
          </cell>
          <cell r="E2024">
            <v>35576</v>
          </cell>
        </row>
        <row r="2025">
          <cell r="D2025" t="str">
            <v>Itapitanga</v>
          </cell>
          <cell r="E2025">
            <v>10313</v>
          </cell>
        </row>
        <row r="2026">
          <cell r="D2026" t="str">
            <v>Itaquara</v>
          </cell>
          <cell r="E2026">
            <v>8319</v>
          </cell>
        </row>
        <row r="2027">
          <cell r="D2027" t="str">
            <v>Itarantim</v>
          </cell>
          <cell r="E2027">
            <v>19747</v>
          </cell>
        </row>
        <row r="2028">
          <cell r="D2028" t="str">
            <v>Itatim</v>
          </cell>
          <cell r="E2028">
            <v>14487</v>
          </cell>
        </row>
        <row r="2029">
          <cell r="D2029" t="str">
            <v>Itiruçu</v>
          </cell>
          <cell r="E2029">
            <v>12576</v>
          </cell>
        </row>
        <row r="2030">
          <cell r="D2030" t="str">
            <v>Itiúba</v>
          </cell>
          <cell r="E2030">
            <v>36089</v>
          </cell>
        </row>
        <row r="2031">
          <cell r="D2031" t="str">
            <v>Itororó</v>
          </cell>
          <cell r="E2031">
            <v>20382</v>
          </cell>
        </row>
        <row r="2032">
          <cell r="D2032" t="str">
            <v>Ituaçu</v>
          </cell>
          <cell r="E2032">
            <v>18962</v>
          </cell>
        </row>
        <row r="2033">
          <cell r="D2033" t="str">
            <v>Ituberá</v>
          </cell>
          <cell r="E2033">
            <v>28602</v>
          </cell>
        </row>
        <row r="2034">
          <cell r="D2034" t="str">
            <v>Iuiú</v>
          </cell>
          <cell r="E2034">
            <v>10994</v>
          </cell>
        </row>
        <row r="2035">
          <cell r="D2035" t="str">
            <v>Jaborandi</v>
          </cell>
          <cell r="E2035">
            <v>8385</v>
          </cell>
        </row>
        <row r="2036">
          <cell r="D2036" t="str">
            <v>Jacaraci</v>
          </cell>
          <cell r="E2036">
            <v>14842</v>
          </cell>
        </row>
        <row r="2037">
          <cell r="D2037" t="str">
            <v>Jacobina</v>
          </cell>
          <cell r="E2037">
            <v>80518</v>
          </cell>
        </row>
        <row r="2038">
          <cell r="D2038" t="str">
            <v>Jaguaquara</v>
          </cell>
          <cell r="E2038">
            <v>54423</v>
          </cell>
        </row>
        <row r="2039">
          <cell r="D2039" t="str">
            <v>Jaguarari</v>
          </cell>
          <cell r="E2039">
            <v>33570</v>
          </cell>
        </row>
        <row r="2040">
          <cell r="D2040" t="str">
            <v>Jaguaripe</v>
          </cell>
          <cell r="E2040">
            <v>18788</v>
          </cell>
        </row>
        <row r="2041">
          <cell r="D2041" t="str">
            <v>Jandaíra</v>
          </cell>
          <cell r="E2041">
            <v>10709</v>
          </cell>
        </row>
        <row r="2042">
          <cell r="D2042" t="str">
            <v>Jequié</v>
          </cell>
          <cell r="E2042">
            <v>155966</v>
          </cell>
        </row>
        <row r="2043">
          <cell r="D2043" t="str">
            <v>Jeremoabo</v>
          </cell>
          <cell r="E2043">
            <v>40463</v>
          </cell>
        </row>
        <row r="2044">
          <cell r="D2044" t="str">
            <v>Jiquiriçá</v>
          </cell>
          <cell r="E2044">
            <v>14537</v>
          </cell>
        </row>
        <row r="2045">
          <cell r="D2045" t="str">
            <v>Jitaúna</v>
          </cell>
          <cell r="E2045">
            <v>11166</v>
          </cell>
        </row>
        <row r="2046">
          <cell r="D2046" t="str">
            <v>João Dourado</v>
          </cell>
          <cell r="E2046">
            <v>25188</v>
          </cell>
        </row>
        <row r="2047">
          <cell r="D2047" t="str">
            <v>Juazeiro</v>
          </cell>
          <cell r="E2047">
            <v>216707</v>
          </cell>
        </row>
        <row r="2048">
          <cell r="D2048" t="str">
            <v>Jucuruçu</v>
          </cell>
          <cell r="E2048">
            <v>9126</v>
          </cell>
        </row>
        <row r="2049">
          <cell r="D2049" t="str">
            <v>Jussara</v>
          </cell>
          <cell r="E2049">
            <v>15284</v>
          </cell>
        </row>
        <row r="2050">
          <cell r="D2050" t="str">
            <v>Jussari</v>
          </cell>
          <cell r="E2050">
            <v>5833</v>
          </cell>
        </row>
        <row r="2051">
          <cell r="D2051" t="str">
            <v>Jussiape</v>
          </cell>
          <cell r="E2051">
            <v>6186</v>
          </cell>
        </row>
        <row r="2052">
          <cell r="D2052" t="str">
            <v>Lafaiete Coutinho</v>
          </cell>
          <cell r="E2052">
            <v>3724</v>
          </cell>
        </row>
        <row r="2053">
          <cell r="D2053" t="str">
            <v>Lagoa Real</v>
          </cell>
          <cell r="E2053">
            <v>15665</v>
          </cell>
        </row>
        <row r="2054">
          <cell r="D2054" t="str">
            <v>Laje</v>
          </cell>
          <cell r="E2054">
            <v>23840</v>
          </cell>
        </row>
        <row r="2055">
          <cell r="D2055" t="str">
            <v>Lajedão</v>
          </cell>
          <cell r="E2055">
            <v>3955</v>
          </cell>
        </row>
        <row r="2056">
          <cell r="D2056" t="str">
            <v>Lajedinho</v>
          </cell>
          <cell r="E2056">
            <v>3783</v>
          </cell>
        </row>
        <row r="2057">
          <cell r="D2057" t="str">
            <v>Lajedo do Tabocal</v>
          </cell>
          <cell r="E2057">
            <v>8562</v>
          </cell>
        </row>
        <row r="2058">
          <cell r="D2058" t="str">
            <v>Lamarão</v>
          </cell>
          <cell r="E2058">
            <v>8307</v>
          </cell>
        </row>
        <row r="2059">
          <cell r="D2059" t="str">
            <v>Lapão</v>
          </cell>
          <cell r="E2059">
            <v>27223</v>
          </cell>
        </row>
        <row r="2060">
          <cell r="D2060" t="str">
            <v>Lauro de Freitas</v>
          </cell>
          <cell r="E2060">
            <v>198440</v>
          </cell>
        </row>
        <row r="2061">
          <cell r="D2061" t="str">
            <v>Lençóis</v>
          </cell>
          <cell r="E2061">
            <v>11409</v>
          </cell>
        </row>
        <row r="2062">
          <cell r="D2062" t="str">
            <v>Licínio de Almeida</v>
          </cell>
          <cell r="E2062">
            <v>12388</v>
          </cell>
        </row>
        <row r="2063">
          <cell r="D2063" t="str">
            <v>Livramento de Nossa Senhora</v>
          </cell>
          <cell r="E2063">
            <v>45732</v>
          </cell>
        </row>
        <row r="2064">
          <cell r="D2064" t="str">
            <v>Luís Eduardo Magalhães</v>
          </cell>
          <cell r="E2064">
            <v>87519</v>
          </cell>
        </row>
        <row r="2065">
          <cell r="D2065" t="str">
            <v>Macajuba</v>
          </cell>
          <cell r="E2065">
            <v>11348</v>
          </cell>
        </row>
        <row r="2066">
          <cell r="D2066" t="str">
            <v>Macarani</v>
          </cell>
          <cell r="E2066">
            <v>18755</v>
          </cell>
        </row>
        <row r="2067">
          <cell r="D2067" t="str">
            <v>Macaúbas</v>
          </cell>
          <cell r="E2067">
            <v>49826</v>
          </cell>
        </row>
        <row r="2068">
          <cell r="D2068" t="str">
            <v>Macururé</v>
          </cell>
          <cell r="E2068">
            <v>7824</v>
          </cell>
        </row>
        <row r="2069">
          <cell r="D2069" t="str">
            <v>Madre de Deus</v>
          </cell>
          <cell r="E2069">
            <v>21093</v>
          </cell>
        </row>
        <row r="2070">
          <cell r="D2070" t="str">
            <v>Maetinga</v>
          </cell>
          <cell r="E2070">
            <v>3161</v>
          </cell>
        </row>
        <row r="2071">
          <cell r="D2071" t="str">
            <v>Maiquinique</v>
          </cell>
          <cell r="E2071">
            <v>10112</v>
          </cell>
        </row>
        <row r="2072">
          <cell r="D2072" t="str">
            <v>Mairi</v>
          </cell>
          <cell r="E2072">
            <v>18676</v>
          </cell>
        </row>
        <row r="2073">
          <cell r="D2073" t="str">
            <v>Malhada</v>
          </cell>
          <cell r="E2073">
            <v>16845</v>
          </cell>
        </row>
        <row r="2074">
          <cell r="D2074" t="str">
            <v>Malhada de Pedras</v>
          </cell>
          <cell r="E2074">
            <v>8393</v>
          </cell>
        </row>
        <row r="2075">
          <cell r="D2075" t="str">
            <v>Manoel Vitorino</v>
          </cell>
          <cell r="E2075">
            <v>13240</v>
          </cell>
        </row>
        <row r="2076">
          <cell r="D2076" t="str">
            <v>Mansidão</v>
          </cell>
          <cell r="E2076">
            <v>13643</v>
          </cell>
        </row>
        <row r="2077">
          <cell r="D2077" t="str">
            <v>Maracás</v>
          </cell>
          <cell r="E2077">
            <v>20834</v>
          </cell>
        </row>
        <row r="2078">
          <cell r="D2078" t="str">
            <v>Maragogipe</v>
          </cell>
          <cell r="E2078">
            <v>44677</v>
          </cell>
        </row>
        <row r="2079">
          <cell r="D2079" t="str">
            <v>Maraú</v>
          </cell>
          <cell r="E2079">
            <v>20570</v>
          </cell>
        </row>
        <row r="2080">
          <cell r="D2080" t="str">
            <v>Marcionílio Souza</v>
          </cell>
          <cell r="E2080">
            <v>10406</v>
          </cell>
        </row>
        <row r="2081">
          <cell r="D2081" t="str">
            <v>Mascote</v>
          </cell>
          <cell r="E2081">
            <v>13822</v>
          </cell>
        </row>
        <row r="2082">
          <cell r="D2082" t="str">
            <v>Mata de São João</v>
          </cell>
          <cell r="E2082">
            <v>46583</v>
          </cell>
        </row>
        <row r="2083">
          <cell r="D2083" t="str">
            <v>Matina</v>
          </cell>
          <cell r="E2083">
            <v>12201</v>
          </cell>
        </row>
        <row r="2084">
          <cell r="D2084" t="str">
            <v>Medeiros Neto</v>
          </cell>
          <cell r="E2084">
            <v>22688</v>
          </cell>
        </row>
        <row r="2085">
          <cell r="D2085" t="str">
            <v>Miguel Calmon</v>
          </cell>
          <cell r="E2085">
            <v>26023</v>
          </cell>
        </row>
        <row r="2086">
          <cell r="D2086" t="str">
            <v>Milagres</v>
          </cell>
          <cell r="E2086">
            <v>10950</v>
          </cell>
        </row>
        <row r="2087">
          <cell r="D2087" t="str">
            <v>Mirangaba</v>
          </cell>
          <cell r="E2087">
            <v>18338</v>
          </cell>
        </row>
        <row r="2088">
          <cell r="D2088" t="str">
            <v>Mirante</v>
          </cell>
          <cell r="E2088">
            <v>8641</v>
          </cell>
        </row>
        <row r="2089">
          <cell r="D2089" t="str">
            <v>Monte Santo</v>
          </cell>
          <cell r="E2089">
            <v>49418</v>
          </cell>
        </row>
        <row r="2090">
          <cell r="D2090" t="str">
            <v>Morpará</v>
          </cell>
          <cell r="E2090">
            <v>8519</v>
          </cell>
        </row>
        <row r="2091">
          <cell r="D2091" t="str">
            <v>Morro do Chapéu</v>
          </cell>
          <cell r="E2091">
            <v>35413</v>
          </cell>
        </row>
        <row r="2092">
          <cell r="D2092" t="str">
            <v>Mortugaba</v>
          </cell>
          <cell r="E2092">
            <v>12042</v>
          </cell>
        </row>
        <row r="2093">
          <cell r="D2093" t="str">
            <v>Mucugê</v>
          </cell>
          <cell r="E2093">
            <v>9062</v>
          </cell>
        </row>
        <row r="2094">
          <cell r="D2094" t="str">
            <v>Mucuri</v>
          </cell>
          <cell r="E2094">
            <v>41748</v>
          </cell>
        </row>
        <row r="2095">
          <cell r="D2095" t="str">
            <v>Mulungu do Morro</v>
          </cell>
          <cell r="E2095">
            <v>10889</v>
          </cell>
        </row>
        <row r="2096">
          <cell r="D2096" t="str">
            <v>Mundo Novo</v>
          </cell>
          <cell r="E2096">
            <v>26776</v>
          </cell>
        </row>
        <row r="2097">
          <cell r="D2097" t="str">
            <v>Muniz Ferreira</v>
          </cell>
          <cell r="E2097">
            <v>7422</v>
          </cell>
        </row>
        <row r="2098">
          <cell r="D2098" t="str">
            <v>Muquém de São Francisco</v>
          </cell>
          <cell r="E2098">
            <v>11348</v>
          </cell>
        </row>
        <row r="2099">
          <cell r="D2099" t="str">
            <v>Muritiba</v>
          </cell>
          <cell r="E2099">
            <v>29399</v>
          </cell>
        </row>
        <row r="2100">
          <cell r="D2100" t="str">
            <v>Mutuípe</v>
          </cell>
          <cell r="E2100">
            <v>22221</v>
          </cell>
        </row>
        <row r="2101">
          <cell r="D2101" t="str">
            <v>Nazaré</v>
          </cell>
          <cell r="E2101">
            <v>28525</v>
          </cell>
        </row>
        <row r="2102">
          <cell r="D2102" t="str">
            <v>Nilo Peçanha</v>
          </cell>
          <cell r="E2102">
            <v>13997</v>
          </cell>
        </row>
        <row r="2103">
          <cell r="D2103" t="str">
            <v>Nordestina</v>
          </cell>
          <cell r="E2103">
            <v>13130</v>
          </cell>
        </row>
        <row r="2104">
          <cell r="D2104" t="str">
            <v>Nova Canaã</v>
          </cell>
          <cell r="E2104">
            <v>16462</v>
          </cell>
        </row>
        <row r="2105">
          <cell r="D2105" t="str">
            <v>Nova Fátima</v>
          </cell>
          <cell r="E2105">
            <v>7812</v>
          </cell>
        </row>
        <row r="2106">
          <cell r="D2106" t="str">
            <v>Nova Ibiá</v>
          </cell>
          <cell r="E2106">
            <v>6591</v>
          </cell>
        </row>
        <row r="2107">
          <cell r="D2107" t="str">
            <v>Nova Itarana</v>
          </cell>
          <cell r="E2107">
            <v>8226</v>
          </cell>
        </row>
        <row r="2108">
          <cell r="D2108" t="str">
            <v>Nova Redenção</v>
          </cell>
          <cell r="E2108">
            <v>9118</v>
          </cell>
        </row>
        <row r="2109">
          <cell r="D2109" t="str">
            <v>Nova Soure</v>
          </cell>
          <cell r="E2109">
            <v>26947</v>
          </cell>
        </row>
        <row r="2110">
          <cell r="D2110" t="str">
            <v>Nova Viçosa</v>
          </cell>
          <cell r="E2110">
            <v>43376</v>
          </cell>
        </row>
        <row r="2111">
          <cell r="D2111" t="str">
            <v>Novo Horizonte</v>
          </cell>
          <cell r="E2111">
            <v>12385</v>
          </cell>
        </row>
        <row r="2112">
          <cell r="D2112" t="str">
            <v>Novo Triunfo</v>
          </cell>
          <cell r="E2112">
            <v>15440</v>
          </cell>
        </row>
        <row r="2113">
          <cell r="D2113" t="str">
            <v>Olindina</v>
          </cell>
          <cell r="E2113">
            <v>28229</v>
          </cell>
        </row>
        <row r="2114">
          <cell r="D2114" t="str">
            <v>Oliveira dos Brejinhos</v>
          </cell>
          <cell r="E2114">
            <v>21825</v>
          </cell>
        </row>
        <row r="2115">
          <cell r="D2115" t="str">
            <v>Ouriçangas</v>
          </cell>
          <cell r="E2115">
            <v>8564</v>
          </cell>
        </row>
        <row r="2116">
          <cell r="D2116" t="str">
            <v>Ourolândia</v>
          </cell>
          <cell r="E2116">
            <v>17451</v>
          </cell>
        </row>
        <row r="2117">
          <cell r="D2117" t="str">
            <v>Palmas de Monte Alto</v>
          </cell>
          <cell r="E2117">
            <v>21750</v>
          </cell>
        </row>
        <row r="2118">
          <cell r="D2118" t="str">
            <v>Palmeiras</v>
          </cell>
          <cell r="E2118">
            <v>9019</v>
          </cell>
        </row>
        <row r="2119">
          <cell r="D2119" t="str">
            <v>Paramirim</v>
          </cell>
          <cell r="E2119">
            <v>21607</v>
          </cell>
        </row>
        <row r="2120">
          <cell r="D2120" t="str">
            <v>Paratinga</v>
          </cell>
          <cell r="E2120">
            <v>32000</v>
          </cell>
        </row>
        <row r="2121">
          <cell r="D2121" t="str">
            <v>Paripiranga</v>
          </cell>
          <cell r="E2121">
            <v>28989</v>
          </cell>
        </row>
        <row r="2122">
          <cell r="D2122" t="str">
            <v>Pau Brasil</v>
          </cell>
          <cell r="E2122">
            <v>9831</v>
          </cell>
        </row>
        <row r="2123">
          <cell r="D2123" t="str">
            <v>Paulo Afonso</v>
          </cell>
          <cell r="E2123">
            <v>117782</v>
          </cell>
        </row>
        <row r="2124">
          <cell r="D2124" t="str">
            <v>Pé de Serra</v>
          </cell>
          <cell r="E2124">
            <v>13578</v>
          </cell>
        </row>
        <row r="2125">
          <cell r="D2125" t="str">
            <v>Pedrão</v>
          </cell>
          <cell r="E2125">
            <v>7347</v>
          </cell>
        </row>
        <row r="2126">
          <cell r="D2126" t="str">
            <v>Pedro Alexandre</v>
          </cell>
          <cell r="E2126">
            <v>16667</v>
          </cell>
        </row>
        <row r="2127">
          <cell r="D2127" t="str">
            <v>Piatã</v>
          </cell>
          <cell r="E2127">
            <v>17123</v>
          </cell>
        </row>
        <row r="2128">
          <cell r="D2128" t="str">
            <v>Pilão Arcado</v>
          </cell>
          <cell r="E2128">
            <v>35048</v>
          </cell>
        </row>
        <row r="2129">
          <cell r="D2129" t="str">
            <v>Pindaí</v>
          </cell>
          <cell r="E2129">
            <v>16260</v>
          </cell>
        </row>
        <row r="2130">
          <cell r="D2130" t="str">
            <v>Pindobaçu</v>
          </cell>
          <cell r="E2130">
            <v>20150</v>
          </cell>
        </row>
        <row r="2131">
          <cell r="D2131" t="str">
            <v>Pintadas</v>
          </cell>
          <cell r="E2131">
            <v>10437</v>
          </cell>
        </row>
        <row r="2132">
          <cell r="D2132" t="str">
            <v>Piraí do Norte</v>
          </cell>
          <cell r="E2132">
            <v>10023</v>
          </cell>
        </row>
        <row r="2133">
          <cell r="D2133" t="str">
            <v>Piripá</v>
          </cell>
          <cell r="E2133">
            <v>10707</v>
          </cell>
        </row>
        <row r="2134">
          <cell r="D2134" t="str">
            <v>Piritiba</v>
          </cell>
          <cell r="E2134">
            <v>24755</v>
          </cell>
        </row>
        <row r="2135">
          <cell r="D2135" t="str">
            <v>Planaltino</v>
          </cell>
          <cell r="E2135">
            <v>9322</v>
          </cell>
        </row>
        <row r="2136">
          <cell r="D2136" t="str">
            <v>Planalto</v>
          </cell>
          <cell r="E2136">
            <v>26265</v>
          </cell>
        </row>
        <row r="2137">
          <cell r="D2137" t="str">
            <v>Poções</v>
          </cell>
          <cell r="E2137">
            <v>46871</v>
          </cell>
        </row>
        <row r="2138">
          <cell r="D2138" t="str">
            <v>Pojuca</v>
          </cell>
          <cell r="E2138">
            <v>39519</v>
          </cell>
        </row>
        <row r="2139">
          <cell r="D2139" t="str">
            <v>Ponto Novo</v>
          </cell>
          <cell r="E2139">
            <v>14914</v>
          </cell>
        </row>
        <row r="2140">
          <cell r="D2140" t="str">
            <v>Porto Seguro</v>
          </cell>
          <cell r="E2140">
            <v>148686</v>
          </cell>
        </row>
        <row r="2141">
          <cell r="D2141" t="str">
            <v>Potiraguá</v>
          </cell>
          <cell r="E2141">
            <v>7224</v>
          </cell>
        </row>
        <row r="2142">
          <cell r="D2142" t="str">
            <v>Prado</v>
          </cell>
          <cell r="E2142">
            <v>28174</v>
          </cell>
        </row>
        <row r="2143">
          <cell r="D2143" t="str">
            <v>Presidente Dutra</v>
          </cell>
          <cell r="E2143">
            <v>15142</v>
          </cell>
        </row>
        <row r="2144">
          <cell r="D2144" t="str">
            <v>Presidente Jânio Quadros</v>
          </cell>
          <cell r="E2144">
            <v>12338</v>
          </cell>
        </row>
        <row r="2145">
          <cell r="D2145" t="str">
            <v>Presidente Tancredo Neves</v>
          </cell>
          <cell r="E2145">
            <v>27719</v>
          </cell>
        </row>
        <row r="2146">
          <cell r="D2146" t="str">
            <v>Queimadas</v>
          </cell>
          <cell r="E2146">
            <v>25439</v>
          </cell>
        </row>
        <row r="2147">
          <cell r="D2147" t="str">
            <v>Quijingue</v>
          </cell>
          <cell r="E2147">
            <v>27580</v>
          </cell>
        </row>
        <row r="2148">
          <cell r="D2148" t="str">
            <v>Quixabeira</v>
          </cell>
          <cell r="E2148">
            <v>8972</v>
          </cell>
        </row>
        <row r="2149">
          <cell r="D2149" t="str">
            <v>Rafael Jambeiro</v>
          </cell>
          <cell r="E2149">
            <v>22621</v>
          </cell>
        </row>
        <row r="2150">
          <cell r="D2150" t="str">
            <v>Remanso</v>
          </cell>
          <cell r="E2150">
            <v>41008</v>
          </cell>
        </row>
        <row r="2151">
          <cell r="D2151" t="str">
            <v>Retirolândia</v>
          </cell>
          <cell r="E2151">
            <v>14396</v>
          </cell>
        </row>
        <row r="2152">
          <cell r="D2152" t="str">
            <v>Riachão das Neves</v>
          </cell>
          <cell r="E2152">
            <v>22339</v>
          </cell>
        </row>
        <row r="2153">
          <cell r="D2153" t="str">
            <v>Riachão do Jacuípe</v>
          </cell>
          <cell r="E2153">
            <v>33436</v>
          </cell>
        </row>
        <row r="2154">
          <cell r="D2154" t="str">
            <v>Riacho de Santana</v>
          </cell>
          <cell r="E2154">
            <v>35421</v>
          </cell>
        </row>
        <row r="2155">
          <cell r="D2155" t="str">
            <v>Ribeira do Amparo</v>
          </cell>
          <cell r="E2155">
            <v>14592</v>
          </cell>
        </row>
        <row r="2156">
          <cell r="D2156" t="str">
            <v>Ribeira do Pombal</v>
          </cell>
          <cell r="E2156">
            <v>53807</v>
          </cell>
        </row>
        <row r="2157">
          <cell r="D2157" t="str">
            <v>Ribeirão do Largo</v>
          </cell>
          <cell r="E2157">
            <v>5812</v>
          </cell>
        </row>
        <row r="2158">
          <cell r="D2158" t="str">
            <v>Rio de Contas</v>
          </cell>
          <cell r="E2158">
            <v>12989</v>
          </cell>
        </row>
        <row r="2159">
          <cell r="D2159" t="str">
            <v>Rio do Antônio</v>
          </cell>
          <cell r="E2159">
            <v>15371</v>
          </cell>
        </row>
        <row r="2160">
          <cell r="D2160" t="str">
            <v>Rio do Pires</v>
          </cell>
          <cell r="E2160">
            <v>11655</v>
          </cell>
        </row>
        <row r="2161">
          <cell r="D2161" t="str">
            <v>Rio Real</v>
          </cell>
          <cell r="E2161">
            <v>40732</v>
          </cell>
        </row>
        <row r="2162">
          <cell r="D2162" t="str">
            <v>Rodelas</v>
          </cell>
          <cell r="E2162" t="str">
            <v>9331 (15)</v>
          </cell>
        </row>
        <row r="2163">
          <cell r="D2163" t="str">
            <v>Ruy Barbosa</v>
          </cell>
          <cell r="E2163">
            <v>30814</v>
          </cell>
        </row>
        <row r="2164">
          <cell r="D2164" t="str">
            <v>Salinas da Margarida</v>
          </cell>
          <cell r="E2164">
            <v>15667</v>
          </cell>
        </row>
        <row r="2165">
          <cell r="D2165" t="str">
            <v>Salvador</v>
          </cell>
          <cell r="E2165">
            <v>2872347</v>
          </cell>
        </row>
        <row r="2166">
          <cell r="D2166" t="str">
            <v>Santa Bárbara</v>
          </cell>
          <cell r="E2166">
            <v>20791</v>
          </cell>
        </row>
        <row r="2167">
          <cell r="D2167" t="str">
            <v>Santa Brígida</v>
          </cell>
          <cell r="E2167">
            <v>14213</v>
          </cell>
        </row>
        <row r="2168">
          <cell r="D2168" t="str">
            <v>Santa Cruz Cabrália</v>
          </cell>
          <cell r="E2168">
            <v>27778</v>
          </cell>
        </row>
        <row r="2169">
          <cell r="D2169" t="str">
            <v>Santa Cruz da Vitória</v>
          </cell>
          <cell r="E2169">
            <v>6315</v>
          </cell>
        </row>
        <row r="2170">
          <cell r="D2170" t="str">
            <v>Santa Inês</v>
          </cell>
          <cell r="E2170">
            <v>10631</v>
          </cell>
        </row>
        <row r="2171">
          <cell r="D2171" t="str">
            <v>Santaluz</v>
          </cell>
          <cell r="E2171">
            <v>37348</v>
          </cell>
        </row>
        <row r="2172">
          <cell r="D2172" t="str">
            <v>Santa Luzia</v>
          </cell>
          <cell r="E2172">
            <v>12597</v>
          </cell>
        </row>
        <row r="2173">
          <cell r="D2173" t="str">
            <v>Santa Maria da Vitória</v>
          </cell>
          <cell r="E2173">
            <v>39845</v>
          </cell>
        </row>
        <row r="2174">
          <cell r="D2174" t="str">
            <v>Santana</v>
          </cell>
          <cell r="E2174">
            <v>26614</v>
          </cell>
        </row>
        <row r="2175">
          <cell r="D2175" t="str">
            <v>Santanópolis</v>
          </cell>
          <cell r="E2175">
            <v>8943</v>
          </cell>
        </row>
        <row r="2176">
          <cell r="D2176" t="str">
            <v>Santa Rita de Cássia</v>
          </cell>
          <cell r="E2176">
            <v>28338</v>
          </cell>
        </row>
        <row r="2177">
          <cell r="D2177" t="str">
            <v>Santa Teresinha</v>
          </cell>
          <cell r="E2177">
            <v>10405</v>
          </cell>
        </row>
        <row r="2178">
          <cell r="D2178" t="str">
            <v>Santo Amaro</v>
          </cell>
          <cell r="E2178">
            <v>60069</v>
          </cell>
        </row>
        <row r="2179">
          <cell r="D2179" t="str">
            <v>Santo Antônio de Jesus</v>
          </cell>
          <cell r="E2179">
            <v>101512</v>
          </cell>
        </row>
        <row r="2180">
          <cell r="D2180" t="str">
            <v>Santo Estêvão</v>
          </cell>
          <cell r="E2180">
            <v>52850</v>
          </cell>
        </row>
        <row r="2181">
          <cell r="D2181" t="str">
            <v>São Desidério</v>
          </cell>
          <cell r="E2181">
            <v>33742</v>
          </cell>
        </row>
        <row r="2182">
          <cell r="D2182" t="str">
            <v>São Domingos</v>
          </cell>
          <cell r="E2182">
            <v>9058</v>
          </cell>
        </row>
        <row r="2183">
          <cell r="D2183" t="str">
            <v>São Félix</v>
          </cell>
          <cell r="E2183">
            <v>14740</v>
          </cell>
        </row>
        <row r="2184">
          <cell r="D2184" t="str">
            <v>São Félix do Coribe</v>
          </cell>
          <cell r="E2184">
            <v>15391</v>
          </cell>
        </row>
        <row r="2185">
          <cell r="D2185" t="str">
            <v>São Felipe</v>
          </cell>
          <cell r="E2185">
            <v>21074</v>
          </cell>
        </row>
        <row r="2186">
          <cell r="D2186" t="str">
            <v>São Francisco do Conde</v>
          </cell>
          <cell r="E2186">
            <v>39802</v>
          </cell>
        </row>
        <row r="2187">
          <cell r="D2187" t="str">
            <v>São Gabriel</v>
          </cell>
          <cell r="E2187">
            <v>18793</v>
          </cell>
        </row>
        <row r="2188">
          <cell r="D2188" t="str">
            <v>São Gonçalo dos Campos</v>
          </cell>
          <cell r="E2188">
            <v>37550</v>
          </cell>
        </row>
        <row r="2189">
          <cell r="D2189" t="str">
            <v>São José da Vitória</v>
          </cell>
          <cell r="E2189">
            <v>5657</v>
          </cell>
        </row>
        <row r="2190">
          <cell r="D2190" t="str">
            <v>São José do Jacuípe</v>
          </cell>
          <cell r="E2190">
            <v>10462</v>
          </cell>
        </row>
        <row r="2191">
          <cell r="D2191" t="str">
            <v>São Miguel das Matas</v>
          </cell>
          <cell r="E2191">
            <v>11675</v>
          </cell>
        </row>
        <row r="2192">
          <cell r="D2192" t="str">
            <v>São Sebastião do Passé</v>
          </cell>
          <cell r="E2192">
            <v>44300</v>
          </cell>
        </row>
        <row r="2193">
          <cell r="D2193" t="str">
            <v>Sapeaçu</v>
          </cell>
          <cell r="E2193">
            <v>17398</v>
          </cell>
        </row>
        <row r="2194">
          <cell r="D2194" t="str">
            <v>Sátiro Dias</v>
          </cell>
          <cell r="E2194">
            <v>17273</v>
          </cell>
        </row>
        <row r="2195">
          <cell r="D2195" t="str">
            <v>Saubara</v>
          </cell>
          <cell r="E2195">
            <v>12043</v>
          </cell>
        </row>
        <row r="2196">
          <cell r="D2196" t="str">
            <v>Saúde</v>
          </cell>
          <cell r="E2196">
            <v>12913</v>
          </cell>
        </row>
        <row r="2197">
          <cell r="D2197" t="str">
            <v>Seabra</v>
          </cell>
          <cell r="E2197">
            <v>44091</v>
          </cell>
        </row>
        <row r="2198">
          <cell r="D2198" t="str">
            <v>Sebastião Laranjeiras</v>
          </cell>
          <cell r="E2198">
            <v>11434</v>
          </cell>
        </row>
        <row r="2199">
          <cell r="D2199" t="str">
            <v>Senhor do Bonfim</v>
          </cell>
          <cell r="E2199">
            <v>79015</v>
          </cell>
        </row>
        <row r="2200">
          <cell r="D2200" t="str">
            <v>Serra do Ramalho</v>
          </cell>
          <cell r="E2200">
            <v>31472</v>
          </cell>
        </row>
        <row r="2201">
          <cell r="D2201" t="str">
            <v>Sento Sé</v>
          </cell>
          <cell r="E2201">
            <v>40684</v>
          </cell>
        </row>
        <row r="2202">
          <cell r="D2202" t="str">
            <v>Serra Dourada</v>
          </cell>
          <cell r="E2202">
            <v>17386</v>
          </cell>
        </row>
        <row r="2203">
          <cell r="D2203" t="str">
            <v>Serra Preta</v>
          </cell>
          <cell r="E2203">
            <v>14878</v>
          </cell>
        </row>
        <row r="2204">
          <cell r="D2204" t="str">
            <v>Serrinha</v>
          </cell>
          <cell r="E2204">
            <v>80861</v>
          </cell>
        </row>
        <row r="2205">
          <cell r="D2205" t="str">
            <v>Serrolândia</v>
          </cell>
          <cell r="E2205">
            <v>13397</v>
          </cell>
        </row>
        <row r="2206">
          <cell r="D2206" t="str">
            <v>Simões Filho</v>
          </cell>
          <cell r="E2206">
            <v>134377</v>
          </cell>
        </row>
        <row r="2207">
          <cell r="D2207" t="str">
            <v>Sítio do Mato</v>
          </cell>
          <cell r="E2207">
            <v>13012</v>
          </cell>
        </row>
        <row r="2208">
          <cell r="D2208" t="str">
            <v>Sítio do Quinto</v>
          </cell>
          <cell r="E2208">
            <v>9986</v>
          </cell>
        </row>
        <row r="2209">
          <cell r="D2209" t="str">
            <v>Sobradinho</v>
          </cell>
          <cell r="E2209">
            <v>23191</v>
          </cell>
        </row>
        <row r="2210">
          <cell r="D2210" t="str">
            <v>Souto Soares</v>
          </cell>
          <cell r="E2210" t="str">
            <v>16979 (16)</v>
          </cell>
        </row>
        <row r="2211">
          <cell r="D2211" t="str">
            <v>Tabocas do Brejo Velho</v>
          </cell>
          <cell r="E2211">
            <v>12518</v>
          </cell>
        </row>
        <row r="2212">
          <cell r="D2212" t="str">
            <v>Tanhaçu</v>
          </cell>
          <cell r="E2212">
            <v>20403</v>
          </cell>
        </row>
        <row r="2213">
          <cell r="D2213" t="str">
            <v>Tanque Novo</v>
          </cell>
          <cell r="E2213">
            <v>17366</v>
          </cell>
        </row>
        <row r="2214">
          <cell r="D2214" t="str">
            <v>Tanquinho</v>
          </cell>
          <cell r="E2214">
            <v>7918</v>
          </cell>
        </row>
        <row r="2215">
          <cell r="D2215" t="str">
            <v>Taperoá</v>
          </cell>
          <cell r="E2215">
            <v>21074</v>
          </cell>
        </row>
        <row r="2216">
          <cell r="D2216" t="str">
            <v>Tapiramutá</v>
          </cell>
          <cell r="E2216">
            <v>17010</v>
          </cell>
        </row>
        <row r="2217">
          <cell r="D2217" t="str">
            <v>Teixeira de Freitas</v>
          </cell>
          <cell r="E2217">
            <v>160487</v>
          </cell>
        </row>
        <row r="2218">
          <cell r="D2218" t="str">
            <v>Teodoro Sampaio</v>
          </cell>
          <cell r="E2218">
            <v>7425</v>
          </cell>
        </row>
        <row r="2219">
          <cell r="D2219" t="str">
            <v>Teofilândia</v>
          </cell>
          <cell r="E2219">
            <v>22518</v>
          </cell>
        </row>
        <row r="2220">
          <cell r="D2220" t="str">
            <v>Teolândia</v>
          </cell>
          <cell r="E2220">
            <v>14943</v>
          </cell>
        </row>
        <row r="2221">
          <cell r="D2221" t="str">
            <v>Terra Nova</v>
          </cell>
          <cell r="E2221">
            <v>13033</v>
          </cell>
        </row>
        <row r="2222">
          <cell r="D2222" t="str">
            <v>Tremedal</v>
          </cell>
          <cell r="E2222">
            <v>16394</v>
          </cell>
        </row>
        <row r="2223">
          <cell r="D2223" t="str">
            <v>Tucano</v>
          </cell>
          <cell r="E2223">
            <v>50687</v>
          </cell>
        </row>
        <row r="2224">
          <cell r="D2224" t="str">
            <v>Uauá</v>
          </cell>
          <cell r="E2224">
            <v>24240</v>
          </cell>
        </row>
        <row r="2225">
          <cell r="D2225" t="str">
            <v>Ubaíra</v>
          </cell>
          <cell r="E2225">
            <v>19895</v>
          </cell>
        </row>
        <row r="2226">
          <cell r="D2226" t="str">
            <v>Ubaitaba</v>
          </cell>
          <cell r="E2226">
            <v>19056</v>
          </cell>
        </row>
        <row r="2227">
          <cell r="D2227" t="str">
            <v>Ubatã</v>
          </cell>
          <cell r="E2227">
            <v>27035</v>
          </cell>
        </row>
        <row r="2228">
          <cell r="D2228" t="str">
            <v>Uibaí</v>
          </cell>
          <cell r="E2228">
            <v>13887</v>
          </cell>
        </row>
        <row r="2229">
          <cell r="D2229" t="str">
            <v>Umburanas</v>
          </cell>
          <cell r="E2229">
            <v>19222</v>
          </cell>
        </row>
        <row r="2230">
          <cell r="D2230" t="str">
            <v>Una</v>
          </cell>
          <cell r="E2230">
            <v>19002</v>
          </cell>
        </row>
        <row r="2231">
          <cell r="D2231" t="str">
            <v>Urandi</v>
          </cell>
          <cell r="E2231">
            <v>16658</v>
          </cell>
        </row>
        <row r="2232">
          <cell r="D2232" t="str">
            <v>Uruçuca</v>
          </cell>
          <cell r="E2232">
            <v>20519</v>
          </cell>
        </row>
        <row r="2233">
          <cell r="D2233" t="str">
            <v>Utinga</v>
          </cell>
          <cell r="E2233">
            <v>19178</v>
          </cell>
        </row>
        <row r="2234">
          <cell r="D2234" t="str">
            <v>Valença</v>
          </cell>
          <cell r="E2234">
            <v>96562</v>
          </cell>
        </row>
        <row r="2235">
          <cell r="D2235" t="str">
            <v>Valente</v>
          </cell>
          <cell r="E2235">
            <v>28473</v>
          </cell>
        </row>
        <row r="2236">
          <cell r="D2236" t="str">
            <v>Várzea da Roça</v>
          </cell>
          <cell r="E2236">
            <v>14104</v>
          </cell>
        </row>
        <row r="2237">
          <cell r="D2237" t="str">
            <v>Várzea do Poço</v>
          </cell>
          <cell r="E2237">
            <v>9170</v>
          </cell>
        </row>
        <row r="2238">
          <cell r="D2238" t="str">
            <v>Várzea Nova</v>
          </cell>
          <cell r="E2238">
            <v>12697</v>
          </cell>
        </row>
        <row r="2239">
          <cell r="D2239" t="str">
            <v>Varzedo</v>
          </cell>
          <cell r="E2239">
            <v>8838</v>
          </cell>
        </row>
        <row r="2240">
          <cell r="D2240" t="str">
            <v>Vera Cruz</v>
          </cell>
          <cell r="E2240" t="str">
            <v>43223 (17)</v>
          </cell>
        </row>
        <row r="2241">
          <cell r="D2241" t="str">
            <v>Vereda</v>
          </cell>
          <cell r="E2241">
            <v>6205</v>
          </cell>
        </row>
        <row r="2242">
          <cell r="D2242" t="str">
            <v>Vitória da Conquista</v>
          </cell>
          <cell r="E2242">
            <v>341597</v>
          </cell>
        </row>
        <row r="2243">
          <cell r="D2243" t="str">
            <v>Wagner</v>
          </cell>
          <cell r="E2243">
            <v>9345</v>
          </cell>
        </row>
        <row r="2244">
          <cell r="D2244" t="str">
            <v>Wanderley</v>
          </cell>
          <cell r="E2244">
            <v>12238</v>
          </cell>
        </row>
        <row r="2245">
          <cell r="D2245" t="str">
            <v>Wenceslau Guimarães</v>
          </cell>
          <cell r="E2245">
            <v>21101</v>
          </cell>
        </row>
        <row r="2246">
          <cell r="D2246" t="str">
            <v>Xique-Xique</v>
          </cell>
          <cell r="E2246">
            <v>46483</v>
          </cell>
        </row>
        <row r="2247">
          <cell r="D2247" t="str">
            <v>Abadia dos Dourados</v>
          </cell>
          <cell r="E2247">
            <v>6989</v>
          </cell>
        </row>
        <row r="2248">
          <cell r="D2248" t="str">
            <v>Abaeté</v>
          </cell>
          <cell r="E2248">
            <v>23237</v>
          </cell>
        </row>
        <row r="2249">
          <cell r="D2249" t="str">
            <v>Abre Campo</v>
          </cell>
          <cell r="E2249">
            <v>13454</v>
          </cell>
        </row>
        <row r="2250">
          <cell r="D2250" t="str">
            <v>Acaiaca</v>
          </cell>
          <cell r="E2250">
            <v>3994</v>
          </cell>
        </row>
        <row r="2251">
          <cell r="D2251" t="str">
            <v>Açucena</v>
          </cell>
          <cell r="E2251">
            <v>9470</v>
          </cell>
        </row>
        <row r="2252">
          <cell r="D2252" t="str">
            <v>Água Boa</v>
          </cell>
          <cell r="E2252">
            <v>13735</v>
          </cell>
        </row>
        <row r="2253">
          <cell r="D2253" t="str">
            <v>Água Comprida</v>
          </cell>
          <cell r="E2253">
            <v>1999</v>
          </cell>
        </row>
        <row r="2254">
          <cell r="D2254" t="str">
            <v>Aguanil</v>
          </cell>
          <cell r="E2254">
            <v>4486</v>
          </cell>
        </row>
        <row r="2255">
          <cell r="D2255" t="str">
            <v>Águas Formosas</v>
          </cell>
          <cell r="E2255">
            <v>19207</v>
          </cell>
        </row>
        <row r="2256">
          <cell r="D2256" t="str">
            <v>Águas Vermelhas</v>
          </cell>
          <cell r="E2256">
            <v>13539</v>
          </cell>
        </row>
        <row r="2257">
          <cell r="D2257" t="str">
            <v>Aimorés</v>
          </cell>
          <cell r="E2257">
            <v>25167</v>
          </cell>
        </row>
        <row r="2258">
          <cell r="D2258" t="str">
            <v>Aiuruoca</v>
          </cell>
          <cell r="E2258">
            <v>6003</v>
          </cell>
        </row>
        <row r="2259">
          <cell r="D2259" t="str">
            <v>Alagoa</v>
          </cell>
          <cell r="E2259">
            <v>2674</v>
          </cell>
        </row>
        <row r="2260">
          <cell r="D2260" t="str">
            <v>Albertina</v>
          </cell>
          <cell r="E2260">
            <v>3007</v>
          </cell>
        </row>
        <row r="2261">
          <cell r="D2261" t="str">
            <v>Além Paraíba</v>
          </cell>
          <cell r="E2261">
            <v>35362</v>
          </cell>
        </row>
        <row r="2262">
          <cell r="D2262" t="str">
            <v>Alfenas</v>
          </cell>
          <cell r="E2262">
            <v>79996</v>
          </cell>
        </row>
        <row r="2263">
          <cell r="D2263" t="str">
            <v>Alfredo Vasconcelos</v>
          </cell>
          <cell r="E2263">
            <v>6907</v>
          </cell>
        </row>
        <row r="2264">
          <cell r="D2264" t="str">
            <v>Almenara</v>
          </cell>
          <cell r="E2264">
            <v>41896</v>
          </cell>
        </row>
        <row r="2265">
          <cell r="D2265" t="str">
            <v>Alpercata</v>
          </cell>
          <cell r="E2265">
            <v>7424</v>
          </cell>
        </row>
        <row r="2266">
          <cell r="D2266" t="str">
            <v>Alpinópolis</v>
          </cell>
          <cell r="E2266">
            <v>19853</v>
          </cell>
        </row>
        <row r="2267">
          <cell r="D2267" t="str">
            <v>Alterosa</v>
          </cell>
          <cell r="E2267">
            <v>14466</v>
          </cell>
        </row>
        <row r="2268">
          <cell r="D2268" t="str">
            <v>Alto Caparaó</v>
          </cell>
          <cell r="E2268">
            <v>5847</v>
          </cell>
        </row>
        <row r="2269">
          <cell r="D2269" t="str">
            <v>Alto Rio Doce</v>
          </cell>
          <cell r="E2269">
            <v>11000</v>
          </cell>
        </row>
        <row r="2270">
          <cell r="D2270" t="str">
            <v>Alvarenga</v>
          </cell>
          <cell r="E2270">
            <v>3907</v>
          </cell>
        </row>
        <row r="2271">
          <cell r="D2271" t="str">
            <v>Alvinópolis</v>
          </cell>
          <cell r="E2271">
            <v>15203</v>
          </cell>
        </row>
        <row r="2272">
          <cell r="D2272" t="str">
            <v>Alvorada de Minas</v>
          </cell>
          <cell r="E2272">
            <v>3606</v>
          </cell>
        </row>
        <row r="2273">
          <cell r="D2273" t="str">
            <v>Amparo do Serra</v>
          </cell>
          <cell r="E2273">
            <v>4713</v>
          </cell>
        </row>
        <row r="2274">
          <cell r="D2274" t="str">
            <v>Andradas</v>
          </cell>
          <cell r="E2274">
            <v>41077</v>
          </cell>
        </row>
        <row r="2275">
          <cell r="D2275" t="str">
            <v>Cachoeira de Pajeú</v>
          </cell>
          <cell r="E2275">
            <v>9412</v>
          </cell>
        </row>
        <row r="2276">
          <cell r="D2276" t="str">
            <v>Andrelândia</v>
          </cell>
          <cell r="E2276">
            <v>12224</v>
          </cell>
        </row>
        <row r="2277">
          <cell r="D2277" t="str">
            <v>Angelândia</v>
          </cell>
          <cell r="E2277">
            <v>8520</v>
          </cell>
        </row>
        <row r="2278">
          <cell r="D2278" t="str">
            <v>Antônio Carlos</v>
          </cell>
          <cell r="E2278">
            <v>11445</v>
          </cell>
        </row>
        <row r="2279">
          <cell r="D2279" t="str">
            <v>Antônio Dias</v>
          </cell>
          <cell r="E2279">
            <v>9318</v>
          </cell>
        </row>
        <row r="2280">
          <cell r="D2280" t="str">
            <v>Antônio Prado de Minas</v>
          </cell>
          <cell r="E2280">
            <v>1598</v>
          </cell>
        </row>
        <row r="2281">
          <cell r="D2281" t="str">
            <v>Araçaí</v>
          </cell>
          <cell r="E2281">
            <v>2347</v>
          </cell>
        </row>
        <row r="2282">
          <cell r="D2282" t="str">
            <v>Aracitaba</v>
          </cell>
          <cell r="E2282">
            <v>2063</v>
          </cell>
        </row>
        <row r="2283">
          <cell r="D2283" t="str">
            <v>Araçuaí</v>
          </cell>
          <cell r="E2283">
            <v>36708</v>
          </cell>
        </row>
        <row r="2284">
          <cell r="D2284" t="str">
            <v>Araguari</v>
          </cell>
          <cell r="E2284">
            <v>117267</v>
          </cell>
        </row>
        <row r="2285">
          <cell r="D2285" t="str">
            <v>Arantina</v>
          </cell>
          <cell r="E2285">
            <v>2795</v>
          </cell>
        </row>
        <row r="2286">
          <cell r="D2286" t="str">
            <v>Araponga</v>
          </cell>
          <cell r="E2286">
            <v>8439</v>
          </cell>
        </row>
        <row r="2287">
          <cell r="D2287" t="str">
            <v>Araporã</v>
          </cell>
          <cell r="E2287">
            <v>6869</v>
          </cell>
        </row>
        <row r="2288">
          <cell r="D2288" t="str">
            <v>Arapuá</v>
          </cell>
          <cell r="E2288">
            <v>2834</v>
          </cell>
        </row>
        <row r="2289">
          <cell r="D2289" t="str">
            <v>Araújos</v>
          </cell>
          <cell r="E2289">
            <v>9273</v>
          </cell>
        </row>
        <row r="2290">
          <cell r="D2290" t="str">
            <v>Araxá</v>
          </cell>
          <cell r="E2290">
            <v>106229</v>
          </cell>
        </row>
        <row r="2291">
          <cell r="D2291" t="str">
            <v>Arceburgo</v>
          </cell>
          <cell r="E2291">
            <v>10772</v>
          </cell>
        </row>
        <row r="2292">
          <cell r="D2292" t="str">
            <v>Arcos</v>
          </cell>
          <cell r="E2292">
            <v>40092</v>
          </cell>
        </row>
        <row r="2293">
          <cell r="D2293" t="str">
            <v>Areado</v>
          </cell>
          <cell r="E2293">
            <v>15070</v>
          </cell>
        </row>
        <row r="2294">
          <cell r="D2294" t="str">
            <v>Argirita</v>
          </cell>
          <cell r="E2294">
            <v>2727</v>
          </cell>
        </row>
        <row r="2295">
          <cell r="D2295" t="str">
            <v>Aricanduva</v>
          </cell>
          <cell r="E2295">
            <v>5231</v>
          </cell>
        </row>
        <row r="2296">
          <cell r="D2296" t="str">
            <v>Arinos</v>
          </cell>
          <cell r="E2296">
            <v>17875</v>
          </cell>
        </row>
        <row r="2297">
          <cell r="D2297" t="str">
            <v>Astolfo Dutra</v>
          </cell>
          <cell r="E2297">
            <v>14179</v>
          </cell>
        </row>
        <row r="2298">
          <cell r="D2298" t="str">
            <v>Ataléia</v>
          </cell>
          <cell r="E2298">
            <v>12868</v>
          </cell>
        </row>
        <row r="2299">
          <cell r="D2299" t="str">
            <v>Augusto de Lima</v>
          </cell>
          <cell r="E2299">
            <v>4869</v>
          </cell>
        </row>
        <row r="2300">
          <cell r="D2300" t="str">
            <v>Baependi</v>
          </cell>
          <cell r="E2300">
            <v>19148</v>
          </cell>
        </row>
        <row r="2301">
          <cell r="D2301" t="str">
            <v>Baldim</v>
          </cell>
          <cell r="E2301">
            <v>7826</v>
          </cell>
        </row>
        <row r="2302">
          <cell r="D2302" t="str">
            <v>Bambuí</v>
          </cell>
          <cell r="E2302">
            <v>23829</v>
          </cell>
        </row>
        <row r="2303">
          <cell r="D2303" t="str">
            <v>Bandeira</v>
          </cell>
          <cell r="E2303">
            <v>4795</v>
          </cell>
        </row>
        <row r="2304">
          <cell r="D2304" t="str">
            <v>Bandeira do Sul</v>
          </cell>
          <cell r="E2304">
            <v>5746</v>
          </cell>
        </row>
        <row r="2305">
          <cell r="D2305" t="str">
            <v>Barão de Cocais</v>
          </cell>
          <cell r="E2305">
            <v>32485</v>
          </cell>
        </row>
        <row r="2306">
          <cell r="D2306" t="str">
            <v>Barão de Monte Alto</v>
          </cell>
          <cell r="E2306">
            <v>5397</v>
          </cell>
        </row>
        <row r="2307">
          <cell r="D2307" t="str">
            <v>Barbacena</v>
          </cell>
          <cell r="E2307">
            <v>137313</v>
          </cell>
        </row>
        <row r="2308">
          <cell r="D2308" t="str">
            <v>Barra Longa</v>
          </cell>
          <cell r="E2308">
            <v>5131</v>
          </cell>
        </row>
        <row r="2309">
          <cell r="D2309" t="str">
            <v>Barroso</v>
          </cell>
          <cell r="E2309">
            <v>20810</v>
          </cell>
        </row>
        <row r="2310">
          <cell r="D2310" t="str">
            <v>Bela Vista de Minas</v>
          </cell>
          <cell r="E2310">
            <v>10255</v>
          </cell>
        </row>
        <row r="2311">
          <cell r="D2311" t="str">
            <v>Belmiro Braga</v>
          </cell>
          <cell r="E2311">
            <v>3429</v>
          </cell>
        </row>
        <row r="2312">
          <cell r="D2312" t="str">
            <v>Belo Horizonte</v>
          </cell>
          <cell r="E2312">
            <v>2512070</v>
          </cell>
        </row>
        <row r="2313">
          <cell r="D2313" t="str">
            <v>Belo Oriente</v>
          </cell>
          <cell r="E2313">
            <v>26700</v>
          </cell>
        </row>
        <row r="2314">
          <cell r="D2314" t="str">
            <v>Belo Vale</v>
          </cell>
          <cell r="E2314">
            <v>7715</v>
          </cell>
        </row>
        <row r="2315">
          <cell r="D2315" t="str">
            <v>Berilo</v>
          </cell>
          <cell r="E2315">
            <v>11932</v>
          </cell>
        </row>
        <row r="2316">
          <cell r="D2316" t="str">
            <v>Bertópolis</v>
          </cell>
          <cell r="E2316">
            <v>4604</v>
          </cell>
        </row>
        <row r="2317">
          <cell r="D2317" t="str">
            <v>Berizal</v>
          </cell>
          <cell r="E2317">
            <v>4735</v>
          </cell>
        </row>
        <row r="2318">
          <cell r="D2318" t="str">
            <v>Betim</v>
          </cell>
          <cell r="E2318">
            <v>439340</v>
          </cell>
        </row>
        <row r="2319">
          <cell r="D2319" t="str">
            <v>Bias Fortes</v>
          </cell>
          <cell r="E2319">
            <v>3379</v>
          </cell>
        </row>
        <row r="2320">
          <cell r="D2320" t="str">
            <v>Bicas</v>
          </cell>
          <cell r="E2320">
            <v>14494</v>
          </cell>
        </row>
        <row r="2321">
          <cell r="D2321" t="str">
            <v>Biquinhas</v>
          </cell>
          <cell r="E2321">
            <v>2515</v>
          </cell>
        </row>
        <row r="2322">
          <cell r="D2322" t="str">
            <v>Boa Esperança</v>
          </cell>
          <cell r="E2322">
            <v>40127</v>
          </cell>
        </row>
        <row r="2323">
          <cell r="D2323" t="str">
            <v>Bocaina de Minas</v>
          </cell>
          <cell r="E2323">
            <v>5090</v>
          </cell>
        </row>
        <row r="2324">
          <cell r="D2324" t="str">
            <v>Bocaiúva</v>
          </cell>
          <cell r="E2324">
            <v>49979</v>
          </cell>
        </row>
        <row r="2325">
          <cell r="D2325" t="str">
            <v>Bom Despacho</v>
          </cell>
          <cell r="E2325">
            <v>50605</v>
          </cell>
        </row>
        <row r="2326">
          <cell r="D2326" t="str">
            <v>Bom Jardim de Minas</v>
          </cell>
          <cell r="E2326">
            <v>6474</v>
          </cell>
        </row>
        <row r="2327">
          <cell r="D2327" t="str">
            <v>Bom Jesus da Penha</v>
          </cell>
          <cell r="E2327">
            <v>4217</v>
          </cell>
        </row>
        <row r="2328">
          <cell r="D2328" t="str">
            <v>Bom Jesus do Amparo</v>
          </cell>
          <cell r="E2328">
            <v>6083</v>
          </cell>
        </row>
        <row r="2329">
          <cell r="D2329" t="str">
            <v>Bom Jesus do Galho</v>
          </cell>
          <cell r="E2329">
            <v>14935</v>
          </cell>
        </row>
        <row r="2330">
          <cell r="D2330" t="str">
            <v>Bom Repouso</v>
          </cell>
          <cell r="E2330">
            <v>10547</v>
          </cell>
        </row>
        <row r="2331">
          <cell r="D2331" t="str">
            <v>Bom Sucesso</v>
          </cell>
          <cell r="E2331">
            <v>17603</v>
          </cell>
        </row>
        <row r="2332">
          <cell r="D2332" t="str">
            <v>Bonfim</v>
          </cell>
          <cell r="E2332">
            <v>6868</v>
          </cell>
        </row>
        <row r="2333">
          <cell r="D2333" t="str">
            <v>Bonfinópolis de Minas</v>
          </cell>
          <cell r="E2333">
            <v>5493</v>
          </cell>
        </row>
        <row r="2334">
          <cell r="D2334" t="str">
            <v>Bonito de Minas</v>
          </cell>
          <cell r="E2334">
            <v>11230</v>
          </cell>
        </row>
        <row r="2335">
          <cell r="D2335" t="str">
            <v>Borda da Mata</v>
          </cell>
          <cell r="E2335">
            <v>19412</v>
          </cell>
        </row>
        <row r="2336">
          <cell r="D2336" t="str">
            <v>Botelhos</v>
          </cell>
          <cell r="E2336">
            <v>14971</v>
          </cell>
        </row>
        <row r="2337">
          <cell r="D2337" t="str">
            <v>Botumirim</v>
          </cell>
          <cell r="E2337">
            <v>6319</v>
          </cell>
        </row>
        <row r="2338">
          <cell r="D2338" t="str">
            <v>Brasilândia de Minas</v>
          </cell>
          <cell r="E2338">
            <v>16538</v>
          </cell>
        </row>
        <row r="2339">
          <cell r="D2339" t="str">
            <v>Brasília de Minas</v>
          </cell>
          <cell r="E2339">
            <v>32347</v>
          </cell>
        </row>
        <row r="2340">
          <cell r="D2340" t="str">
            <v>Brás Pires</v>
          </cell>
          <cell r="E2340">
            <v>4333</v>
          </cell>
        </row>
        <row r="2341">
          <cell r="D2341" t="str">
            <v>Braúnas</v>
          </cell>
          <cell r="E2341">
            <v>4801</v>
          </cell>
        </row>
        <row r="2342">
          <cell r="D2342" t="str">
            <v>Brazópolis</v>
          </cell>
          <cell r="E2342">
            <v>14459</v>
          </cell>
        </row>
        <row r="2343">
          <cell r="D2343" t="str">
            <v>Brumadinho</v>
          </cell>
          <cell r="E2343">
            <v>40103</v>
          </cell>
        </row>
        <row r="2344">
          <cell r="D2344" t="str">
            <v>Bueno Brandão</v>
          </cell>
          <cell r="E2344">
            <v>11001</v>
          </cell>
        </row>
        <row r="2345">
          <cell r="D2345" t="str">
            <v>Buenópolis</v>
          </cell>
          <cell r="E2345">
            <v>10365</v>
          </cell>
        </row>
        <row r="2346">
          <cell r="D2346" t="str">
            <v>Bugre</v>
          </cell>
          <cell r="E2346">
            <v>3982</v>
          </cell>
        </row>
        <row r="2347">
          <cell r="D2347" t="str">
            <v>Buritis</v>
          </cell>
          <cell r="E2347">
            <v>24841</v>
          </cell>
        </row>
        <row r="2348">
          <cell r="D2348" t="str">
            <v>Buritizeiro</v>
          </cell>
          <cell r="E2348">
            <v>28056</v>
          </cell>
        </row>
        <row r="2349">
          <cell r="D2349" t="str">
            <v>Cabeceira Grande</v>
          </cell>
          <cell r="E2349">
            <v>6949</v>
          </cell>
        </row>
        <row r="2350">
          <cell r="D2350" t="str">
            <v>Cabo Verde</v>
          </cell>
          <cell r="E2350">
            <v>14075</v>
          </cell>
        </row>
        <row r="2351">
          <cell r="D2351" t="str">
            <v>Cachoeira da Prata</v>
          </cell>
          <cell r="E2351">
            <v>3603</v>
          </cell>
        </row>
        <row r="2352">
          <cell r="D2352" t="str">
            <v>Cachoeira de Minas</v>
          </cell>
          <cell r="E2352">
            <v>11547</v>
          </cell>
        </row>
        <row r="2353">
          <cell r="D2353" t="str">
            <v>Cachoeira Dourada</v>
          </cell>
          <cell r="E2353">
            <v>2692</v>
          </cell>
        </row>
        <row r="2354">
          <cell r="D2354" t="str">
            <v>Caetanópolis</v>
          </cell>
          <cell r="E2354">
            <v>11624</v>
          </cell>
        </row>
        <row r="2355">
          <cell r="D2355" t="str">
            <v>Caeté</v>
          </cell>
          <cell r="E2355">
            <v>44718</v>
          </cell>
        </row>
        <row r="2356">
          <cell r="D2356" t="str">
            <v>Caiana</v>
          </cell>
          <cell r="E2356">
            <v>5496</v>
          </cell>
        </row>
        <row r="2357">
          <cell r="D2357" t="str">
            <v>Cajuri</v>
          </cell>
          <cell r="E2357">
            <v>3987</v>
          </cell>
        </row>
        <row r="2358">
          <cell r="D2358" t="str">
            <v>Caldas</v>
          </cell>
          <cell r="E2358">
            <v>14480</v>
          </cell>
        </row>
        <row r="2359">
          <cell r="D2359" t="str">
            <v>Camacho</v>
          </cell>
          <cell r="E2359">
            <v>2901</v>
          </cell>
        </row>
        <row r="2360">
          <cell r="D2360" t="str">
            <v>Camanducaia</v>
          </cell>
          <cell r="E2360">
            <v>21770</v>
          </cell>
        </row>
        <row r="2361">
          <cell r="D2361" t="str">
            <v>Cambuí</v>
          </cell>
          <cell r="E2361">
            <v>29551</v>
          </cell>
        </row>
        <row r="2362">
          <cell r="D2362" t="str">
            <v>Cambuquira</v>
          </cell>
          <cell r="E2362">
            <v>12814</v>
          </cell>
        </row>
        <row r="2363">
          <cell r="D2363" t="str">
            <v>Campanário</v>
          </cell>
          <cell r="E2363">
            <v>3721</v>
          </cell>
        </row>
        <row r="2364">
          <cell r="D2364" t="str">
            <v>Campanha</v>
          </cell>
          <cell r="E2364">
            <v>16665</v>
          </cell>
        </row>
        <row r="2365">
          <cell r="D2365" t="str">
            <v>Campestre</v>
          </cell>
          <cell r="E2365">
            <v>21055</v>
          </cell>
        </row>
        <row r="2366">
          <cell r="D2366" t="str">
            <v>Campina Verde</v>
          </cell>
          <cell r="E2366">
            <v>19745</v>
          </cell>
        </row>
        <row r="2367">
          <cell r="D2367" t="str">
            <v>Campo Azul</v>
          </cell>
          <cell r="E2367">
            <v>3817</v>
          </cell>
        </row>
        <row r="2368">
          <cell r="D2368" t="str">
            <v>Campo Belo</v>
          </cell>
          <cell r="E2368">
            <v>54029</v>
          </cell>
        </row>
        <row r="2369">
          <cell r="D2369" t="str">
            <v>Campo do Meio</v>
          </cell>
          <cell r="E2369">
            <v>11655</v>
          </cell>
        </row>
        <row r="2370">
          <cell r="D2370" t="str">
            <v>Campo Florido</v>
          </cell>
          <cell r="E2370">
            <v>8151</v>
          </cell>
        </row>
        <row r="2371">
          <cell r="D2371" t="str">
            <v>Campos Altos</v>
          </cell>
          <cell r="E2371">
            <v>15461</v>
          </cell>
        </row>
        <row r="2372">
          <cell r="D2372" t="str">
            <v>Campos Gerais</v>
          </cell>
          <cell r="E2372">
            <v>28774</v>
          </cell>
        </row>
        <row r="2373">
          <cell r="D2373" t="str">
            <v>Canaã</v>
          </cell>
          <cell r="E2373">
            <v>4563</v>
          </cell>
        </row>
        <row r="2374">
          <cell r="D2374" t="str">
            <v>Canápolis</v>
          </cell>
          <cell r="E2374">
            <v>12150</v>
          </cell>
        </row>
        <row r="2375">
          <cell r="D2375" t="str">
            <v>Cana Verde</v>
          </cell>
          <cell r="E2375">
            <v>5603</v>
          </cell>
        </row>
        <row r="2376">
          <cell r="D2376" t="str">
            <v>Candeias</v>
          </cell>
          <cell r="E2376">
            <v>14886</v>
          </cell>
        </row>
        <row r="2377">
          <cell r="D2377" t="str">
            <v>Cantagalo</v>
          </cell>
          <cell r="E2377">
            <v>4525</v>
          </cell>
        </row>
        <row r="2378">
          <cell r="D2378" t="str">
            <v>Caparaó</v>
          </cell>
          <cell r="E2378">
            <v>5438</v>
          </cell>
        </row>
        <row r="2379">
          <cell r="D2379" t="str">
            <v>Capela Nova</v>
          </cell>
          <cell r="E2379">
            <v>4653</v>
          </cell>
        </row>
        <row r="2380">
          <cell r="D2380" t="str">
            <v>Capelinha</v>
          </cell>
          <cell r="E2380">
            <v>37784</v>
          </cell>
        </row>
        <row r="2381">
          <cell r="D2381" t="str">
            <v>Capetinga</v>
          </cell>
          <cell r="E2381">
            <v>6920</v>
          </cell>
        </row>
        <row r="2382">
          <cell r="D2382" t="str">
            <v>Capim Branco</v>
          </cell>
          <cell r="E2382">
            <v>9754</v>
          </cell>
        </row>
        <row r="2383">
          <cell r="D2383" t="str">
            <v>Capinópolis</v>
          </cell>
          <cell r="E2383">
            <v>16173</v>
          </cell>
        </row>
        <row r="2384">
          <cell r="D2384" t="str">
            <v>Capitão Andrade</v>
          </cell>
          <cell r="E2384">
            <v>5468</v>
          </cell>
        </row>
        <row r="2385">
          <cell r="D2385" t="str">
            <v>Capitão Enéas</v>
          </cell>
          <cell r="E2385">
            <v>15234</v>
          </cell>
        </row>
        <row r="2386">
          <cell r="D2386" t="str">
            <v>Capitólio</v>
          </cell>
          <cell r="E2386">
            <v>8632</v>
          </cell>
        </row>
        <row r="2387">
          <cell r="D2387" t="str">
            <v>Caputira</v>
          </cell>
          <cell r="E2387">
            <v>9298</v>
          </cell>
        </row>
        <row r="2388">
          <cell r="D2388" t="str">
            <v>Caraí</v>
          </cell>
          <cell r="E2388">
            <v>23685</v>
          </cell>
        </row>
        <row r="2389">
          <cell r="D2389" t="str">
            <v>Caranaíba</v>
          </cell>
          <cell r="E2389">
            <v>3183</v>
          </cell>
        </row>
        <row r="2390">
          <cell r="D2390" t="str">
            <v>Carandaí</v>
          </cell>
          <cell r="E2390">
            <v>25501</v>
          </cell>
        </row>
        <row r="2391">
          <cell r="D2391" t="str">
            <v>Carangola</v>
          </cell>
          <cell r="E2391">
            <v>33000</v>
          </cell>
        </row>
        <row r="2392">
          <cell r="D2392" t="str">
            <v>Caratinga</v>
          </cell>
          <cell r="E2392">
            <v>92062</v>
          </cell>
        </row>
        <row r="2393">
          <cell r="D2393" t="str">
            <v>Carbonita</v>
          </cell>
          <cell r="E2393">
            <v>9405</v>
          </cell>
        </row>
        <row r="2394">
          <cell r="D2394" t="str">
            <v>Careaçu</v>
          </cell>
          <cell r="E2394">
            <v>6757</v>
          </cell>
        </row>
        <row r="2395">
          <cell r="D2395" t="str">
            <v>Carlos Chagas</v>
          </cell>
          <cell r="E2395">
            <v>18837</v>
          </cell>
        </row>
        <row r="2396">
          <cell r="D2396" t="str">
            <v>Carmésia</v>
          </cell>
          <cell r="E2396">
            <v>2632</v>
          </cell>
        </row>
        <row r="2397">
          <cell r="D2397" t="str">
            <v>Carmo da Cachoeira</v>
          </cell>
          <cell r="E2397">
            <v>12170</v>
          </cell>
        </row>
        <row r="2398">
          <cell r="D2398" t="str">
            <v>Carmo da Mata</v>
          </cell>
          <cell r="E2398">
            <v>11476</v>
          </cell>
        </row>
        <row r="2399">
          <cell r="D2399" t="str">
            <v>Carmo de Minas</v>
          </cell>
          <cell r="E2399">
            <v>14859</v>
          </cell>
        </row>
        <row r="2400">
          <cell r="D2400" t="str">
            <v>Carmo do Cajuru</v>
          </cell>
          <cell r="E2400">
            <v>22478</v>
          </cell>
        </row>
        <row r="2401">
          <cell r="D2401" t="str">
            <v>Carmo do Paranaíba</v>
          </cell>
          <cell r="E2401">
            <v>30329</v>
          </cell>
        </row>
        <row r="2402">
          <cell r="D2402" t="str">
            <v>Carmo do Rio Claro</v>
          </cell>
          <cell r="E2402">
            <v>21225</v>
          </cell>
        </row>
        <row r="2403">
          <cell r="D2403" t="str">
            <v>Carmópolis de Minas</v>
          </cell>
          <cell r="E2403">
            <v>19355</v>
          </cell>
        </row>
        <row r="2404">
          <cell r="D2404" t="str">
            <v>Carneirinho</v>
          </cell>
          <cell r="E2404">
            <v>10027</v>
          </cell>
        </row>
        <row r="2405">
          <cell r="D2405" t="str">
            <v>Carrancas</v>
          </cell>
          <cell r="E2405">
            <v>4047</v>
          </cell>
        </row>
        <row r="2406">
          <cell r="D2406" t="str">
            <v>Carvalhópolis</v>
          </cell>
          <cell r="E2406">
            <v>3579</v>
          </cell>
        </row>
        <row r="2407">
          <cell r="D2407" t="str">
            <v>Carvalhos</v>
          </cell>
          <cell r="E2407">
            <v>4478</v>
          </cell>
        </row>
        <row r="2408">
          <cell r="D2408" t="str">
            <v>Casa Grande</v>
          </cell>
          <cell r="E2408">
            <v>2257</v>
          </cell>
        </row>
        <row r="2409">
          <cell r="D2409" t="str">
            <v>Cascalho Rico</v>
          </cell>
          <cell r="E2409">
            <v>3075</v>
          </cell>
        </row>
        <row r="2410">
          <cell r="D2410" t="str">
            <v>Cássia</v>
          </cell>
          <cell r="E2410">
            <v>17740</v>
          </cell>
        </row>
        <row r="2411">
          <cell r="D2411" t="str">
            <v>Conceição da Barra de Minas</v>
          </cell>
          <cell r="E2411">
            <v>3954</v>
          </cell>
        </row>
        <row r="2412">
          <cell r="D2412" t="str">
            <v>Cataguases</v>
          </cell>
          <cell r="E2412">
            <v>75123</v>
          </cell>
        </row>
        <row r="2413">
          <cell r="D2413" t="str">
            <v>Catas Altas</v>
          </cell>
          <cell r="E2413">
            <v>5376</v>
          </cell>
        </row>
        <row r="2414">
          <cell r="D2414" t="str">
            <v>Catas Altas da Noruega</v>
          </cell>
          <cell r="E2414">
            <v>3641</v>
          </cell>
        </row>
        <row r="2415">
          <cell r="D2415" t="str">
            <v>Catuji</v>
          </cell>
          <cell r="E2415">
            <v>6311</v>
          </cell>
        </row>
        <row r="2416">
          <cell r="D2416" t="str">
            <v>Catuti</v>
          </cell>
          <cell r="E2416">
            <v>4986</v>
          </cell>
        </row>
        <row r="2417">
          <cell r="D2417" t="str">
            <v>Caxambu</v>
          </cell>
          <cell r="E2417">
            <v>21656</v>
          </cell>
        </row>
        <row r="2418">
          <cell r="D2418" t="str">
            <v>Cedro do Abaeté</v>
          </cell>
          <cell r="E2418">
            <v>1164</v>
          </cell>
        </row>
        <row r="2419">
          <cell r="D2419" t="str">
            <v>Central de Minas</v>
          </cell>
          <cell r="E2419">
            <v>7032</v>
          </cell>
        </row>
        <row r="2420">
          <cell r="D2420" t="str">
            <v>Centralina</v>
          </cell>
          <cell r="E2420">
            <v>10350</v>
          </cell>
        </row>
        <row r="2421">
          <cell r="D2421" t="str">
            <v>Chácara</v>
          </cell>
          <cell r="E2421">
            <v>3154</v>
          </cell>
        </row>
        <row r="2422">
          <cell r="D2422" t="str">
            <v>Chalé</v>
          </cell>
          <cell r="E2422">
            <v>5704</v>
          </cell>
        </row>
        <row r="2423">
          <cell r="D2423" t="str">
            <v>Chapada do Norte</v>
          </cell>
          <cell r="E2423">
            <v>15356</v>
          </cell>
        </row>
        <row r="2424">
          <cell r="D2424" t="str">
            <v>Chapada Gaúcha</v>
          </cell>
          <cell r="E2424">
            <v>13680</v>
          </cell>
        </row>
        <row r="2425">
          <cell r="D2425" t="str">
            <v>Chiador</v>
          </cell>
          <cell r="E2425">
            <v>2687</v>
          </cell>
        </row>
        <row r="2426">
          <cell r="D2426" t="str">
            <v>Cipotânea</v>
          </cell>
          <cell r="E2426">
            <v>6787</v>
          </cell>
        </row>
        <row r="2427">
          <cell r="D2427" t="str">
            <v>Claraval</v>
          </cell>
          <cell r="E2427">
            <v>4843</v>
          </cell>
        </row>
        <row r="2428">
          <cell r="D2428" t="str">
            <v>Claro dos Poções</v>
          </cell>
          <cell r="E2428">
            <v>7551</v>
          </cell>
        </row>
        <row r="2429">
          <cell r="D2429" t="str">
            <v>Cláudio</v>
          </cell>
          <cell r="E2429">
            <v>28617</v>
          </cell>
        </row>
        <row r="2430">
          <cell r="D2430" t="str">
            <v>Coimbra</v>
          </cell>
          <cell r="E2430">
            <v>7556</v>
          </cell>
        </row>
        <row r="2431">
          <cell r="D2431" t="str">
            <v>Coluna</v>
          </cell>
          <cell r="E2431">
            <v>8873</v>
          </cell>
        </row>
        <row r="2432">
          <cell r="D2432" t="str">
            <v>Comendador Gomes</v>
          </cell>
          <cell r="E2432">
            <v>3111</v>
          </cell>
        </row>
        <row r="2433">
          <cell r="D2433" t="str">
            <v>Comercinho</v>
          </cell>
          <cell r="E2433">
            <v>6929</v>
          </cell>
        </row>
        <row r="2434">
          <cell r="D2434" t="str">
            <v>Conceição da Aparecida</v>
          </cell>
          <cell r="E2434">
            <v>10292</v>
          </cell>
        </row>
        <row r="2435">
          <cell r="D2435" t="str">
            <v>Conceição das Pedras</v>
          </cell>
          <cell r="E2435">
            <v>2812</v>
          </cell>
        </row>
        <row r="2436">
          <cell r="D2436" t="str">
            <v>Conceição das Alagoas</v>
          </cell>
          <cell r="E2436">
            <v>27893</v>
          </cell>
        </row>
        <row r="2437">
          <cell r="D2437" t="str">
            <v>Conceição de Ipanema</v>
          </cell>
          <cell r="E2437">
            <v>4574</v>
          </cell>
        </row>
        <row r="2438">
          <cell r="D2438" t="str">
            <v>Conceição do Mato Dentro</v>
          </cell>
          <cell r="E2438">
            <v>17842</v>
          </cell>
        </row>
        <row r="2439">
          <cell r="D2439" t="str">
            <v>Conceição do Pará</v>
          </cell>
          <cell r="E2439">
            <v>5507</v>
          </cell>
        </row>
        <row r="2440">
          <cell r="D2440" t="str">
            <v>Conceição do Rio Verde</v>
          </cell>
          <cell r="E2440">
            <v>13638</v>
          </cell>
        </row>
        <row r="2441">
          <cell r="D2441" t="str">
            <v>Conceição dos Ouros</v>
          </cell>
          <cell r="E2441">
            <v>11638</v>
          </cell>
        </row>
        <row r="2442">
          <cell r="D2442" t="str">
            <v>Cônego Marinho</v>
          </cell>
          <cell r="E2442">
            <v>7642</v>
          </cell>
        </row>
        <row r="2443">
          <cell r="D2443" t="str">
            <v>Confins</v>
          </cell>
          <cell r="E2443">
            <v>6730</v>
          </cell>
        </row>
        <row r="2444">
          <cell r="D2444" t="str">
            <v>Congonhal</v>
          </cell>
          <cell r="E2444">
            <v>11950</v>
          </cell>
        </row>
        <row r="2445">
          <cell r="D2445" t="str">
            <v>Congonhas</v>
          </cell>
          <cell r="E2445">
            <v>54762</v>
          </cell>
        </row>
        <row r="2446">
          <cell r="D2446" t="str">
            <v>Congonhas do Norte</v>
          </cell>
          <cell r="E2446">
            <v>5045</v>
          </cell>
        </row>
        <row r="2447">
          <cell r="D2447" t="str">
            <v>Conquista</v>
          </cell>
          <cell r="E2447">
            <v>6939</v>
          </cell>
        </row>
        <row r="2448">
          <cell r="D2448" t="str">
            <v>Conselheiro Lafaiete</v>
          </cell>
          <cell r="E2448">
            <v>128589</v>
          </cell>
        </row>
        <row r="2449">
          <cell r="D2449" t="str">
            <v>Conselheiro Pena</v>
          </cell>
          <cell r="E2449">
            <v>22921</v>
          </cell>
        </row>
        <row r="2450">
          <cell r="D2450" t="str">
            <v>Consolação</v>
          </cell>
          <cell r="E2450">
            <v>1783</v>
          </cell>
        </row>
        <row r="2451">
          <cell r="D2451" t="str">
            <v>Contagem</v>
          </cell>
          <cell r="E2451">
            <v>663855</v>
          </cell>
        </row>
        <row r="2452">
          <cell r="D2452" t="str">
            <v>Coqueiral</v>
          </cell>
          <cell r="E2452">
            <v>9159</v>
          </cell>
        </row>
        <row r="2453">
          <cell r="D2453" t="str">
            <v>Coração de Jesus</v>
          </cell>
          <cell r="E2453">
            <v>26602</v>
          </cell>
        </row>
        <row r="2454">
          <cell r="D2454" t="str">
            <v>Cordisburgo</v>
          </cell>
          <cell r="E2454">
            <v>8890</v>
          </cell>
        </row>
        <row r="2455">
          <cell r="D2455" t="str">
            <v>Cordislândia</v>
          </cell>
          <cell r="E2455">
            <v>3538</v>
          </cell>
        </row>
        <row r="2456">
          <cell r="D2456" t="str">
            <v>Corinto</v>
          </cell>
          <cell r="E2456">
            <v>23731</v>
          </cell>
        </row>
        <row r="2457">
          <cell r="D2457" t="str">
            <v>Coroaci</v>
          </cell>
          <cell r="E2457">
            <v>9991</v>
          </cell>
        </row>
        <row r="2458">
          <cell r="D2458" t="str">
            <v>Coromandel</v>
          </cell>
          <cell r="E2458">
            <v>27974</v>
          </cell>
        </row>
        <row r="2459">
          <cell r="D2459" t="str">
            <v>Coronel Fabriciano</v>
          </cell>
          <cell r="E2459">
            <v>109855</v>
          </cell>
        </row>
        <row r="2460">
          <cell r="D2460" t="str">
            <v>Coronel Murta</v>
          </cell>
          <cell r="E2460">
            <v>9222</v>
          </cell>
        </row>
        <row r="2461">
          <cell r="D2461" t="str">
            <v>Coronel Pacheco</v>
          </cell>
          <cell r="E2461">
            <v>3086</v>
          </cell>
        </row>
        <row r="2462">
          <cell r="D2462" t="str">
            <v>Coronel Xavier Chaves</v>
          </cell>
          <cell r="E2462">
            <v>3434</v>
          </cell>
        </row>
        <row r="2463">
          <cell r="D2463" t="str">
            <v>Córrego Danta</v>
          </cell>
          <cell r="E2463">
            <v>3215</v>
          </cell>
        </row>
        <row r="2464">
          <cell r="D2464" t="str">
            <v>Córrego do Bom Jesus</v>
          </cell>
          <cell r="E2464">
            <v>3704</v>
          </cell>
        </row>
        <row r="2465">
          <cell r="D2465" t="str">
            <v>Córrego Fundo</v>
          </cell>
          <cell r="E2465">
            <v>6337</v>
          </cell>
        </row>
        <row r="2466">
          <cell r="D2466" t="str">
            <v>Córrego Novo</v>
          </cell>
          <cell r="E2466">
            <v>2771</v>
          </cell>
        </row>
        <row r="2467">
          <cell r="D2467" t="str">
            <v>Couto de Magalhães de Minas</v>
          </cell>
          <cell r="E2467">
            <v>4410</v>
          </cell>
        </row>
        <row r="2468">
          <cell r="D2468" t="str">
            <v>Crisólita</v>
          </cell>
          <cell r="E2468">
            <v>6704</v>
          </cell>
        </row>
        <row r="2469">
          <cell r="D2469" t="str">
            <v>Cristais</v>
          </cell>
          <cell r="E2469">
            <v>12798</v>
          </cell>
        </row>
        <row r="2470">
          <cell r="D2470" t="str">
            <v>Cristália</v>
          </cell>
          <cell r="E2470">
            <v>5971</v>
          </cell>
        </row>
        <row r="2471">
          <cell r="D2471" t="str">
            <v>Cristiano Otoni</v>
          </cell>
          <cell r="E2471">
            <v>5150</v>
          </cell>
        </row>
        <row r="2472">
          <cell r="D2472" t="str">
            <v>Cristina</v>
          </cell>
          <cell r="E2472">
            <v>10242</v>
          </cell>
        </row>
        <row r="2473">
          <cell r="D2473" t="str">
            <v>Crucilândia</v>
          </cell>
          <cell r="E2473">
            <v>5034</v>
          </cell>
        </row>
        <row r="2474">
          <cell r="D2474" t="str">
            <v>Cruzeiro da Fortaleza</v>
          </cell>
          <cell r="E2474">
            <v>3626</v>
          </cell>
        </row>
        <row r="2475">
          <cell r="D2475" t="str">
            <v>Cruzília</v>
          </cell>
          <cell r="E2475">
            <v>15417</v>
          </cell>
        </row>
        <row r="2476">
          <cell r="D2476" t="str">
            <v>Cuparaque</v>
          </cell>
          <cell r="E2476">
            <v>4982</v>
          </cell>
        </row>
        <row r="2477">
          <cell r="D2477" t="str">
            <v>Curral de Dentro</v>
          </cell>
          <cell r="E2477">
            <v>7729</v>
          </cell>
        </row>
        <row r="2478">
          <cell r="D2478" t="str">
            <v>Curvelo</v>
          </cell>
          <cell r="E2478">
            <v>80129</v>
          </cell>
        </row>
        <row r="2479">
          <cell r="D2479" t="str">
            <v>Datas</v>
          </cell>
          <cell r="E2479">
            <v>5410</v>
          </cell>
        </row>
        <row r="2480">
          <cell r="D2480" t="str">
            <v>Delfim Moreira</v>
          </cell>
          <cell r="E2480">
            <v>8025</v>
          </cell>
        </row>
        <row r="2481">
          <cell r="D2481" t="str">
            <v>Delfinópolis</v>
          </cell>
          <cell r="E2481">
            <v>7114</v>
          </cell>
        </row>
        <row r="2482">
          <cell r="D2482" t="str">
            <v>Delta</v>
          </cell>
          <cell r="E2482">
            <v>10533</v>
          </cell>
        </row>
        <row r="2483">
          <cell r="D2483" t="str">
            <v>Descoberto</v>
          </cell>
          <cell r="E2483">
            <v>5013</v>
          </cell>
        </row>
        <row r="2484">
          <cell r="D2484" t="str">
            <v>Desterro de Entre Rios</v>
          </cell>
          <cell r="E2484">
            <v>7243</v>
          </cell>
        </row>
        <row r="2485">
          <cell r="D2485" t="str">
            <v>Desterro do Melo</v>
          </cell>
          <cell r="E2485">
            <v>2901</v>
          </cell>
        </row>
        <row r="2486">
          <cell r="D2486" t="str">
            <v>Diamantina</v>
          </cell>
          <cell r="E2486">
            <v>47723</v>
          </cell>
        </row>
        <row r="2487">
          <cell r="D2487" t="str">
            <v>Diogo de Vasconcelos</v>
          </cell>
          <cell r="E2487">
            <v>3802</v>
          </cell>
        </row>
        <row r="2488">
          <cell r="D2488" t="str">
            <v>Dionísio</v>
          </cell>
          <cell r="E2488">
            <v>7729</v>
          </cell>
        </row>
        <row r="2489">
          <cell r="D2489" t="str">
            <v>Divinésia</v>
          </cell>
          <cell r="E2489">
            <v>3417</v>
          </cell>
        </row>
        <row r="2490">
          <cell r="D2490" t="str">
            <v>Divino</v>
          </cell>
          <cell r="E2490">
            <v>19931</v>
          </cell>
        </row>
        <row r="2491">
          <cell r="D2491" t="str">
            <v>Divino das Laranjeiras</v>
          </cell>
          <cell r="E2491">
            <v>4979</v>
          </cell>
        </row>
        <row r="2492">
          <cell r="D2492" t="str">
            <v>Divinolândia de Minas</v>
          </cell>
          <cell r="E2492">
            <v>7571</v>
          </cell>
        </row>
        <row r="2493">
          <cell r="D2493" t="str">
            <v>Divinópolis</v>
          </cell>
          <cell r="E2493">
            <v>238230</v>
          </cell>
        </row>
        <row r="2494">
          <cell r="D2494" t="str">
            <v>Divisa Alegre</v>
          </cell>
          <cell r="E2494">
            <v>6786</v>
          </cell>
        </row>
        <row r="2495">
          <cell r="D2495" t="str">
            <v>Divisa Nova</v>
          </cell>
          <cell r="E2495">
            <v>6011</v>
          </cell>
        </row>
        <row r="2496">
          <cell r="D2496" t="str">
            <v>Divisópolis</v>
          </cell>
          <cell r="E2496">
            <v>11019</v>
          </cell>
        </row>
        <row r="2497">
          <cell r="D2497" t="str">
            <v>Dom Bosco</v>
          </cell>
          <cell r="E2497">
            <v>3677</v>
          </cell>
        </row>
        <row r="2498">
          <cell r="D2498" t="str">
            <v>Dom Cavati</v>
          </cell>
          <cell r="E2498">
            <v>5072</v>
          </cell>
        </row>
        <row r="2499">
          <cell r="D2499" t="str">
            <v>Dom Joaquim</v>
          </cell>
          <cell r="E2499">
            <v>4195</v>
          </cell>
        </row>
        <row r="2500">
          <cell r="D2500" t="str">
            <v>Dom Silvério</v>
          </cell>
          <cell r="E2500">
            <v>5237</v>
          </cell>
        </row>
        <row r="2501">
          <cell r="D2501" t="str">
            <v>Dom Viçoso</v>
          </cell>
          <cell r="E2501">
            <v>3001</v>
          </cell>
        </row>
        <row r="2502">
          <cell r="D2502" t="str">
            <v>Dona Eusébia</v>
          </cell>
          <cell r="E2502">
            <v>6572</v>
          </cell>
        </row>
        <row r="2503">
          <cell r="D2503" t="str">
            <v>Dores de Campos</v>
          </cell>
          <cell r="E2503">
            <v>10153</v>
          </cell>
        </row>
        <row r="2504">
          <cell r="D2504" t="str">
            <v>Dores de Guanhães</v>
          </cell>
          <cell r="E2504">
            <v>5169</v>
          </cell>
        </row>
        <row r="2505">
          <cell r="D2505" t="str">
            <v>Dores do Indaiá</v>
          </cell>
          <cell r="E2505">
            <v>13483</v>
          </cell>
        </row>
        <row r="2506">
          <cell r="D2506" t="str">
            <v>Dores do Turvo</v>
          </cell>
          <cell r="E2506">
            <v>4259</v>
          </cell>
        </row>
        <row r="2507">
          <cell r="D2507" t="str">
            <v>Doresópolis</v>
          </cell>
          <cell r="E2507">
            <v>1527</v>
          </cell>
        </row>
        <row r="2508">
          <cell r="D2508" t="str">
            <v>Douradoquara</v>
          </cell>
          <cell r="E2508">
            <v>1908</v>
          </cell>
        </row>
        <row r="2509">
          <cell r="D2509" t="str">
            <v>Durandé</v>
          </cell>
          <cell r="E2509">
            <v>7841</v>
          </cell>
        </row>
        <row r="2510">
          <cell r="D2510" t="str">
            <v>Elói Mendes</v>
          </cell>
          <cell r="E2510">
            <v>28076</v>
          </cell>
        </row>
        <row r="2511">
          <cell r="D2511" t="str">
            <v>Engenheiro Caldas</v>
          </cell>
          <cell r="E2511">
            <v>11134</v>
          </cell>
        </row>
        <row r="2512">
          <cell r="D2512" t="str">
            <v>Engenheiro Navarro</v>
          </cell>
          <cell r="E2512">
            <v>7242</v>
          </cell>
        </row>
        <row r="2513">
          <cell r="D2513" t="str">
            <v>Entre Folhas</v>
          </cell>
          <cell r="E2513">
            <v>5370</v>
          </cell>
        </row>
        <row r="2514">
          <cell r="D2514" t="str">
            <v>Entre Rios de Minas</v>
          </cell>
          <cell r="E2514">
            <v>15298</v>
          </cell>
        </row>
        <row r="2515">
          <cell r="D2515" t="str">
            <v>Ervália</v>
          </cell>
          <cell r="E2515">
            <v>18895</v>
          </cell>
        </row>
        <row r="2516">
          <cell r="D2516" t="str">
            <v>Esmeraldas</v>
          </cell>
          <cell r="E2516">
            <v>70552</v>
          </cell>
        </row>
        <row r="2517">
          <cell r="D2517" t="str">
            <v>Espera Feliz</v>
          </cell>
          <cell r="E2517">
            <v>24951</v>
          </cell>
        </row>
        <row r="2518">
          <cell r="D2518" t="str">
            <v>Espinosa</v>
          </cell>
          <cell r="E2518">
            <v>31617</v>
          </cell>
        </row>
        <row r="2519">
          <cell r="D2519" t="str">
            <v>Espírito Santo do Dourado</v>
          </cell>
          <cell r="E2519">
            <v>4692</v>
          </cell>
        </row>
        <row r="2520">
          <cell r="D2520" t="str">
            <v>Estiva</v>
          </cell>
          <cell r="E2520">
            <v>11354</v>
          </cell>
        </row>
        <row r="2521">
          <cell r="D2521" t="str">
            <v>Estrela Dalva</v>
          </cell>
          <cell r="E2521">
            <v>2343</v>
          </cell>
        </row>
        <row r="2522">
          <cell r="D2522" t="str">
            <v>Estrela do Indaiá</v>
          </cell>
          <cell r="E2522">
            <v>3500</v>
          </cell>
        </row>
        <row r="2523">
          <cell r="D2523" t="str">
            <v>Estrela do Sul</v>
          </cell>
          <cell r="E2523">
            <v>7978</v>
          </cell>
        </row>
        <row r="2524">
          <cell r="D2524" t="str">
            <v>Eugenópolis</v>
          </cell>
          <cell r="E2524">
            <v>11275</v>
          </cell>
        </row>
        <row r="2525">
          <cell r="D2525" t="str">
            <v>Ewbank da Câmara</v>
          </cell>
          <cell r="E2525">
            <v>3913</v>
          </cell>
        </row>
        <row r="2526">
          <cell r="D2526" t="str">
            <v>Extrema</v>
          </cell>
          <cell r="E2526">
            <v>36225</v>
          </cell>
        </row>
        <row r="2527">
          <cell r="D2527" t="str">
            <v>Fama</v>
          </cell>
          <cell r="E2527">
            <v>2377</v>
          </cell>
        </row>
        <row r="2528">
          <cell r="D2528" t="str">
            <v>Faria Lemos</v>
          </cell>
          <cell r="E2528">
            <v>3241</v>
          </cell>
        </row>
        <row r="2529">
          <cell r="D2529" t="str">
            <v>Felício dos Santos</v>
          </cell>
          <cell r="E2529">
            <v>4753</v>
          </cell>
        </row>
        <row r="2530">
          <cell r="D2530" t="str">
            <v>São Gonçalo do Rio Preto</v>
          </cell>
          <cell r="E2530">
            <v>3167</v>
          </cell>
        </row>
        <row r="2531">
          <cell r="D2531" t="str">
            <v>Felisburgo</v>
          </cell>
          <cell r="E2531">
            <v>7457</v>
          </cell>
        </row>
        <row r="2532">
          <cell r="D2532" t="str">
            <v>Felixlândia</v>
          </cell>
          <cell r="E2532">
            <v>15336</v>
          </cell>
        </row>
        <row r="2533">
          <cell r="D2533" t="str">
            <v>Fernandes Tourinho</v>
          </cell>
          <cell r="E2533">
            <v>3431</v>
          </cell>
        </row>
        <row r="2534">
          <cell r="D2534" t="str">
            <v>Ferros</v>
          </cell>
          <cell r="E2534">
            <v>9820</v>
          </cell>
        </row>
        <row r="2535">
          <cell r="D2535" t="str">
            <v>Fervedouro</v>
          </cell>
          <cell r="E2535">
            <v>11006</v>
          </cell>
        </row>
        <row r="2536">
          <cell r="D2536" t="str">
            <v>Florestal</v>
          </cell>
          <cell r="E2536">
            <v>7461</v>
          </cell>
        </row>
        <row r="2537">
          <cell r="D2537" t="str">
            <v>Formiga</v>
          </cell>
          <cell r="E2537">
            <v>67683</v>
          </cell>
        </row>
        <row r="2538">
          <cell r="D2538" t="str">
            <v>Formoso</v>
          </cell>
          <cell r="E2538">
            <v>9562</v>
          </cell>
        </row>
        <row r="2539">
          <cell r="D2539" t="str">
            <v>Fortaleza de Minas</v>
          </cell>
          <cell r="E2539">
            <v>4412</v>
          </cell>
        </row>
        <row r="2540">
          <cell r="D2540" t="str">
            <v>Fortuna de Minas</v>
          </cell>
          <cell r="E2540">
            <v>2947</v>
          </cell>
        </row>
        <row r="2541">
          <cell r="D2541" t="str">
            <v>Francisco Badaró</v>
          </cell>
          <cell r="E2541">
            <v>10332</v>
          </cell>
        </row>
        <row r="2542">
          <cell r="D2542" t="str">
            <v>Francisco Dumont</v>
          </cell>
          <cell r="E2542">
            <v>5215</v>
          </cell>
        </row>
        <row r="2543">
          <cell r="D2543" t="str">
            <v>Francisco Sá</v>
          </cell>
          <cell r="E2543">
            <v>26277</v>
          </cell>
        </row>
        <row r="2544">
          <cell r="D2544" t="str">
            <v>Franciscópolis</v>
          </cell>
          <cell r="E2544">
            <v>5391</v>
          </cell>
        </row>
        <row r="2545">
          <cell r="D2545" t="str">
            <v>Frei Gaspar</v>
          </cell>
          <cell r="E2545">
            <v>5880</v>
          </cell>
        </row>
        <row r="2546">
          <cell r="D2546" t="str">
            <v>Frei Inocêncio</v>
          </cell>
          <cell r="E2546">
            <v>9611</v>
          </cell>
        </row>
        <row r="2547">
          <cell r="D2547" t="str">
            <v>Frei Lagonegro</v>
          </cell>
          <cell r="E2547">
            <v>3478</v>
          </cell>
        </row>
        <row r="2548">
          <cell r="D2548" t="str">
            <v>Fronteira</v>
          </cell>
          <cell r="E2548">
            <v>18103</v>
          </cell>
        </row>
        <row r="2549">
          <cell r="D2549" t="str">
            <v>Fronteira dos Vales</v>
          </cell>
          <cell r="E2549">
            <v>4581</v>
          </cell>
        </row>
        <row r="2550">
          <cell r="D2550" t="str">
            <v>Fruta de Leite</v>
          </cell>
          <cell r="E2550">
            <v>5369</v>
          </cell>
        </row>
        <row r="2551">
          <cell r="D2551" t="str">
            <v>Frutal</v>
          </cell>
          <cell r="E2551">
            <v>59496</v>
          </cell>
        </row>
        <row r="2552">
          <cell r="D2552" t="str">
            <v>Funilândia</v>
          </cell>
          <cell r="E2552">
            <v>4349</v>
          </cell>
        </row>
        <row r="2553">
          <cell r="D2553" t="str">
            <v>Galiléia</v>
          </cell>
          <cell r="E2553">
            <v>6817</v>
          </cell>
        </row>
        <row r="2554">
          <cell r="D2554" t="str">
            <v>Gameleiras</v>
          </cell>
          <cell r="E2554">
            <v>5109</v>
          </cell>
        </row>
        <row r="2555">
          <cell r="D2555" t="str">
            <v>Glaucilândia</v>
          </cell>
          <cell r="E2555">
            <v>3150</v>
          </cell>
        </row>
        <row r="2556">
          <cell r="D2556" t="str">
            <v>Goiabeira</v>
          </cell>
          <cell r="E2556">
            <v>3353</v>
          </cell>
        </row>
        <row r="2557">
          <cell r="D2557" t="str">
            <v>Goianá</v>
          </cell>
          <cell r="E2557">
            <v>3966</v>
          </cell>
        </row>
        <row r="2558">
          <cell r="D2558" t="str">
            <v>Gonçalves</v>
          </cell>
          <cell r="E2558">
            <v>4350</v>
          </cell>
        </row>
        <row r="2559">
          <cell r="D2559" t="str">
            <v>Gonzaga</v>
          </cell>
          <cell r="E2559">
            <v>6158</v>
          </cell>
        </row>
        <row r="2560">
          <cell r="D2560" t="str">
            <v>Gouveia</v>
          </cell>
          <cell r="E2560">
            <v>11825</v>
          </cell>
        </row>
        <row r="2561">
          <cell r="D2561" t="str">
            <v>Governador Valadares</v>
          </cell>
          <cell r="E2561">
            <v>279885</v>
          </cell>
        </row>
        <row r="2562">
          <cell r="D2562" t="str">
            <v>Grão Mogol</v>
          </cell>
          <cell r="E2562">
            <v>15836</v>
          </cell>
        </row>
        <row r="2563">
          <cell r="D2563" t="str">
            <v>Grupiara</v>
          </cell>
          <cell r="E2563">
            <v>1388</v>
          </cell>
        </row>
        <row r="2564">
          <cell r="D2564" t="str">
            <v>Guanhães</v>
          </cell>
          <cell r="E2564">
            <v>34319</v>
          </cell>
        </row>
        <row r="2565">
          <cell r="D2565" t="str">
            <v>Guapé</v>
          </cell>
          <cell r="E2565">
            <v>14245</v>
          </cell>
        </row>
        <row r="2566">
          <cell r="D2566" t="str">
            <v>Guaraciaba</v>
          </cell>
          <cell r="E2566">
            <v>10324</v>
          </cell>
        </row>
        <row r="2567">
          <cell r="D2567" t="str">
            <v>Guaraciama</v>
          </cell>
          <cell r="E2567">
            <v>4972</v>
          </cell>
        </row>
        <row r="2568">
          <cell r="D2568" t="str">
            <v>Guaranésia</v>
          </cell>
          <cell r="E2568">
            <v>19021</v>
          </cell>
        </row>
        <row r="2569">
          <cell r="D2569" t="str">
            <v>Guarani</v>
          </cell>
          <cell r="E2569">
            <v>8911</v>
          </cell>
        </row>
        <row r="2570">
          <cell r="D2570" t="str">
            <v>Guarará</v>
          </cell>
          <cell r="E2570">
            <v>3796</v>
          </cell>
        </row>
        <row r="2571">
          <cell r="D2571" t="str">
            <v>Guarda-Mor</v>
          </cell>
          <cell r="E2571">
            <v>6580</v>
          </cell>
        </row>
        <row r="2572">
          <cell r="D2572" t="str">
            <v>Guaxupé</v>
          </cell>
          <cell r="E2572">
            <v>51917</v>
          </cell>
        </row>
        <row r="2573">
          <cell r="D2573" t="str">
            <v>Guidoval</v>
          </cell>
          <cell r="E2573">
            <v>7078</v>
          </cell>
        </row>
        <row r="2574">
          <cell r="D2574" t="str">
            <v>Guimarânia</v>
          </cell>
          <cell r="E2574">
            <v>8039</v>
          </cell>
        </row>
        <row r="2575">
          <cell r="D2575" t="str">
            <v>Guiricema</v>
          </cell>
          <cell r="E2575">
            <v>8392</v>
          </cell>
        </row>
        <row r="2576">
          <cell r="D2576" t="str">
            <v>Gurinhatã</v>
          </cell>
          <cell r="E2576">
            <v>5639</v>
          </cell>
        </row>
        <row r="2577">
          <cell r="D2577" t="str">
            <v>Heliodora</v>
          </cell>
          <cell r="E2577">
            <v>6558</v>
          </cell>
        </row>
        <row r="2578">
          <cell r="D2578" t="str">
            <v>Iapu</v>
          </cell>
          <cell r="E2578">
            <v>11004</v>
          </cell>
        </row>
        <row r="2579">
          <cell r="D2579" t="str">
            <v>Ibertioga</v>
          </cell>
          <cell r="E2579">
            <v>5021</v>
          </cell>
        </row>
        <row r="2580">
          <cell r="D2580" t="str">
            <v>Ibiá</v>
          </cell>
          <cell r="E2580">
            <v>25199</v>
          </cell>
        </row>
        <row r="2581">
          <cell r="D2581" t="str">
            <v>Ibiaí</v>
          </cell>
          <cell r="E2581">
            <v>8395</v>
          </cell>
        </row>
        <row r="2582">
          <cell r="D2582" t="str">
            <v>Ibiracatu</v>
          </cell>
          <cell r="E2582">
            <v>5400</v>
          </cell>
        </row>
        <row r="2583">
          <cell r="D2583" t="str">
            <v>Ibiraci</v>
          </cell>
          <cell r="E2583">
            <v>13828</v>
          </cell>
        </row>
        <row r="2584">
          <cell r="D2584" t="str">
            <v>Ibirité</v>
          </cell>
          <cell r="E2584">
            <v>180204</v>
          </cell>
        </row>
        <row r="2585">
          <cell r="D2585" t="str">
            <v>Ibitiúra de Minas</v>
          </cell>
          <cell r="E2585">
            <v>3488</v>
          </cell>
        </row>
        <row r="2586">
          <cell r="D2586" t="str">
            <v>Ibituruna</v>
          </cell>
          <cell r="E2586">
            <v>2989</v>
          </cell>
        </row>
        <row r="2587">
          <cell r="D2587" t="str">
            <v>Icaraí de Minas</v>
          </cell>
          <cell r="E2587">
            <v>11990</v>
          </cell>
        </row>
        <row r="2588">
          <cell r="D2588" t="str">
            <v>Igarapé</v>
          </cell>
          <cell r="E2588">
            <v>43045</v>
          </cell>
        </row>
        <row r="2589">
          <cell r="D2589" t="str">
            <v>Igaratinga</v>
          </cell>
          <cell r="E2589">
            <v>10860</v>
          </cell>
        </row>
        <row r="2590">
          <cell r="D2590" t="str">
            <v>Iguatama</v>
          </cell>
          <cell r="E2590">
            <v>7947</v>
          </cell>
        </row>
        <row r="2591">
          <cell r="D2591" t="str">
            <v>Ijaci</v>
          </cell>
          <cell r="E2591">
            <v>6550</v>
          </cell>
        </row>
        <row r="2592">
          <cell r="D2592" t="str">
            <v>Ilicínea</v>
          </cell>
          <cell r="E2592">
            <v>12375</v>
          </cell>
        </row>
        <row r="2593">
          <cell r="D2593" t="str">
            <v>Imbé de Minas</v>
          </cell>
          <cell r="E2593">
            <v>6903</v>
          </cell>
        </row>
        <row r="2594">
          <cell r="D2594" t="str">
            <v>Inconfidentes</v>
          </cell>
          <cell r="E2594">
            <v>7328</v>
          </cell>
        </row>
        <row r="2595">
          <cell r="D2595" t="str">
            <v>Indaiabira</v>
          </cell>
          <cell r="E2595">
            <v>7351</v>
          </cell>
        </row>
        <row r="2596">
          <cell r="D2596" t="str">
            <v>Indianópolis</v>
          </cell>
          <cell r="E2596">
            <v>6891</v>
          </cell>
        </row>
        <row r="2597">
          <cell r="D2597" t="str">
            <v>Ingaí</v>
          </cell>
          <cell r="E2597">
            <v>2767</v>
          </cell>
        </row>
        <row r="2598">
          <cell r="D2598" t="str">
            <v>Inhapim</v>
          </cell>
          <cell r="E2598">
            <v>24140</v>
          </cell>
        </row>
        <row r="2599">
          <cell r="D2599" t="str">
            <v>Inhaúma</v>
          </cell>
          <cell r="E2599">
            <v>6271</v>
          </cell>
        </row>
        <row r="2600">
          <cell r="D2600" t="str">
            <v>Inimutaba</v>
          </cell>
          <cell r="E2600">
            <v>7515</v>
          </cell>
        </row>
        <row r="2601">
          <cell r="D2601" t="str">
            <v>Ipaba</v>
          </cell>
          <cell r="E2601">
            <v>18607</v>
          </cell>
        </row>
        <row r="2602">
          <cell r="D2602" t="str">
            <v>Ipanema</v>
          </cell>
          <cell r="E2602">
            <v>19861</v>
          </cell>
        </row>
        <row r="2603">
          <cell r="D2603" t="str">
            <v>Ipatinga</v>
          </cell>
          <cell r="E2603">
            <v>263410</v>
          </cell>
        </row>
        <row r="2604">
          <cell r="D2604" t="str">
            <v>Ipiaçu</v>
          </cell>
          <cell r="E2604">
            <v>4221</v>
          </cell>
        </row>
        <row r="2605">
          <cell r="D2605" t="str">
            <v>Ipuiúna</v>
          </cell>
          <cell r="E2605">
            <v>10079</v>
          </cell>
        </row>
        <row r="2606">
          <cell r="D2606" t="str">
            <v>Iraí de Minas</v>
          </cell>
          <cell r="E2606">
            <v>6987</v>
          </cell>
        </row>
        <row r="2607">
          <cell r="D2607" t="str">
            <v>Itabira</v>
          </cell>
          <cell r="E2607">
            <v>120060</v>
          </cell>
        </row>
        <row r="2608">
          <cell r="D2608" t="str">
            <v>Itabirinha</v>
          </cell>
          <cell r="E2608">
            <v>11512</v>
          </cell>
        </row>
        <row r="2609">
          <cell r="D2609" t="str">
            <v>Itabirito</v>
          </cell>
          <cell r="E2609">
            <v>51875</v>
          </cell>
        </row>
        <row r="2610">
          <cell r="D2610" t="str">
            <v>Itacambira</v>
          </cell>
          <cell r="E2610">
            <v>5385</v>
          </cell>
        </row>
        <row r="2611">
          <cell r="D2611" t="str">
            <v>Itacarambi</v>
          </cell>
          <cell r="E2611">
            <v>18153</v>
          </cell>
        </row>
        <row r="2612">
          <cell r="D2612" t="str">
            <v>Itaguara</v>
          </cell>
          <cell r="E2612">
            <v>13358</v>
          </cell>
        </row>
        <row r="2613">
          <cell r="D2613" t="str">
            <v>Itaipé</v>
          </cell>
          <cell r="E2613">
            <v>12760</v>
          </cell>
        </row>
        <row r="2614">
          <cell r="D2614" t="str">
            <v>Itajubá</v>
          </cell>
          <cell r="E2614">
            <v>96869</v>
          </cell>
        </row>
        <row r="2615">
          <cell r="D2615" t="str">
            <v>Itamarandiba</v>
          </cell>
          <cell r="E2615">
            <v>34735</v>
          </cell>
        </row>
        <row r="2616">
          <cell r="D2616" t="str">
            <v>Itamarati de Minas</v>
          </cell>
          <cell r="E2616">
            <v>4355</v>
          </cell>
        </row>
        <row r="2617">
          <cell r="D2617" t="str">
            <v>Itambacuri</v>
          </cell>
          <cell r="E2617">
            <v>23211</v>
          </cell>
        </row>
        <row r="2618">
          <cell r="D2618" t="str">
            <v>Itambé do Mato Dentro</v>
          </cell>
          <cell r="E2618">
            <v>2081</v>
          </cell>
        </row>
        <row r="2619">
          <cell r="D2619" t="str">
            <v>Itamogi</v>
          </cell>
          <cell r="E2619">
            <v>10192</v>
          </cell>
        </row>
        <row r="2620">
          <cell r="D2620" t="str">
            <v>Itamonte</v>
          </cell>
          <cell r="E2620">
            <v>15579</v>
          </cell>
        </row>
        <row r="2621">
          <cell r="D2621" t="str">
            <v>Itanhandu</v>
          </cell>
          <cell r="E2621">
            <v>15331</v>
          </cell>
        </row>
        <row r="2622">
          <cell r="D2622" t="str">
            <v>Itanhomi</v>
          </cell>
          <cell r="E2622">
            <v>12228</v>
          </cell>
        </row>
        <row r="2623">
          <cell r="D2623" t="str">
            <v>Itaobim</v>
          </cell>
          <cell r="E2623">
            <v>21062</v>
          </cell>
        </row>
        <row r="2624">
          <cell r="D2624" t="str">
            <v>Itapagipe</v>
          </cell>
          <cell r="E2624">
            <v>15243</v>
          </cell>
        </row>
        <row r="2625">
          <cell r="D2625" t="str">
            <v>Itapecerica</v>
          </cell>
          <cell r="E2625">
            <v>21762</v>
          </cell>
        </row>
        <row r="2626">
          <cell r="D2626" t="str">
            <v>Itapeva</v>
          </cell>
          <cell r="E2626">
            <v>9783</v>
          </cell>
        </row>
        <row r="2627">
          <cell r="D2627" t="str">
            <v>Itatiaiuçu</v>
          </cell>
          <cell r="E2627">
            <v>11146</v>
          </cell>
        </row>
        <row r="2628">
          <cell r="D2628" t="str">
            <v>Itaú de Minas</v>
          </cell>
          <cell r="E2628">
            <v>16108</v>
          </cell>
        </row>
        <row r="2629">
          <cell r="D2629" t="str">
            <v>Itaúna</v>
          </cell>
          <cell r="E2629">
            <v>93214</v>
          </cell>
        </row>
        <row r="2630">
          <cell r="D2630" t="str">
            <v>Itaverava</v>
          </cell>
          <cell r="E2630">
            <v>5419</v>
          </cell>
        </row>
        <row r="2631">
          <cell r="D2631" t="str">
            <v>Itinga</v>
          </cell>
          <cell r="E2631">
            <v>14990</v>
          </cell>
        </row>
        <row r="2632">
          <cell r="D2632" t="str">
            <v>Itueta</v>
          </cell>
          <cell r="E2632">
            <v>6051</v>
          </cell>
        </row>
        <row r="2633">
          <cell r="D2633" t="str">
            <v>Ituiutaba</v>
          </cell>
          <cell r="E2633">
            <v>104671</v>
          </cell>
        </row>
        <row r="2634">
          <cell r="D2634" t="str">
            <v>Itumirim</v>
          </cell>
          <cell r="E2634">
            <v>6023</v>
          </cell>
        </row>
        <row r="2635">
          <cell r="D2635" t="str">
            <v>Iturama</v>
          </cell>
          <cell r="E2635">
            <v>39263</v>
          </cell>
        </row>
        <row r="2636">
          <cell r="D2636" t="str">
            <v>Itutinga</v>
          </cell>
          <cell r="E2636">
            <v>3788</v>
          </cell>
        </row>
        <row r="2637">
          <cell r="D2637" t="str">
            <v>Jaboticatubas</v>
          </cell>
          <cell r="E2637">
            <v>20143</v>
          </cell>
        </row>
        <row r="2638">
          <cell r="D2638" t="str">
            <v>Jacinto</v>
          </cell>
          <cell r="E2638">
            <v>12326</v>
          </cell>
        </row>
        <row r="2639">
          <cell r="D2639" t="str">
            <v>Jacuí</v>
          </cell>
          <cell r="E2639">
            <v>7686</v>
          </cell>
        </row>
        <row r="2640">
          <cell r="D2640" t="str">
            <v>Jacutinga</v>
          </cell>
          <cell r="E2640">
            <v>25979</v>
          </cell>
        </row>
        <row r="2641">
          <cell r="D2641" t="str">
            <v>Jaguaraçu</v>
          </cell>
          <cell r="E2641">
            <v>3133</v>
          </cell>
        </row>
        <row r="2642">
          <cell r="D2642" t="str">
            <v>Jaíba</v>
          </cell>
          <cell r="E2642">
            <v>38909</v>
          </cell>
        </row>
        <row r="2643">
          <cell r="D2643" t="str">
            <v>Jampruca</v>
          </cell>
          <cell r="E2643">
            <v>5404</v>
          </cell>
        </row>
        <row r="2644">
          <cell r="D2644" t="str">
            <v>Janaúba</v>
          </cell>
          <cell r="E2644">
            <v>71648</v>
          </cell>
        </row>
        <row r="2645">
          <cell r="D2645" t="str">
            <v>Januária</v>
          </cell>
          <cell r="E2645">
            <v>67742</v>
          </cell>
        </row>
        <row r="2646">
          <cell r="D2646" t="str">
            <v>Japaraíba</v>
          </cell>
          <cell r="E2646">
            <v>4350</v>
          </cell>
        </row>
        <row r="2647">
          <cell r="D2647" t="str">
            <v>Japonvar</v>
          </cell>
          <cell r="E2647">
            <v>8134</v>
          </cell>
        </row>
        <row r="2648">
          <cell r="D2648" t="str">
            <v>Jeceaba</v>
          </cell>
          <cell r="E2648">
            <v>4912</v>
          </cell>
        </row>
        <row r="2649">
          <cell r="D2649" t="str">
            <v>Jenipapo de Minas</v>
          </cell>
          <cell r="E2649">
            <v>7692</v>
          </cell>
        </row>
        <row r="2650">
          <cell r="D2650" t="str">
            <v>Jequeri</v>
          </cell>
          <cell r="E2650">
            <v>12386</v>
          </cell>
        </row>
        <row r="2651">
          <cell r="D2651" t="str">
            <v>Jequitaí</v>
          </cell>
          <cell r="E2651">
            <v>7531</v>
          </cell>
        </row>
        <row r="2652">
          <cell r="D2652" t="str">
            <v>Jequitibá</v>
          </cell>
          <cell r="E2652">
            <v>5211</v>
          </cell>
        </row>
        <row r="2653">
          <cell r="D2653" t="str">
            <v>Jequitinhonha</v>
          </cell>
          <cell r="E2653">
            <v>25391</v>
          </cell>
        </row>
        <row r="2654">
          <cell r="D2654" t="str">
            <v>Jesuânia</v>
          </cell>
          <cell r="E2654">
            <v>4787</v>
          </cell>
        </row>
        <row r="2655">
          <cell r="D2655" t="str">
            <v>Joaíma</v>
          </cell>
          <cell r="E2655">
            <v>15432</v>
          </cell>
        </row>
        <row r="2656">
          <cell r="D2656" t="str">
            <v>Joanésia</v>
          </cell>
          <cell r="E2656">
            <v>4573</v>
          </cell>
        </row>
        <row r="2657">
          <cell r="D2657" t="str">
            <v>João Monlevade</v>
          </cell>
          <cell r="E2657">
            <v>79910</v>
          </cell>
        </row>
        <row r="2658">
          <cell r="D2658" t="str">
            <v>João Pinheiro</v>
          </cell>
          <cell r="E2658">
            <v>47452</v>
          </cell>
        </row>
        <row r="2659">
          <cell r="D2659" t="str">
            <v>Joaquim Felício</v>
          </cell>
          <cell r="E2659">
            <v>4695</v>
          </cell>
        </row>
        <row r="2660">
          <cell r="D2660" t="str">
            <v>Jordânia</v>
          </cell>
          <cell r="E2660">
            <v>10812</v>
          </cell>
        </row>
        <row r="2661">
          <cell r="D2661" t="str">
            <v>José Gonçalves de Minas</v>
          </cell>
          <cell r="E2661">
            <v>4501</v>
          </cell>
        </row>
        <row r="2662">
          <cell r="D2662" t="str">
            <v>José Raydan</v>
          </cell>
          <cell r="E2662">
            <v>4995</v>
          </cell>
        </row>
        <row r="2663">
          <cell r="D2663" t="str">
            <v>Josenópolis</v>
          </cell>
          <cell r="E2663">
            <v>4867</v>
          </cell>
        </row>
        <row r="2664">
          <cell r="D2664" t="str">
            <v>Nova União</v>
          </cell>
          <cell r="E2664">
            <v>5725</v>
          </cell>
        </row>
        <row r="2665">
          <cell r="D2665" t="str">
            <v>Juatuba</v>
          </cell>
          <cell r="E2665">
            <v>26946</v>
          </cell>
        </row>
        <row r="2666">
          <cell r="D2666" t="str">
            <v>Juiz de Fora</v>
          </cell>
          <cell r="E2666">
            <v>568873</v>
          </cell>
        </row>
        <row r="2667">
          <cell r="D2667" t="str">
            <v>Juramento</v>
          </cell>
          <cell r="E2667">
            <v>4331</v>
          </cell>
        </row>
        <row r="2668">
          <cell r="D2668" t="str">
            <v>Juruaia</v>
          </cell>
          <cell r="E2668">
            <v>10563</v>
          </cell>
        </row>
        <row r="2669">
          <cell r="D2669" t="str">
            <v>Juvenília</v>
          </cell>
          <cell r="E2669">
            <v>5724</v>
          </cell>
        </row>
        <row r="2670">
          <cell r="D2670" t="str">
            <v>Ladainha</v>
          </cell>
          <cell r="E2670">
            <v>18111</v>
          </cell>
        </row>
        <row r="2671">
          <cell r="D2671" t="str">
            <v>Lagamar</v>
          </cell>
          <cell r="E2671">
            <v>7613</v>
          </cell>
        </row>
        <row r="2672">
          <cell r="D2672" t="str">
            <v>Lagoa da Prata</v>
          </cell>
          <cell r="E2672">
            <v>52165</v>
          </cell>
        </row>
        <row r="2673">
          <cell r="D2673" t="str">
            <v>Lagoa dos Patos</v>
          </cell>
          <cell r="E2673">
            <v>4102</v>
          </cell>
        </row>
        <row r="2674">
          <cell r="D2674" t="str">
            <v>Lagoa Dourada</v>
          </cell>
          <cell r="E2674">
            <v>13009</v>
          </cell>
        </row>
        <row r="2675">
          <cell r="D2675" t="str">
            <v>Lagoa Formosa</v>
          </cell>
          <cell r="E2675">
            <v>18052</v>
          </cell>
        </row>
        <row r="2676">
          <cell r="D2676" t="str">
            <v>Lagoa Grande</v>
          </cell>
          <cell r="E2676">
            <v>9532</v>
          </cell>
        </row>
        <row r="2677">
          <cell r="D2677" t="str">
            <v>Lagoa Santa</v>
          </cell>
          <cell r="E2677">
            <v>64527</v>
          </cell>
        </row>
        <row r="2678">
          <cell r="D2678" t="str">
            <v>Lajinha</v>
          </cell>
          <cell r="E2678">
            <v>19923</v>
          </cell>
        </row>
        <row r="2679">
          <cell r="D2679" t="str">
            <v>Lambari</v>
          </cell>
          <cell r="E2679">
            <v>20814</v>
          </cell>
        </row>
        <row r="2680">
          <cell r="D2680" t="str">
            <v>Lamim</v>
          </cell>
          <cell r="E2680">
            <v>3391</v>
          </cell>
        </row>
        <row r="2681">
          <cell r="D2681" t="str">
            <v>Laranjal</v>
          </cell>
          <cell r="E2681">
            <v>6810</v>
          </cell>
        </row>
        <row r="2682">
          <cell r="D2682" t="str">
            <v>Lassance</v>
          </cell>
          <cell r="E2682">
            <v>6512</v>
          </cell>
        </row>
        <row r="2683">
          <cell r="D2683" t="str">
            <v>Lavras</v>
          </cell>
          <cell r="E2683">
            <v>103773</v>
          </cell>
        </row>
        <row r="2684">
          <cell r="D2684" t="str">
            <v>Leandro Ferreira</v>
          </cell>
          <cell r="E2684">
            <v>3229</v>
          </cell>
        </row>
        <row r="2685">
          <cell r="D2685" t="str">
            <v>Leme do Prado</v>
          </cell>
          <cell r="E2685">
            <v>4918</v>
          </cell>
        </row>
        <row r="2686">
          <cell r="D2686" t="str">
            <v>Leopoldina</v>
          </cell>
          <cell r="E2686">
            <v>52587</v>
          </cell>
        </row>
        <row r="2687">
          <cell r="D2687" t="str">
            <v>Liberdade</v>
          </cell>
          <cell r="E2687">
            <v>5069</v>
          </cell>
        </row>
        <row r="2688">
          <cell r="D2688" t="str">
            <v>Lima Duarte</v>
          </cell>
          <cell r="E2688">
            <v>16698</v>
          </cell>
        </row>
        <row r="2689">
          <cell r="D2689" t="str">
            <v>Limeira do Oeste</v>
          </cell>
          <cell r="E2689">
            <v>7536</v>
          </cell>
        </row>
        <row r="2690">
          <cell r="D2690" t="str">
            <v>Lontra</v>
          </cell>
          <cell r="E2690">
            <v>9496</v>
          </cell>
        </row>
        <row r="2691">
          <cell r="D2691" t="str">
            <v>Luisburgo</v>
          </cell>
          <cell r="E2691">
            <v>6266</v>
          </cell>
        </row>
        <row r="2692">
          <cell r="D2692" t="str">
            <v>Luislândia</v>
          </cell>
          <cell r="E2692">
            <v>6699</v>
          </cell>
        </row>
        <row r="2693">
          <cell r="D2693" t="str">
            <v>Luminárias</v>
          </cell>
          <cell r="E2693">
            <v>5446</v>
          </cell>
        </row>
        <row r="2694">
          <cell r="D2694" t="str">
            <v>Luz</v>
          </cell>
          <cell r="E2694">
            <v>18215</v>
          </cell>
        </row>
        <row r="2695">
          <cell r="D2695" t="str">
            <v>Machacalis</v>
          </cell>
          <cell r="E2695">
            <v>7111</v>
          </cell>
        </row>
        <row r="2696">
          <cell r="D2696" t="str">
            <v>Machado</v>
          </cell>
          <cell r="E2696">
            <v>42133</v>
          </cell>
        </row>
        <row r="2697">
          <cell r="D2697" t="str">
            <v>Madre de Deus de Minas</v>
          </cell>
          <cell r="E2697">
            <v>5098</v>
          </cell>
        </row>
        <row r="2698">
          <cell r="D2698" t="str">
            <v>Malacacheta</v>
          </cell>
          <cell r="E2698">
            <v>18650</v>
          </cell>
        </row>
        <row r="2699">
          <cell r="D2699" t="str">
            <v>Mamonas</v>
          </cell>
          <cell r="E2699">
            <v>6543</v>
          </cell>
        </row>
        <row r="2700">
          <cell r="D2700" t="str">
            <v>Manga</v>
          </cell>
          <cell r="E2700">
            <v>18407</v>
          </cell>
        </row>
        <row r="2701">
          <cell r="D2701" t="str">
            <v>Manhuaçu</v>
          </cell>
          <cell r="E2701">
            <v>90229</v>
          </cell>
        </row>
        <row r="2702">
          <cell r="D2702" t="str">
            <v>Manhumirim</v>
          </cell>
          <cell r="E2702">
            <v>22707</v>
          </cell>
        </row>
        <row r="2703">
          <cell r="D2703" t="str">
            <v>Mantena</v>
          </cell>
          <cell r="E2703">
            <v>27644</v>
          </cell>
        </row>
        <row r="2704">
          <cell r="D2704" t="str">
            <v>Maravilhas</v>
          </cell>
          <cell r="E2704">
            <v>7976</v>
          </cell>
        </row>
        <row r="2705">
          <cell r="D2705" t="str">
            <v>Mar de Espanha</v>
          </cell>
          <cell r="E2705">
            <v>12814</v>
          </cell>
        </row>
        <row r="2706">
          <cell r="D2706" t="str">
            <v>Maria da Fé</v>
          </cell>
          <cell r="E2706">
            <v>14095</v>
          </cell>
        </row>
        <row r="2707">
          <cell r="D2707" t="str">
            <v>Mariana</v>
          </cell>
          <cell r="E2707">
            <v>60724</v>
          </cell>
        </row>
        <row r="2708">
          <cell r="D2708" t="str">
            <v>Marilac</v>
          </cell>
          <cell r="E2708">
            <v>4115</v>
          </cell>
        </row>
        <row r="2709">
          <cell r="D2709" t="str">
            <v>Mário Campos</v>
          </cell>
          <cell r="E2709">
            <v>15416</v>
          </cell>
        </row>
        <row r="2710">
          <cell r="D2710" t="str">
            <v>Maripá de Minas</v>
          </cell>
          <cell r="E2710">
            <v>2973</v>
          </cell>
        </row>
        <row r="2711">
          <cell r="D2711" t="str">
            <v>Marliéria</v>
          </cell>
          <cell r="E2711">
            <v>4039</v>
          </cell>
        </row>
        <row r="2712">
          <cell r="D2712" t="str">
            <v>Marmelópolis</v>
          </cell>
          <cell r="E2712">
            <v>2755</v>
          </cell>
        </row>
        <row r="2713">
          <cell r="D2713" t="str">
            <v>Martinho Campos</v>
          </cell>
          <cell r="E2713">
            <v>13388</v>
          </cell>
        </row>
        <row r="2714">
          <cell r="D2714" t="str">
            <v>Martins Soares</v>
          </cell>
          <cell r="E2714">
            <v>8417</v>
          </cell>
        </row>
        <row r="2715">
          <cell r="D2715" t="str">
            <v>Mata Verde</v>
          </cell>
          <cell r="E2715">
            <v>8586</v>
          </cell>
        </row>
        <row r="2716">
          <cell r="D2716" t="str">
            <v>Materlândia</v>
          </cell>
          <cell r="E2716">
            <v>4459</v>
          </cell>
        </row>
        <row r="2717">
          <cell r="D2717" t="str">
            <v>Mateus Leme</v>
          </cell>
          <cell r="E2717">
            <v>31086</v>
          </cell>
        </row>
        <row r="2718">
          <cell r="D2718" t="str">
            <v>Matias Barbosa</v>
          </cell>
          <cell r="E2718">
            <v>14468</v>
          </cell>
        </row>
        <row r="2719">
          <cell r="D2719" t="str">
            <v>Matias Cardoso</v>
          </cell>
          <cell r="E2719">
            <v>11157</v>
          </cell>
        </row>
        <row r="2720">
          <cell r="D2720" t="str">
            <v>Matipó</v>
          </cell>
          <cell r="E2720">
            <v>18908</v>
          </cell>
        </row>
        <row r="2721">
          <cell r="D2721" t="str">
            <v>Mato Verde</v>
          </cell>
          <cell r="E2721">
            <v>12459</v>
          </cell>
        </row>
        <row r="2722">
          <cell r="D2722" t="str">
            <v>Matozinhos</v>
          </cell>
          <cell r="E2722">
            <v>37820</v>
          </cell>
        </row>
        <row r="2723">
          <cell r="D2723" t="str">
            <v>Matutina</v>
          </cell>
          <cell r="E2723">
            <v>3749</v>
          </cell>
        </row>
        <row r="2724">
          <cell r="D2724" t="str">
            <v>Medeiros</v>
          </cell>
          <cell r="E2724">
            <v>3802</v>
          </cell>
        </row>
        <row r="2725">
          <cell r="D2725" t="str">
            <v>Medina</v>
          </cell>
          <cell r="E2725">
            <v>20820</v>
          </cell>
        </row>
        <row r="2726">
          <cell r="D2726" t="str">
            <v>Mendes Pimentel</v>
          </cell>
          <cell r="E2726">
            <v>6446</v>
          </cell>
        </row>
        <row r="2727">
          <cell r="D2727" t="str">
            <v>Mercês</v>
          </cell>
          <cell r="E2727">
            <v>10739</v>
          </cell>
        </row>
        <row r="2728">
          <cell r="D2728" t="str">
            <v>Mesquita</v>
          </cell>
          <cell r="E2728">
            <v>5605</v>
          </cell>
        </row>
        <row r="2729">
          <cell r="D2729" t="str">
            <v>Minas Novas</v>
          </cell>
          <cell r="E2729">
            <v>31484</v>
          </cell>
        </row>
        <row r="2730">
          <cell r="D2730" t="str">
            <v>Minduri</v>
          </cell>
          <cell r="E2730">
            <v>3894</v>
          </cell>
        </row>
        <row r="2731">
          <cell r="D2731" t="str">
            <v>Mirabela</v>
          </cell>
          <cell r="E2731">
            <v>13589</v>
          </cell>
        </row>
        <row r="2732">
          <cell r="D2732" t="str">
            <v>Miradouro</v>
          </cell>
          <cell r="E2732">
            <v>10754</v>
          </cell>
        </row>
        <row r="2733">
          <cell r="D2733" t="str">
            <v>Miraí</v>
          </cell>
          <cell r="E2733">
            <v>15014</v>
          </cell>
        </row>
        <row r="2734">
          <cell r="D2734" t="str">
            <v>Miravânia</v>
          </cell>
          <cell r="E2734">
            <v>4888</v>
          </cell>
        </row>
        <row r="2735">
          <cell r="D2735" t="str">
            <v>Moeda</v>
          </cell>
          <cell r="E2735">
            <v>4919</v>
          </cell>
        </row>
        <row r="2736">
          <cell r="D2736" t="str">
            <v>Moema</v>
          </cell>
          <cell r="E2736">
            <v>7517</v>
          </cell>
        </row>
        <row r="2737">
          <cell r="D2737" t="str">
            <v>Monjolos</v>
          </cell>
          <cell r="E2737">
            <v>2220</v>
          </cell>
        </row>
        <row r="2738">
          <cell r="D2738" t="str">
            <v>Monsenhor Paulo</v>
          </cell>
          <cell r="E2738">
            <v>8688</v>
          </cell>
        </row>
        <row r="2739">
          <cell r="D2739" t="str">
            <v>Montalvânia</v>
          </cell>
          <cell r="E2739">
            <v>14877</v>
          </cell>
        </row>
        <row r="2740">
          <cell r="D2740" t="str">
            <v>Monte Alegre de Minas</v>
          </cell>
          <cell r="E2740">
            <v>21120</v>
          </cell>
        </row>
        <row r="2741">
          <cell r="D2741" t="str">
            <v>Monte Azul</v>
          </cell>
          <cell r="E2741">
            <v>20854</v>
          </cell>
        </row>
        <row r="2742">
          <cell r="D2742" t="str">
            <v>Monte Belo</v>
          </cell>
          <cell r="E2742">
            <v>13166</v>
          </cell>
        </row>
        <row r="2743">
          <cell r="D2743" t="str">
            <v>Monte Carmelo</v>
          </cell>
          <cell r="E2743">
            <v>47809</v>
          </cell>
        </row>
        <row r="2744">
          <cell r="D2744" t="str">
            <v>Monte Formoso</v>
          </cell>
          <cell r="E2744">
            <v>4906</v>
          </cell>
        </row>
        <row r="2745">
          <cell r="D2745" t="str">
            <v>Monte Santo de Minas</v>
          </cell>
          <cell r="E2745">
            <v>21524</v>
          </cell>
        </row>
        <row r="2746">
          <cell r="D2746" t="str">
            <v>Montes Claros</v>
          </cell>
          <cell r="E2746">
            <v>409341</v>
          </cell>
        </row>
        <row r="2747">
          <cell r="D2747" t="str">
            <v>Monte Sião</v>
          </cell>
          <cell r="E2747">
            <v>23803</v>
          </cell>
        </row>
        <row r="2748">
          <cell r="D2748" t="str">
            <v>Montezuma</v>
          </cell>
          <cell r="E2748">
            <v>8249</v>
          </cell>
        </row>
        <row r="2749">
          <cell r="D2749" t="str">
            <v>Morada Nova de Minas</v>
          </cell>
          <cell r="E2749">
            <v>8863</v>
          </cell>
        </row>
        <row r="2750">
          <cell r="D2750" t="str">
            <v>Morro da Garça</v>
          </cell>
          <cell r="E2750">
            <v>2462</v>
          </cell>
        </row>
        <row r="2751">
          <cell r="D2751" t="str">
            <v>Morro do Pilar</v>
          </cell>
          <cell r="E2751">
            <v>3182</v>
          </cell>
        </row>
        <row r="2752">
          <cell r="D2752" t="str">
            <v>Munhoz</v>
          </cell>
          <cell r="E2752">
            <v>6029</v>
          </cell>
        </row>
        <row r="2753">
          <cell r="D2753" t="str">
            <v>Muriaé</v>
          </cell>
          <cell r="E2753">
            <v>108763</v>
          </cell>
        </row>
        <row r="2754">
          <cell r="D2754" t="str">
            <v>Mutum</v>
          </cell>
          <cell r="E2754">
            <v>26979</v>
          </cell>
        </row>
        <row r="2755">
          <cell r="D2755" t="str">
            <v>Muzambinho</v>
          </cell>
          <cell r="E2755">
            <v>20569</v>
          </cell>
        </row>
        <row r="2756">
          <cell r="D2756" t="str">
            <v>Nacip Raydan</v>
          </cell>
          <cell r="E2756">
            <v>3220</v>
          </cell>
        </row>
        <row r="2757">
          <cell r="D2757" t="str">
            <v>Nanuque</v>
          </cell>
          <cell r="E2757">
            <v>40750</v>
          </cell>
        </row>
        <row r="2758">
          <cell r="D2758" t="str">
            <v>Naque</v>
          </cell>
          <cell r="E2758">
            <v>6996</v>
          </cell>
        </row>
        <row r="2759">
          <cell r="D2759" t="str">
            <v>Natalândia</v>
          </cell>
          <cell r="E2759">
            <v>3311</v>
          </cell>
        </row>
        <row r="2760">
          <cell r="D2760" t="str">
            <v>Natércia</v>
          </cell>
          <cell r="E2760">
            <v>4730</v>
          </cell>
        </row>
        <row r="2761">
          <cell r="D2761" t="str">
            <v>Nazareno</v>
          </cell>
          <cell r="E2761">
            <v>8608</v>
          </cell>
        </row>
        <row r="2762">
          <cell r="D2762" t="str">
            <v>Nepomuceno</v>
          </cell>
          <cell r="E2762">
            <v>26769</v>
          </cell>
        </row>
        <row r="2763">
          <cell r="D2763" t="str">
            <v>Ninheira</v>
          </cell>
          <cell r="E2763">
            <v>10295</v>
          </cell>
        </row>
        <row r="2764">
          <cell r="D2764" t="str">
            <v>Nova Belém</v>
          </cell>
          <cell r="E2764">
            <v>3190</v>
          </cell>
        </row>
        <row r="2765">
          <cell r="D2765" t="str">
            <v>Nova Era</v>
          </cell>
          <cell r="E2765">
            <v>17578</v>
          </cell>
        </row>
        <row r="2766">
          <cell r="D2766" t="str">
            <v>Nova Lima</v>
          </cell>
          <cell r="E2766">
            <v>94889</v>
          </cell>
        </row>
        <row r="2767">
          <cell r="D2767" t="str">
            <v>Nova Módica</v>
          </cell>
          <cell r="E2767">
            <v>3600</v>
          </cell>
        </row>
        <row r="2768">
          <cell r="D2768" t="str">
            <v>Nova Ponte</v>
          </cell>
          <cell r="E2768">
            <v>15545</v>
          </cell>
        </row>
        <row r="2769">
          <cell r="D2769" t="str">
            <v>Nova Porteirinha</v>
          </cell>
          <cell r="E2769">
            <v>7500</v>
          </cell>
        </row>
        <row r="2770">
          <cell r="D2770" t="str">
            <v>Nova Resende</v>
          </cell>
          <cell r="E2770">
            <v>16723</v>
          </cell>
        </row>
        <row r="2771">
          <cell r="D2771" t="str">
            <v>Nova Serrana</v>
          </cell>
          <cell r="E2771">
            <v>102693</v>
          </cell>
        </row>
        <row r="2772">
          <cell r="D2772" t="str">
            <v>Novo Cruzeiro</v>
          </cell>
          <cell r="E2772">
            <v>31331</v>
          </cell>
        </row>
        <row r="2773">
          <cell r="D2773" t="str">
            <v>Novo Oriente de Minas</v>
          </cell>
          <cell r="E2773">
            <v>10755</v>
          </cell>
        </row>
        <row r="2774">
          <cell r="D2774" t="str">
            <v>Novorizonte</v>
          </cell>
          <cell r="E2774">
            <v>5299</v>
          </cell>
        </row>
        <row r="2775">
          <cell r="D2775" t="str">
            <v>Olaria</v>
          </cell>
          <cell r="E2775">
            <v>1747</v>
          </cell>
        </row>
        <row r="2776">
          <cell r="D2776" t="str">
            <v>Olhos-d'Água</v>
          </cell>
          <cell r="E2776">
            <v>6096</v>
          </cell>
        </row>
        <row r="2777">
          <cell r="D2777" t="str">
            <v>Olímpio Noronha</v>
          </cell>
          <cell r="E2777">
            <v>2787</v>
          </cell>
        </row>
        <row r="2778">
          <cell r="D2778" t="str">
            <v>Oliveira</v>
          </cell>
          <cell r="E2778">
            <v>41687</v>
          </cell>
        </row>
        <row r="2779">
          <cell r="D2779" t="str">
            <v>Oliveira Fortes</v>
          </cell>
          <cell r="E2779">
            <v>2133</v>
          </cell>
        </row>
        <row r="2780">
          <cell r="D2780" t="str">
            <v>Onça de Pitangui</v>
          </cell>
          <cell r="E2780">
            <v>3148</v>
          </cell>
        </row>
        <row r="2781">
          <cell r="D2781" t="str">
            <v>Oratórios</v>
          </cell>
          <cell r="E2781">
            <v>4655</v>
          </cell>
        </row>
        <row r="2782">
          <cell r="D2782" t="str">
            <v>Orizânia</v>
          </cell>
          <cell r="E2782">
            <v>8018</v>
          </cell>
        </row>
        <row r="2783">
          <cell r="D2783" t="str">
            <v>Ouro Branco</v>
          </cell>
          <cell r="E2783">
            <v>39500</v>
          </cell>
        </row>
        <row r="2784">
          <cell r="D2784" t="str">
            <v>Ouro Fino</v>
          </cell>
          <cell r="E2784">
            <v>33639</v>
          </cell>
        </row>
        <row r="2785">
          <cell r="D2785" t="str">
            <v>Ouro Preto</v>
          </cell>
          <cell r="E2785">
            <v>74281</v>
          </cell>
        </row>
        <row r="2786">
          <cell r="D2786" t="str">
            <v>Ouro Verde de Minas</v>
          </cell>
          <cell r="E2786">
            <v>5934</v>
          </cell>
        </row>
        <row r="2787">
          <cell r="D2787" t="str">
            <v>Padre Carvalho</v>
          </cell>
          <cell r="E2787">
            <v>6378</v>
          </cell>
        </row>
        <row r="2788">
          <cell r="D2788" t="str">
            <v>Padre Paraíso</v>
          </cell>
          <cell r="E2788">
            <v>20154</v>
          </cell>
        </row>
        <row r="2789">
          <cell r="D2789" t="str">
            <v>Paineiras</v>
          </cell>
          <cell r="E2789">
            <v>4486</v>
          </cell>
        </row>
        <row r="2790">
          <cell r="D2790" t="str">
            <v>Pains</v>
          </cell>
          <cell r="E2790">
            <v>8283</v>
          </cell>
        </row>
        <row r="2791">
          <cell r="D2791" t="str">
            <v>Pai Pedro</v>
          </cell>
          <cell r="E2791">
            <v>6089</v>
          </cell>
        </row>
        <row r="2792">
          <cell r="D2792" t="str">
            <v>Paiva</v>
          </cell>
          <cell r="E2792">
            <v>1529</v>
          </cell>
        </row>
        <row r="2793">
          <cell r="D2793" t="str">
            <v>Palma</v>
          </cell>
          <cell r="E2793">
            <v>6616</v>
          </cell>
        </row>
        <row r="2794">
          <cell r="D2794" t="str">
            <v>Palmópolis</v>
          </cell>
          <cell r="E2794">
            <v>5507</v>
          </cell>
        </row>
        <row r="2795">
          <cell r="D2795" t="str">
            <v>Papagaios</v>
          </cell>
          <cell r="E2795">
            <v>15674</v>
          </cell>
        </row>
        <row r="2796">
          <cell r="D2796" t="str">
            <v>Paracatu</v>
          </cell>
          <cell r="E2796">
            <v>93158</v>
          </cell>
        </row>
        <row r="2797">
          <cell r="D2797" t="str">
            <v>Pará de Minas</v>
          </cell>
          <cell r="E2797">
            <v>93969</v>
          </cell>
        </row>
        <row r="2798">
          <cell r="D2798" t="str">
            <v>Paraguaçu</v>
          </cell>
          <cell r="E2798">
            <v>21513</v>
          </cell>
        </row>
        <row r="2799">
          <cell r="D2799" t="str">
            <v>Paraisópolis</v>
          </cell>
          <cell r="E2799">
            <v>21083</v>
          </cell>
        </row>
        <row r="2800">
          <cell r="D2800" t="str">
            <v>Paraopeba</v>
          </cell>
          <cell r="E2800">
            <v>24540</v>
          </cell>
        </row>
        <row r="2801">
          <cell r="D2801" t="str">
            <v>Passabém</v>
          </cell>
          <cell r="E2801">
            <v>1649</v>
          </cell>
        </row>
        <row r="2802">
          <cell r="D2802" t="str">
            <v>Passa Quatro</v>
          </cell>
          <cell r="E2802">
            <v>16344</v>
          </cell>
        </row>
        <row r="2803">
          <cell r="D2803" t="str">
            <v>Passa Tempo</v>
          </cell>
          <cell r="E2803">
            <v>8084</v>
          </cell>
        </row>
        <row r="2804">
          <cell r="D2804" t="str">
            <v>Passa-Vinte</v>
          </cell>
          <cell r="E2804">
            <v>2039</v>
          </cell>
        </row>
        <row r="2805">
          <cell r="D2805" t="str">
            <v>Passos</v>
          </cell>
          <cell r="E2805">
            <v>114679</v>
          </cell>
        </row>
        <row r="2806">
          <cell r="D2806" t="str">
            <v>Patis</v>
          </cell>
          <cell r="E2806">
            <v>5972</v>
          </cell>
        </row>
        <row r="2807">
          <cell r="D2807" t="str">
            <v>Patos de Minas</v>
          </cell>
          <cell r="E2807">
            <v>152488</v>
          </cell>
        </row>
        <row r="2808">
          <cell r="D2808" t="str">
            <v>Patrocínio</v>
          </cell>
          <cell r="E2808">
            <v>90757</v>
          </cell>
        </row>
        <row r="2809">
          <cell r="D2809" t="str">
            <v>Patrocínio do Muriaé</v>
          </cell>
          <cell r="E2809">
            <v>5684</v>
          </cell>
        </row>
        <row r="2810">
          <cell r="D2810" t="str">
            <v>Paula Cândido</v>
          </cell>
          <cell r="E2810">
            <v>9571</v>
          </cell>
        </row>
        <row r="2811">
          <cell r="D2811" t="str">
            <v>Paulistas</v>
          </cell>
          <cell r="E2811">
            <v>4830</v>
          </cell>
        </row>
        <row r="2812">
          <cell r="D2812" t="str">
            <v>Pavão</v>
          </cell>
          <cell r="E2812">
            <v>8450</v>
          </cell>
        </row>
        <row r="2813">
          <cell r="D2813" t="str">
            <v>Peçanha</v>
          </cell>
          <cell r="E2813">
            <v>17541</v>
          </cell>
        </row>
        <row r="2814">
          <cell r="D2814" t="str">
            <v>Pedra Azul</v>
          </cell>
          <cell r="E2814">
            <v>24324</v>
          </cell>
        </row>
        <row r="2815">
          <cell r="D2815" t="str">
            <v>Pedra Bonita</v>
          </cell>
          <cell r="E2815">
            <v>7097</v>
          </cell>
        </row>
        <row r="2816">
          <cell r="D2816" t="str">
            <v>Pedra do Anta</v>
          </cell>
          <cell r="E2816">
            <v>3052</v>
          </cell>
        </row>
        <row r="2817">
          <cell r="D2817" t="str">
            <v>Pedra do Indaiá</v>
          </cell>
          <cell r="E2817">
            <v>3972</v>
          </cell>
        </row>
        <row r="2818">
          <cell r="D2818" t="str">
            <v>Pedra Dourada</v>
          </cell>
          <cell r="E2818">
            <v>2504</v>
          </cell>
        </row>
        <row r="2819">
          <cell r="D2819" t="str">
            <v>Pedralva</v>
          </cell>
          <cell r="E2819">
            <v>11195</v>
          </cell>
        </row>
        <row r="2820">
          <cell r="D2820" t="str">
            <v>Pedras de Maria da Cruz</v>
          </cell>
          <cell r="E2820">
            <v>12107</v>
          </cell>
        </row>
        <row r="2821">
          <cell r="D2821" t="str">
            <v>Pedrinópolis</v>
          </cell>
          <cell r="E2821">
            <v>3635</v>
          </cell>
        </row>
        <row r="2822">
          <cell r="D2822" t="str">
            <v>Pedro Leopoldo</v>
          </cell>
          <cell r="E2822">
            <v>64258</v>
          </cell>
        </row>
        <row r="2823">
          <cell r="D2823" t="str">
            <v>Pedro Teixeira</v>
          </cell>
          <cell r="E2823">
            <v>1807</v>
          </cell>
        </row>
        <row r="2824">
          <cell r="D2824" t="str">
            <v>Pequeri</v>
          </cell>
          <cell r="E2824">
            <v>3320</v>
          </cell>
        </row>
        <row r="2825">
          <cell r="D2825" t="str">
            <v>Pequi</v>
          </cell>
          <cell r="E2825">
            <v>4406</v>
          </cell>
        </row>
        <row r="2826">
          <cell r="D2826" t="str">
            <v>Perdigão</v>
          </cell>
          <cell r="E2826">
            <v>11506</v>
          </cell>
        </row>
        <row r="2827">
          <cell r="D2827" t="str">
            <v>Perdizes</v>
          </cell>
          <cell r="E2827">
            <v>16168</v>
          </cell>
        </row>
        <row r="2828">
          <cell r="D2828" t="str">
            <v>Perdões</v>
          </cell>
          <cell r="E2828">
            <v>21390</v>
          </cell>
        </row>
        <row r="2829">
          <cell r="D2829" t="str">
            <v>Periquito</v>
          </cell>
          <cell r="E2829">
            <v>6810</v>
          </cell>
        </row>
        <row r="2830">
          <cell r="D2830" t="str">
            <v>Pescador</v>
          </cell>
          <cell r="E2830">
            <v>4252</v>
          </cell>
        </row>
        <row r="2831">
          <cell r="D2831" t="str">
            <v>Piau</v>
          </cell>
          <cell r="E2831">
            <v>2748</v>
          </cell>
        </row>
        <row r="2832">
          <cell r="D2832" t="str">
            <v>Piedade de Caratinga</v>
          </cell>
          <cell r="E2832">
            <v>8566</v>
          </cell>
        </row>
        <row r="2833">
          <cell r="D2833" t="str">
            <v>Piedade de Ponte Nova</v>
          </cell>
          <cell r="E2833">
            <v>4140</v>
          </cell>
        </row>
        <row r="2834">
          <cell r="D2834" t="str">
            <v>Piedade do Rio Grande</v>
          </cell>
          <cell r="E2834">
            <v>4497</v>
          </cell>
        </row>
        <row r="2835">
          <cell r="D2835" t="str">
            <v>Piedade dos Gerais</v>
          </cell>
          <cell r="E2835">
            <v>4982</v>
          </cell>
        </row>
        <row r="2836">
          <cell r="D2836" t="str">
            <v>Pimenta</v>
          </cell>
          <cell r="E2836">
            <v>8660</v>
          </cell>
        </row>
        <row r="2837">
          <cell r="D2837" t="str">
            <v>Pingo-d'Água</v>
          </cell>
          <cell r="E2837">
            <v>4941</v>
          </cell>
        </row>
        <row r="2838">
          <cell r="D2838" t="str">
            <v>Pintópolis</v>
          </cell>
          <cell r="E2838">
            <v>7507</v>
          </cell>
        </row>
        <row r="2839">
          <cell r="D2839" t="str">
            <v>Piracema</v>
          </cell>
          <cell r="E2839">
            <v>6409</v>
          </cell>
        </row>
        <row r="2840">
          <cell r="D2840" t="str">
            <v>Pirajuba</v>
          </cell>
          <cell r="E2840">
            <v>6199</v>
          </cell>
        </row>
        <row r="2841">
          <cell r="D2841" t="str">
            <v>Piranga</v>
          </cell>
          <cell r="E2841">
            <v>17626</v>
          </cell>
        </row>
        <row r="2842">
          <cell r="D2842" t="str">
            <v>Piranguçu</v>
          </cell>
          <cell r="E2842">
            <v>5472</v>
          </cell>
        </row>
        <row r="2843">
          <cell r="D2843" t="str">
            <v>Piranguinho</v>
          </cell>
          <cell r="E2843">
            <v>8596</v>
          </cell>
        </row>
        <row r="2844">
          <cell r="D2844" t="str">
            <v>Pirapetinga</v>
          </cell>
          <cell r="E2844">
            <v>10752</v>
          </cell>
        </row>
        <row r="2845">
          <cell r="D2845" t="str">
            <v>Pirapora</v>
          </cell>
          <cell r="E2845">
            <v>56428</v>
          </cell>
        </row>
        <row r="2846">
          <cell r="D2846" t="str">
            <v>Piraúba</v>
          </cell>
          <cell r="E2846">
            <v>10787</v>
          </cell>
        </row>
        <row r="2847">
          <cell r="D2847" t="str">
            <v>Pitangui</v>
          </cell>
          <cell r="E2847">
            <v>27989</v>
          </cell>
        </row>
        <row r="2848">
          <cell r="D2848" t="str">
            <v>Piumhi</v>
          </cell>
          <cell r="E2848">
            <v>34691</v>
          </cell>
        </row>
        <row r="2849">
          <cell r="D2849" t="str">
            <v>Planura</v>
          </cell>
          <cell r="E2849">
            <v>12133</v>
          </cell>
        </row>
        <row r="2850">
          <cell r="D2850" t="str">
            <v>Poço Fundo</v>
          </cell>
          <cell r="E2850">
            <v>16791</v>
          </cell>
        </row>
        <row r="2851">
          <cell r="D2851" t="str">
            <v>Poços de Caldas</v>
          </cell>
          <cell r="E2851">
            <v>167397</v>
          </cell>
        </row>
        <row r="2852">
          <cell r="D2852" t="str">
            <v>Pocrane</v>
          </cell>
          <cell r="E2852">
            <v>8432</v>
          </cell>
        </row>
        <row r="2853">
          <cell r="D2853" t="str">
            <v>Pompéu</v>
          </cell>
          <cell r="E2853">
            <v>31812</v>
          </cell>
        </row>
        <row r="2854">
          <cell r="D2854" t="str">
            <v>Ponte Nova</v>
          </cell>
          <cell r="E2854">
            <v>59742</v>
          </cell>
        </row>
        <row r="2855">
          <cell r="D2855" t="str">
            <v>Ponto Chique</v>
          </cell>
          <cell r="E2855">
            <v>4261</v>
          </cell>
        </row>
        <row r="2856">
          <cell r="D2856" t="str">
            <v>Ponto dos Volantes</v>
          </cell>
          <cell r="E2856">
            <v>12121</v>
          </cell>
        </row>
        <row r="2857">
          <cell r="D2857" t="str">
            <v>Porteirinha</v>
          </cell>
          <cell r="E2857">
            <v>37906</v>
          </cell>
        </row>
        <row r="2858">
          <cell r="D2858" t="str">
            <v>Porto Firme</v>
          </cell>
          <cell r="E2858">
            <v>11279</v>
          </cell>
        </row>
        <row r="2859">
          <cell r="D2859" t="str">
            <v>Poté</v>
          </cell>
          <cell r="E2859">
            <v>16555</v>
          </cell>
        </row>
        <row r="2860">
          <cell r="D2860" t="str">
            <v>Pouso Alegre</v>
          </cell>
          <cell r="E2860">
            <v>150737</v>
          </cell>
        </row>
        <row r="2861">
          <cell r="D2861" t="str">
            <v>Pouso Alto</v>
          </cell>
          <cell r="E2861">
            <v>5940</v>
          </cell>
        </row>
        <row r="2862">
          <cell r="D2862" t="str">
            <v>Prados</v>
          </cell>
          <cell r="E2862">
            <v>9031</v>
          </cell>
        </row>
        <row r="2863">
          <cell r="D2863" t="str">
            <v>Prata</v>
          </cell>
          <cell r="E2863">
            <v>27856</v>
          </cell>
        </row>
        <row r="2864">
          <cell r="D2864" t="str">
            <v>Pratápolis</v>
          </cell>
          <cell r="E2864">
            <v>8603</v>
          </cell>
        </row>
        <row r="2865">
          <cell r="D2865" t="str">
            <v>Pratinha</v>
          </cell>
          <cell r="E2865">
            <v>3603</v>
          </cell>
        </row>
        <row r="2866">
          <cell r="D2866" t="str">
            <v>Presidente Bernardes</v>
          </cell>
          <cell r="E2866">
            <v>5369</v>
          </cell>
        </row>
        <row r="2867">
          <cell r="D2867" t="str">
            <v>Presidente Juscelino</v>
          </cell>
          <cell r="E2867">
            <v>3641</v>
          </cell>
        </row>
        <row r="2868">
          <cell r="D2868" t="str">
            <v>Presidente Kubitschek</v>
          </cell>
          <cell r="E2868">
            <v>3002</v>
          </cell>
        </row>
        <row r="2869">
          <cell r="D2869" t="str">
            <v>Presidente Olegário</v>
          </cell>
          <cell r="E2869">
            <v>19573</v>
          </cell>
        </row>
        <row r="2870">
          <cell r="D2870" t="str">
            <v>Alto Jequitibá</v>
          </cell>
          <cell r="E2870">
            <v>8317</v>
          </cell>
        </row>
        <row r="2871">
          <cell r="D2871" t="str">
            <v>Prudente de Morais</v>
          </cell>
          <cell r="E2871">
            <v>10733</v>
          </cell>
        </row>
        <row r="2872">
          <cell r="D2872" t="str">
            <v>Quartel Geral</v>
          </cell>
          <cell r="E2872">
            <v>3563</v>
          </cell>
        </row>
        <row r="2873">
          <cell r="D2873" t="str">
            <v>Queluzito</v>
          </cell>
          <cell r="E2873">
            <v>1939</v>
          </cell>
        </row>
        <row r="2874">
          <cell r="D2874" t="str">
            <v>Raposos</v>
          </cell>
          <cell r="E2874">
            <v>16354</v>
          </cell>
        </row>
        <row r="2875">
          <cell r="D2875" t="str">
            <v>Raul Soares</v>
          </cell>
          <cell r="E2875">
            <v>23762</v>
          </cell>
        </row>
        <row r="2876">
          <cell r="D2876" t="str">
            <v>Recreio</v>
          </cell>
          <cell r="E2876">
            <v>10517</v>
          </cell>
        </row>
        <row r="2877">
          <cell r="D2877" t="str">
            <v>Reduto</v>
          </cell>
          <cell r="E2877">
            <v>7154</v>
          </cell>
        </row>
        <row r="2878">
          <cell r="D2878" t="str">
            <v>Resende Costa</v>
          </cell>
          <cell r="E2878">
            <v>11500</v>
          </cell>
        </row>
        <row r="2879">
          <cell r="D2879" t="str">
            <v>Resplendor</v>
          </cell>
          <cell r="E2879">
            <v>17397</v>
          </cell>
        </row>
        <row r="2880">
          <cell r="D2880" t="str">
            <v>Ressaquinha</v>
          </cell>
          <cell r="E2880">
            <v>4808</v>
          </cell>
        </row>
        <row r="2881">
          <cell r="D2881" t="str">
            <v>Riachinho</v>
          </cell>
          <cell r="E2881">
            <v>8136</v>
          </cell>
        </row>
        <row r="2882">
          <cell r="D2882" t="str">
            <v>Riacho dos Machados</v>
          </cell>
          <cell r="E2882">
            <v>9481</v>
          </cell>
        </row>
        <row r="2883">
          <cell r="D2883" t="str">
            <v>Ribeirão das Neves</v>
          </cell>
          <cell r="E2883">
            <v>334858</v>
          </cell>
        </row>
        <row r="2884">
          <cell r="D2884" t="str">
            <v>Ribeirão Vermelho</v>
          </cell>
          <cell r="E2884">
            <v>4033</v>
          </cell>
        </row>
        <row r="2885">
          <cell r="D2885" t="str">
            <v>Rio Acima</v>
          </cell>
          <cell r="E2885">
            <v>10312</v>
          </cell>
        </row>
        <row r="2886">
          <cell r="D2886" t="str">
            <v>Rio Casca</v>
          </cell>
          <cell r="E2886">
            <v>13564</v>
          </cell>
        </row>
        <row r="2887">
          <cell r="D2887" t="str">
            <v>Rio Doce</v>
          </cell>
          <cell r="E2887">
            <v>2610</v>
          </cell>
        </row>
        <row r="2888">
          <cell r="D2888" t="str">
            <v>Rio do Prado</v>
          </cell>
          <cell r="E2888">
            <v>5150</v>
          </cell>
        </row>
        <row r="2889">
          <cell r="D2889" t="str">
            <v>Rio Espera</v>
          </cell>
          <cell r="E2889">
            <v>5474</v>
          </cell>
        </row>
        <row r="2890">
          <cell r="D2890" t="str">
            <v>Rio Manso</v>
          </cell>
          <cell r="E2890">
            <v>5832</v>
          </cell>
        </row>
        <row r="2891">
          <cell r="D2891" t="str">
            <v>Rio Novo</v>
          </cell>
          <cell r="E2891">
            <v>8949</v>
          </cell>
        </row>
        <row r="2892">
          <cell r="D2892" t="str">
            <v>Rio Paranaíba</v>
          </cell>
          <cell r="E2892">
            <v>12313</v>
          </cell>
        </row>
        <row r="2893">
          <cell r="D2893" t="str">
            <v>Rio Pardo de Minas</v>
          </cell>
          <cell r="E2893">
            <v>30914</v>
          </cell>
        </row>
        <row r="2894">
          <cell r="D2894" t="str">
            <v>Rio Piracicaba</v>
          </cell>
          <cell r="E2894">
            <v>14339</v>
          </cell>
        </row>
        <row r="2895">
          <cell r="D2895" t="str">
            <v>Rio Pomba</v>
          </cell>
          <cell r="E2895">
            <v>17910</v>
          </cell>
        </row>
        <row r="2896">
          <cell r="D2896" t="str">
            <v>Rio Preto</v>
          </cell>
          <cell r="E2896">
            <v>5476</v>
          </cell>
        </row>
        <row r="2897">
          <cell r="D2897" t="str">
            <v>Rio Vermelho</v>
          </cell>
          <cell r="E2897">
            <v>12846</v>
          </cell>
        </row>
        <row r="2898">
          <cell r="D2898" t="str">
            <v>Ritápolis</v>
          </cell>
          <cell r="E2898">
            <v>4604</v>
          </cell>
        </row>
        <row r="2899">
          <cell r="D2899" t="str">
            <v>Rochedo de Minas</v>
          </cell>
          <cell r="E2899">
            <v>2305</v>
          </cell>
        </row>
        <row r="2900">
          <cell r="D2900" t="str">
            <v>Rodeiro</v>
          </cell>
          <cell r="E2900">
            <v>8109</v>
          </cell>
        </row>
        <row r="2901">
          <cell r="D2901" t="str">
            <v>Romaria</v>
          </cell>
          <cell r="E2901">
            <v>3533</v>
          </cell>
        </row>
        <row r="2902">
          <cell r="D2902" t="str">
            <v>Rosário da Limeira</v>
          </cell>
          <cell r="E2902">
            <v>4594</v>
          </cell>
        </row>
        <row r="2903">
          <cell r="D2903" t="str">
            <v>Rubelita</v>
          </cell>
          <cell r="E2903">
            <v>5995</v>
          </cell>
        </row>
        <row r="2904">
          <cell r="D2904" t="str">
            <v>Rubim</v>
          </cell>
          <cell r="E2904">
            <v>10241</v>
          </cell>
        </row>
        <row r="2905">
          <cell r="D2905" t="str">
            <v>Sabará</v>
          </cell>
          <cell r="E2905">
            <v>136344</v>
          </cell>
        </row>
        <row r="2906">
          <cell r="D2906" t="str">
            <v>Sabinópolis</v>
          </cell>
          <cell r="E2906">
            <v>15470</v>
          </cell>
        </row>
        <row r="2907">
          <cell r="D2907" t="str">
            <v>Sacramento</v>
          </cell>
          <cell r="E2907">
            <v>26185</v>
          </cell>
        </row>
        <row r="2908">
          <cell r="D2908" t="str">
            <v>Salinas</v>
          </cell>
          <cell r="E2908">
            <v>41527</v>
          </cell>
        </row>
        <row r="2909">
          <cell r="D2909" t="str">
            <v>Salto da Divisa</v>
          </cell>
          <cell r="E2909">
            <v>7009</v>
          </cell>
        </row>
        <row r="2910">
          <cell r="D2910" t="str">
            <v>Santa Bárbara</v>
          </cell>
          <cell r="E2910">
            <v>31324</v>
          </cell>
        </row>
        <row r="2911">
          <cell r="D2911" t="str">
            <v>Santa Bárbara do Leste</v>
          </cell>
          <cell r="E2911">
            <v>8147</v>
          </cell>
        </row>
        <row r="2912">
          <cell r="D2912" t="str">
            <v>Santa Bárbara do Monte Verde</v>
          </cell>
          <cell r="E2912">
            <v>3150</v>
          </cell>
        </row>
        <row r="2913">
          <cell r="D2913" t="str">
            <v>Santa Bárbara do Tugúrio</v>
          </cell>
          <cell r="E2913">
            <v>4430</v>
          </cell>
        </row>
        <row r="2914">
          <cell r="D2914" t="str">
            <v>Santa Cruz de Minas</v>
          </cell>
          <cell r="E2914">
            <v>8604</v>
          </cell>
        </row>
        <row r="2915">
          <cell r="D2915" t="str">
            <v>Santa Cruz de Salinas</v>
          </cell>
          <cell r="E2915">
            <v>4142</v>
          </cell>
        </row>
        <row r="2916">
          <cell r="D2916" t="str">
            <v>Santa Cruz do Escalvado</v>
          </cell>
          <cell r="E2916">
            <v>4758</v>
          </cell>
        </row>
        <row r="2917">
          <cell r="D2917" t="str">
            <v>Santa Efigênia de Minas</v>
          </cell>
          <cell r="E2917">
            <v>4409</v>
          </cell>
        </row>
        <row r="2918">
          <cell r="D2918" t="str">
            <v>Santa Fé de Minas</v>
          </cell>
          <cell r="E2918">
            <v>3846</v>
          </cell>
        </row>
        <row r="2919">
          <cell r="D2919" t="str">
            <v>Santa Helena de Minas</v>
          </cell>
          <cell r="E2919">
            <v>6366</v>
          </cell>
        </row>
        <row r="2920">
          <cell r="D2920" t="str">
            <v>Santa Juliana</v>
          </cell>
          <cell r="E2920">
            <v>14003</v>
          </cell>
        </row>
        <row r="2921">
          <cell r="D2921" t="str">
            <v>Santa Luzia</v>
          </cell>
          <cell r="E2921">
            <v>219134</v>
          </cell>
        </row>
        <row r="2922">
          <cell r="D2922" t="str">
            <v>Santa Margarida</v>
          </cell>
          <cell r="E2922">
            <v>16208</v>
          </cell>
        </row>
        <row r="2923">
          <cell r="D2923" t="str">
            <v>Santa Maria de Itabira</v>
          </cell>
          <cell r="E2923">
            <v>10847</v>
          </cell>
        </row>
        <row r="2924">
          <cell r="D2924" t="str">
            <v>Santa Maria do Salto</v>
          </cell>
          <cell r="E2924">
            <v>5232</v>
          </cell>
        </row>
        <row r="2925">
          <cell r="D2925" t="str">
            <v>Santa Maria do Suaçuí</v>
          </cell>
          <cell r="E2925">
            <v>14615</v>
          </cell>
        </row>
        <row r="2926">
          <cell r="D2926" t="str">
            <v>Santana da Vargem</v>
          </cell>
          <cell r="E2926">
            <v>7100</v>
          </cell>
        </row>
        <row r="2927">
          <cell r="D2927" t="str">
            <v>Santana de Cataguases</v>
          </cell>
          <cell r="E2927">
            <v>3872</v>
          </cell>
        </row>
        <row r="2928">
          <cell r="D2928" t="str">
            <v>Santana de Pirapama</v>
          </cell>
          <cell r="E2928">
            <v>7642</v>
          </cell>
        </row>
        <row r="2929">
          <cell r="D2929" t="str">
            <v>Santana do Deserto</v>
          </cell>
          <cell r="E2929">
            <v>3976</v>
          </cell>
        </row>
        <row r="2930">
          <cell r="D2930" t="str">
            <v>Santana do Garambéu</v>
          </cell>
          <cell r="E2930">
            <v>2458</v>
          </cell>
        </row>
        <row r="2931">
          <cell r="D2931" t="str">
            <v>Santana do Jacaré</v>
          </cell>
          <cell r="E2931">
            <v>4821</v>
          </cell>
        </row>
        <row r="2932">
          <cell r="D2932" t="str">
            <v>Santana do Manhuaçu</v>
          </cell>
          <cell r="E2932">
            <v>8674</v>
          </cell>
        </row>
        <row r="2933">
          <cell r="D2933" t="str">
            <v>Santana do Paraíso</v>
          </cell>
          <cell r="E2933">
            <v>34663</v>
          </cell>
        </row>
        <row r="2934">
          <cell r="D2934" t="str">
            <v>Santana do Riacho</v>
          </cell>
          <cell r="E2934">
            <v>4295</v>
          </cell>
        </row>
        <row r="2935">
          <cell r="D2935" t="str">
            <v>Santana dos Montes</v>
          </cell>
          <cell r="E2935">
            <v>3777</v>
          </cell>
        </row>
        <row r="2936">
          <cell r="D2936" t="str">
            <v>Santa Rita de Caldas</v>
          </cell>
          <cell r="E2936">
            <v>8949</v>
          </cell>
        </row>
        <row r="2937">
          <cell r="D2937" t="str">
            <v>Santa Rita de Jacutinga</v>
          </cell>
          <cell r="E2937">
            <v>4884</v>
          </cell>
        </row>
        <row r="2938">
          <cell r="D2938" t="str">
            <v>Santa Rita de Minas</v>
          </cell>
          <cell r="E2938">
            <v>7212</v>
          </cell>
        </row>
        <row r="2939">
          <cell r="D2939" t="str">
            <v>Santa Rita de Ibitipoca</v>
          </cell>
          <cell r="E2939">
            <v>3425</v>
          </cell>
        </row>
        <row r="2940">
          <cell r="D2940" t="str">
            <v>Santa Rita do Itueto</v>
          </cell>
          <cell r="E2940">
            <v>5489</v>
          </cell>
        </row>
        <row r="2941">
          <cell r="D2941" t="str">
            <v>Santa Rita do Sapucaí</v>
          </cell>
          <cell r="E2941">
            <v>43260</v>
          </cell>
        </row>
        <row r="2942">
          <cell r="D2942" t="str">
            <v>Santa Rosa da Serra</v>
          </cell>
          <cell r="E2942">
            <v>3350</v>
          </cell>
        </row>
        <row r="2943">
          <cell r="D2943" t="str">
            <v>Santa Vitória</v>
          </cell>
          <cell r="E2943">
            <v>19742</v>
          </cell>
        </row>
        <row r="2944">
          <cell r="D2944" t="str">
            <v>Santo Antônio do Amparo</v>
          </cell>
          <cell r="E2944">
            <v>18525</v>
          </cell>
        </row>
        <row r="2945">
          <cell r="D2945" t="str">
            <v>Santo Antônio do Aventureiro</v>
          </cell>
          <cell r="E2945">
            <v>3602</v>
          </cell>
        </row>
        <row r="2946">
          <cell r="D2946" t="str">
            <v>Santo Antônio do Grama</v>
          </cell>
          <cell r="E2946">
            <v>3911</v>
          </cell>
        </row>
        <row r="2947">
          <cell r="D2947" t="str">
            <v>Santo Antônio do Itambé</v>
          </cell>
          <cell r="E2947">
            <v>3838</v>
          </cell>
        </row>
        <row r="2948">
          <cell r="D2948" t="str">
            <v>Santo Antônio do Jacinto</v>
          </cell>
          <cell r="E2948">
            <v>11640</v>
          </cell>
        </row>
        <row r="2949">
          <cell r="D2949" t="str">
            <v>Santo Antônio do Monte</v>
          </cell>
          <cell r="E2949">
            <v>28243</v>
          </cell>
        </row>
        <row r="2950">
          <cell r="D2950" t="str">
            <v>Santo Antônio do Retiro</v>
          </cell>
          <cell r="E2950">
            <v>7277</v>
          </cell>
        </row>
        <row r="2951">
          <cell r="D2951" t="str">
            <v>Santo Antônio do Rio Abaixo</v>
          </cell>
          <cell r="E2951">
            <v>1765</v>
          </cell>
        </row>
        <row r="2952">
          <cell r="D2952" t="str">
            <v>Santo Hipólito</v>
          </cell>
          <cell r="E2952">
            <v>3087</v>
          </cell>
        </row>
        <row r="2953">
          <cell r="D2953" t="str">
            <v>Santos Dumont</v>
          </cell>
          <cell r="E2953">
            <v>46487</v>
          </cell>
        </row>
        <row r="2954">
          <cell r="D2954" t="str">
            <v>São Bento Abade</v>
          </cell>
          <cell r="E2954">
            <v>5286</v>
          </cell>
        </row>
        <row r="2955">
          <cell r="D2955" t="str">
            <v>São Brás do Suaçuí</v>
          </cell>
          <cell r="E2955">
            <v>3738</v>
          </cell>
        </row>
        <row r="2956">
          <cell r="D2956" t="str">
            <v>São Domingos das Dores</v>
          </cell>
          <cell r="E2956">
            <v>5644</v>
          </cell>
        </row>
        <row r="2957">
          <cell r="D2957" t="str">
            <v>São Domingos do Prata</v>
          </cell>
          <cell r="E2957">
            <v>17359</v>
          </cell>
        </row>
        <row r="2958">
          <cell r="D2958" t="str">
            <v>São Félix de Minas</v>
          </cell>
          <cell r="E2958">
            <v>3369</v>
          </cell>
        </row>
        <row r="2959">
          <cell r="D2959" t="str">
            <v>São Francisco</v>
          </cell>
          <cell r="E2959">
            <v>56323</v>
          </cell>
        </row>
        <row r="2960">
          <cell r="D2960" t="str">
            <v>São Francisco de Paula</v>
          </cell>
          <cell r="E2960">
            <v>6527</v>
          </cell>
        </row>
        <row r="2961">
          <cell r="D2961" t="str">
            <v>São Francisco de Sales</v>
          </cell>
          <cell r="E2961">
            <v>6238</v>
          </cell>
        </row>
        <row r="2962">
          <cell r="D2962" t="str">
            <v>São Francisco do Glória</v>
          </cell>
          <cell r="E2962">
            <v>4844</v>
          </cell>
        </row>
        <row r="2963">
          <cell r="D2963" t="str">
            <v>São Geraldo</v>
          </cell>
          <cell r="E2963">
            <v>12366</v>
          </cell>
        </row>
        <row r="2964">
          <cell r="D2964" t="str">
            <v>São Geraldo da Piedade</v>
          </cell>
          <cell r="E2964">
            <v>3962</v>
          </cell>
        </row>
        <row r="2965">
          <cell r="D2965" t="str">
            <v>São Geraldo do Baixio</v>
          </cell>
          <cell r="E2965">
            <v>4012</v>
          </cell>
        </row>
        <row r="2966">
          <cell r="D2966" t="str">
            <v>São Gonçalo do Abaeté</v>
          </cell>
          <cell r="E2966">
            <v>8389</v>
          </cell>
        </row>
        <row r="2967">
          <cell r="D2967" t="str">
            <v>São Gonçalo do Pará</v>
          </cell>
          <cell r="E2967">
            <v>12411</v>
          </cell>
        </row>
        <row r="2968">
          <cell r="D2968" t="str">
            <v>São Gonçalo do Rio Abaixo</v>
          </cell>
          <cell r="E2968">
            <v>10920</v>
          </cell>
        </row>
        <row r="2969">
          <cell r="D2969" t="str">
            <v>São Gonçalo do Sapucaí</v>
          </cell>
          <cell r="E2969">
            <v>25449</v>
          </cell>
        </row>
        <row r="2970">
          <cell r="D2970" t="str">
            <v>São Gotardo</v>
          </cell>
          <cell r="E2970">
            <v>35469</v>
          </cell>
        </row>
        <row r="2971">
          <cell r="D2971" t="str">
            <v>São João Batista do Glória</v>
          </cell>
          <cell r="E2971">
            <v>7453</v>
          </cell>
        </row>
        <row r="2972">
          <cell r="D2972" t="str">
            <v>São João da Lagoa</v>
          </cell>
          <cell r="E2972">
            <v>4915</v>
          </cell>
        </row>
        <row r="2973">
          <cell r="D2973" t="str">
            <v>São João da Mata</v>
          </cell>
          <cell r="E2973">
            <v>2749</v>
          </cell>
        </row>
        <row r="2974">
          <cell r="D2974" t="str">
            <v>São João da Ponte</v>
          </cell>
          <cell r="E2974">
            <v>25165</v>
          </cell>
        </row>
        <row r="2975">
          <cell r="D2975" t="str">
            <v>São João das Missões</v>
          </cell>
          <cell r="E2975">
            <v>13014</v>
          </cell>
        </row>
        <row r="2976">
          <cell r="D2976" t="str">
            <v>São João del Rei</v>
          </cell>
          <cell r="E2976">
            <v>90082</v>
          </cell>
        </row>
        <row r="2977">
          <cell r="D2977" t="str">
            <v>São João do Manhuaçu</v>
          </cell>
          <cell r="E2977">
            <v>11559</v>
          </cell>
        </row>
        <row r="2978">
          <cell r="D2978" t="str">
            <v>São João do Manteninha</v>
          </cell>
          <cell r="E2978">
            <v>5859</v>
          </cell>
        </row>
        <row r="2979">
          <cell r="D2979" t="str">
            <v>São João do Oriente</v>
          </cell>
          <cell r="E2979">
            <v>7498</v>
          </cell>
        </row>
        <row r="2980">
          <cell r="D2980" t="str">
            <v>São João do Pacuí</v>
          </cell>
          <cell r="E2980">
            <v>4419</v>
          </cell>
        </row>
        <row r="2981">
          <cell r="D2981" t="str">
            <v>São João do Paraíso</v>
          </cell>
          <cell r="E2981">
            <v>23618</v>
          </cell>
        </row>
        <row r="2982">
          <cell r="D2982" t="str">
            <v>São João Evangelista</v>
          </cell>
          <cell r="E2982">
            <v>15774</v>
          </cell>
        </row>
        <row r="2983">
          <cell r="D2983" t="str">
            <v>São João Nepomuceno</v>
          </cell>
          <cell r="E2983">
            <v>26361</v>
          </cell>
        </row>
        <row r="2984">
          <cell r="D2984" t="str">
            <v>São Joaquim de Bicas</v>
          </cell>
          <cell r="E2984">
            <v>31578</v>
          </cell>
        </row>
        <row r="2985">
          <cell r="D2985" t="str">
            <v>São José da Barra</v>
          </cell>
          <cell r="E2985">
            <v>7426</v>
          </cell>
        </row>
        <row r="2986">
          <cell r="D2986" t="str">
            <v>São José da Lapa</v>
          </cell>
          <cell r="E2986">
            <v>23766</v>
          </cell>
        </row>
        <row r="2987">
          <cell r="D2987" t="str">
            <v>São José da Safira</v>
          </cell>
          <cell r="E2987">
            <v>4268</v>
          </cell>
        </row>
        <row r="2988">
          <cell r="D2988" t="str">
            <v>São José da Varginha</v>
          </cell>
          <cell r="E2988">
            <v>5004</v>
          </cell>
        </row>
        <row r="2989">
          <cell r="D2989" t="str">
            <v>São José do Alegre</v>
          </cell>
          <cell r="E2989">
            <v>4196</v>
          </cell>
        </row>
        <row r="2990">
          <cell r="D2990" t="str">
            <v>São José do Divino</v>
          </cell>
          <cell r="E2990">
            <v>3860</v>
          </cell>
        </row>
        <row r="2991">
          <cell r="D2991" t="str">
            <v>São José do Goiabal</v>
          </cell>
          <cell r="E2991">
            <v>5420</v>
          </cell>
        </row>
        <row r="2992">
          <cell r="D2992" t="str">
            <v>São José do Jacuri</v>
          </cell>
          <cell r="E2992">
            <v>6453</v>
          </cell>
        </row>
        <row r="2993">
          <cell r="D2993" t="str">
            <v>São José do Mantimento</v>
          </cell>
          <cell r="E2993">
            <v>2791</v>
          </cell>
        </row>
        <row r="2994">
          <cell r="D2994" t="str">
            <v>São Lourenço</v>
          </cell>
          <cell r="E2994">
            <v>45851</v>
          </cell>
        </row>
        <row r="2995">
          <cell r="D2995" t="str">
            <v>São Miguel do Anta</v>
          </cell>
          <cell r="E2995">
            <v>6938</v>
          </cell>
        </row>
        <row r="2996">
          <cell r="D2996" t="str">
            <v>São Pedro da União</v>
          </cell>
          <cell r="E2996">
            <v>4659</v>
          </cell>
        </row>
        <row r="2997">
          <cell r="D2997" t="str">
            <v>São Pedro dos Ferros</v>
          </cell>
          <cell r="E2997">
            <v>7781</v>
          </cell>
        </row>
        <row r="2998">
          <cell r="D2998" t="str">
            <v>São Pedro do Suaçuí</v>
          </cell>
          <cell r="E2998">
            <v>5246</v>
          </cell>
        </row>
        <row r="2999">
          <cell r="D2999" t="str">
            <v>São Romão</v>
          </cell>
          <cell r="E2999">
            <v>12337</v>
          </cell>
        </row>
        <row r="3000">
          <cell r="D3000" t="str">
            <v>São Roque de Minas</v>
          </cell>
          <cell r="E3000">
            <v>7051</v>
          </cell>
        </row>
        <row r="3001">
          <cell r="D3001" t="str">
            <v>São Sebastião da Bela Vista</v>
          </cell>
          <cell r="E3001">
            <v>5504</v>
          </cell>
        </row>
        <row r="3002">
          <cell r="D3002" t="str">
            <v>São Sebastião da Vargem Alegre</v>
          </cell>
          <cell r="E3002">
            <v>3007</v>
          </cell>
        </row>
        <row r="3003">
          <cell r="D3003" t="str">
            <v>São Sebastião do Anta</v>
          </cell>
          <cell r="E3003">
            <v>6555</v>
          </cell>
        </row>
        <row r="3004">
          <cell r="D3004" t="str">
            <v>São Sebastião do Maranhão</v>
          </cell>
          <cell r="E3004">
            <v>10044</v>
          </cell>
        </row>
        <row r="3005">
          <cell r="D3005" t="str">
            <v>São Sebastião do Oeste</v>
          </cell>
          <cell r="E3005">
            <v>6775</v>
          </cell>
        </row>
        <row r="3006">
          <cell r="D3006" t="str">
            <v>São Sebastião do Paraíso</v>
          </cell>
          <cell r="E3006">
            <v>70956</v>
          </cell>
        </row>
        <row r="3007">
          <cell r="D3007" t="str">
            <v>São Sebastião do Rio Preto</v>
          </cell>
          <cell r="E3007">
            <v>1506</v>
          </cell>
        </row>
        <row r="3008">
          <cell r="D3008" t="str">
            <v>São Sebastião do Rio Verde</v>
          </cell>
          <cell r="E3008">
            <v>2241</v>
          </cell>
        </row>
        <row r="3009">
          <cell r="D3009" t="str">
            <v>São Tiago</v>
          </cell>
          <cell r="E3009">
            <v>10941</v>
          </cell>
        </row>
        <row r="3010">
          <cell r="D3010" t="str">
            <v>São Tomás de Aquino</v>
          </cell>
          <cell r="E3010">
            <v>7021</v>
          </cell>
        </row>
        <row r="3011">
          <cell r="D3011" t="str">
            <v>São Thomé das Letras</v>
          </cell>
          <cell r="E3011">
            <v>7089</v>
          </cell>
        </row>
        <row r="3012">
          <cell r="D3012" t="str">
            <v>São Vicente de Minas</v>
          </cell>
          <cell r="E3012">
            <v>7753</v>
          </cell>
        </row>
        <row r="3013">
          <cell r="D3013" t="str">
            <v>Sapucaí-Mirim</v>
          </cell>
          <cell r="E3013">
            <v>6930</v>
          </cell>
        </row>
        <row r="3014">
          <cell r="D3014" t="str">
            <v>Sardoá</v>
          </cell>
          <cell r="E3014">
            <v>6300</v>
          </cell>
        </row>
        <row r="3015">
          <cell r="D3015" t="str">
            <v>Sarzedo</v>
          </cell>
          <cell r="E3015">
            <v>32752</v>
          </cell>
        </row>
        <row r="3016">
          <cell r="D3016" t="str">
            <v>Setubinha</v>
          </cell>
          <cell r="E3016">
            <v>12258</v>
          </cell>
        </row>
        <row r="3017">
          <cell r="D3017" t="str">
            <v>Sem-Peixe</v>
          </cell>
          <cell r="E3017">
            <v>2633</v>
          </cell>
        </row>
        <row r="3018">
          <cell r="D3018" t="str">
            <v>Senador Amaral</v>
          </cell>
          <cell r="E3018">
            <v>5356</v>
          </cell>
        </row>
        <row r="3019">
          <cell r="D3019" t="str">
            <v>Senador Cortes</v>
          </cell>
          <cell r="E3019">
            <v>2005</v>
          </cell>
        </row>
        <row r="3020">
          <cell r="D3020" t="str">
            <v>Senador Firmino</v>
          </cell>
          <cell r="E3020">
            <v>7812</v>
          </cell>
        </row>
        <row r="3021">
          <cell r="D3021" t="str">
            <v>Senador José Bento</v>
          </cell>
          <cell r="E3021">
            <v>1502</v>
          </cell>
        </row>
        <row r="3022">
          <cell r="D3022" t="str">
            <v>Senador Modestino Gonçalves</v>
          </cell>
          <cell r="E3022">
            <v>4156</v>
          </cell>
        </row>
        <row r="3023">
          <cell r="D3023" t="str">
            <v>Senhora de Oliveira</v>
          </cell>
          <cell r="E3023">
            <v>5786</v>
          </cell>
        </row>
        <row r="3024">
          <cell r="D3024" t="str">
            <v>Senhora do Porto</v>
          </cell>
          <cell r="E3024">
            <v>3523</v>
          </cell>
        </row>
        <row r="3025">
          <cell r="D3025" t="str">
            <v>Senhora dos Remédios</v>
          </cell>
          <cell r="E3025">
            <v>10459</v>
          </cell>
        </row>
        <row r="3026">
          <cell r="D3026" t="str">
            <v>Sericita</v>
          </cell>
          <cell r="E3026">
            <v>7326</v>
          </cell>
        </row>
        <row r="3027">
          <cell r="D3027" t="str">
            <v>Seritinga</v>
          </cell>
          <cell r="E3027">
            <v>1851</v>
          </cell>
        </row>
        <row r="3028">
          <cell r="D3028" t="str">
            <v>Serra Azul de Minas</v>
          </cell>
          <cell r="E3028">
            <v>4293</v>
          </cell>
        </row>
        <row r="3029">
          <cell r="D3029" t="str">
            <v>Serra da Saudade</v>
          </cell>
          <cell r="E3029">
            <v>781</v>
          </cell>
        </row>
        <row r="3030">
          <cell r="D3030" t="str">
            <v>Serra dos Aimorés</v>
          </cell>
          <cell r="E3030">
            <v>8699</v>
          </cell>
        </row>
        <row r="3031">
          <cell r="D3031" t="str">
            <v>Serra do Salitre</v>
          </cell>
          <cell r="E3031">
            <v>11582</v>
          </cell>
        </row>
        <row r="3032">
          <cell r="D3032" t="str">
            <v>Serrania</v>
          </cell>
          <cell r="E3032">
            <v>7669</v>
          </cell>
        </row>
        <row r="3033">
          <cell r="D3033" t="str">
            <v>Serranópolis de Minas</v>
          </cell>
          <cell r="E3033">
            <v>4781</v>
          </cell>
        </row>
        <row r="3034">
          <cell r="D3034" t="str">
            <v>Serranos</v>
          </cell>
          <cell r="E3034">
            <v>1963</v>
          </cell>
        </row>
        <row r="3035">
          <cell r="D3035" t="str">
            <v>Serro</v>
          </cell>
          <cell r="E3035">
            <v>20966</v>
          </cell>
        </row>
        <row r="3036">
          <cell r="D3036" t="str">
            <v>Sete Lagoas</v>
          </cell>
          <cell r="E3036">
            <v>239639</v>
          </cell>
        </row>
        <row r="3037">
          <cell r="D3037" t="str">
            <v>Silveirânia</v>
          </cell>
          <cell r="E3037">
            <v>2261</v>
          </cell>
        </row>
        <row r="3038">
          <cell r="D3038" t="str">
            <v>Silvianópolis</v>
          </cell>
          <cell r="E3038">
            <v>6238</v>
          </cell>
        </row>
        <row r="3039">
          <cell r="D3039" t="str">
            <v>Simão Pereira</v>
          </cell>
          <cell r="E3039">
            <v>2615</v>
          </cell>
        </row>
        <row r="3040">
          <cell r="D3040" t="str">
            <v>Simonésia</v>
          </cell>
          <cell r="E3040">
            <v>19633</v>
          </cell>
        </row>
        <row r="3041">
          <cell r="D3041" t="str">
            <v>Sobrália</v>
          </cell>
          <cell r="E3041">
            <v>5553</v>
          </cell>
        </row>
        <row r="3042">
          <cell r="D3042" t="str">
            <v>Soledade de Minas</v>
          </cell>
          <cell r="E3042">
            <v>6151</v>
          </cell>
        </row>
        <row r="3043">
          <cell r="D3043" t="str">
            <v>Tabuleiro</v>
          </cell>
          <cell r="E3043">
            <v>3750</v>
          </cell>
        </row>
        <row r="3044">
          <cell r="D3044" t="str">
            <v>Taiobeiras</v>
          </cell>
          <cell r="E3044">
            <v>34132</v>
          </cell>
        </row>
        <row r="3045">
          <cell r="D3045" t="str">
            <v>Taparuba</v>
          </cell>
          <cell r="E3045">
            <v>3110</v>
          </cell>
        </row>
        <row r="3046">
          <cell r="D3046" t="str">
            <v>Tapira</v>
          </cell>
          <cell r="E3046">
            <v>4773</v>
          </cell>
        </row>
        <row r="3047">
          <cell r="D3047" t="str">
            <v>Tapiraí</v>
          </cell>
          <cell r="E3047">
            <v>1875</v>
          </cell>
        </row>
        <row r="3048">
          <cell r="D3048" t="str">
            <v>Taquaraçu de Minas</v>
          </cell>
          <cell r="E3048">
            <v>4077</v>
          </cell>
        </row>
        <row r="3049">
          <cell r="D3049" t="str">
            <v>Tarumirim</v>
          </cell>
          <cell r="E3049">
            <v>14326</v>
          </cell>
        </row>
        <row r="3050">
          <cell r="D3050" t="str">
            <v>Teixeiras</v>
          </cell>
          <cell r="E3050">
            <v>11661</v>
          </cell>
        </row>
        <row r="3051">
          <cell r="D3051" t="str">
            <v>Teófilo Otoni</v>
          </cell>
          <cell r="E3051">
            <v>140592</v>
          </cell>
        </row>
        <row r="3052">
          <cell r="D3052" t="str">
            <v>Timóteo</v>
          </cell>
          <cell r="E3052">
            <v>89842</v>
          </cell>
        </row>
        <row r="3053">
          <cell r="D3053" t="str">
            <v>Tiradentes</v>
          </cell>
          <cell r="E3053">
            <v>7981</v>
          </cell>
        </row>
        <row r="3054">
          <cell r="D3054" t="str">
            <v>Tiros</v>
          </cell>
          <cell r="E3054">
            <v>6480</v>
          </cell>
        </row>
        <row r="3055">
          <cell r="D3055" t="str">
            <v>Tocantins</v>
          </cell>
          <cell r="E3055">
            <v>16659</v>
          </cell>
        </row>
        <row r="3056">
          <cell r="D3056" t="str">
            <v>Tocos do Moji</v>
          </cell>
          <cell r="E3056">
            <v>4101</v>
          </cell>
        </row>
        <row r="3057">
          <cell r="D3057" t="str">
            <v>Toledo</v>
          </cell>
          <cell r="E3057">
            <v>6258</v>
          </cell>
        </row>
        <row r="3058">
          <cell r="D3058" t="str">
            <v>Tombos</v>
          </cell>
          <cell r="E3058">
            <v>8022</v>
          </cell>
        </row>
        <row r="3059">
          <cell r="D3059" t="str">
            <v>Três Corações</v>
          </cell>
          <cell r="E3059">
            <v>79482</v>
          </cell>
        </row>
        <row r="3060">
          <cell r="D3060" t="str">
            <v>Três Marias</v>
          </cell>
          <cell r="E3060">
            <v>32356</v>
          </cell>
        </row>
        <row r="3061">
          <cell r="D3061" t="str">
            <v>Três Pontas</v>
          </cell>
          <cell r="E3061">
            <v>56746</v>
          </cell>
        </row>
        <row r="3062">
          <cell r="D3062" t="str">
            <v>Tumiritinga</v>
          </cell>
          <cell r="E3062">
            <v>6732</v>
          </cell>
        </row>
        <row r="3063">
          <cell r="D3063" t="str">
            <v>Tupaciguara</v>
          </cell>
          <cell r="E3063">
            <v>25327</v>
          </cell>
        </row>
        <row r="3064">
          <cell r="D3064" t="str">
            <v>Turmalina</v>
          </cell>
          <cell r="E3064">
            <v>19964</v>
          </cell>
        </row>
        <row r="3065">
          <cell r="D3065" t="str">
            <v>Turvolândia</v>
          </cell>
          <cell r="E3065">
            <v>5040</v>
          </cell>
        </row>
        <row r="3066">
          <cell r="D3066" t="str">
            <v>Ubá</v>
          </cell>
          <cell r="E3066">
            <v>115552</v>
          </cell>
        </row>
        <row r="3067">
          <cell r="D3067" t="str">
            <v>Ubaí</v>
          </cell>
          <cell r="E3067">
            <v>12533</v>
          </cell>
        </row>
        <row r="3068">
          <cell r="D3068" t="str">
            <v>Ubaporanga</v>
          </cell>
          <cell r="E3068">
            <v>12471</v>
          </cell>
        </row>
        <row r="3069">
          <cell r="D3069" t="str">
            <v>Uberaba</v>
          </cell>
          <cell r="E3069">
            <v>333783</v>
          </cell>
        </row>
        <row r="3070">
          <cell r="D3070" t="str">
            <v>Uberlândia</v>
          </cell>
          <cell r="E3070">
            <v>691305</v>
          </cell>
        </row>
        <row r="3071">
          <cell r="D3071" t="str">
            <v>Umburatiba</v>
          </cell>
          <cell r="E3071">
            <v>2611</v>
          </cell>
        </row>
        <row r="3072">
          <cell r="D3072" t="str">
            <v>Unaí</v>
          </cell>
          <cell r="E3072">
            <v>84378</v>
          </cell>
        </row>
        <row r="3073">
          <cell r="D3073" t="str">
            <v>União de Minas</v>
          </cell>
          <cell r="E3073">
            <v>4304</v>
          </cell>
        </row>
        <row r="3074">
          <cell r="D3074" t="str">
            <v>Uruana de Minas</v>
          </cell>
          <cell r="E3074">
            <v>3264</v>
          </cell>
        </row>
        <row r="3075">
          <cell r="D3075" t="str">
            <v>Urucânia</v>
          </cell>
          <cell r="E3075">
            <v>10358</v>
          </cell>
        </row>
        <row r="3076">
          <cell r="D3076" t="str">
            <v>Urucuia</v>
          </cell>
          <cell r="E3076">
            <v>16865</v>
          </cell>
        </row>
        <row r="3077">
          <cell r="D3077" t="str">
            <v>Vargem Alegre</v>
          </cell>
          <cell r="E3077">
            <v>6480</v>
          </cell>
        </row>
        <row r="3078">
          <cell r="D3078" t="str">
            <v>Vargem Bonita</v>
          </cell>
          <cell r="E3078">
            <v>2153</v>
          </cell>
        </row>
        <row r="3079">
          <cell r="D3079" t="str">
            <v>Vargem Grande do Rio Pardo</v>
          </cell>
          <cell r="E3079">
            <v>5007</v>
          </cell>
        </row>
        <row r="3080">
          <cell r="D3080" t="str">
            <v>Varginha</v>
          </cell>
          <cell r="E3080">
            <v>135558</v>
          </cell>
        </row>
        <row r="3081">
          <cell r="D3081" t="str">
            <v>Varjão de Minas</v>
          </cell>
          <cell r="E3081">
            <v>7036</v>
          </cell>
        </row>
        <row r="3082">
          <cell r="D3082" t="str">
            <v>Várzea da Palma</v>
          </cell>
          <cell r="E3082">
            <v>39493</v>
          </cell>
        </row>
        <row r="3083">
          <cell r="D3083" t="str">
            <v>Varzelândia</v>
          </cell>
          <cell r="E3083">
            <v>19320</v>
          </cell>
        </row>
        <row r="3084">
          <cell r="D3084" t="str">
            <v>Vazante</v>
          </cell>
          <cell r="E3084">
            <v>20590</v>
          </cell>
        </row>
        <row r="3085">
          <cell r="D3085" t="str">
            <v>Verdelândia</v>
          </cell>
          <cell r="E3085">
            <v>9355</v>
          </cell>
        </row>
        <row r="3086">
          <cell r="D3086" t="str">
            <v>Veredinha</v>
          </cell>
          <cell r="E3086">
            <v>5720</v>
          </cell>
        </row>
        <row r="3087">
          <cell r="D3087" t="str">
            <v>Veríssimo</v>
          </cell>
          <cell r="E3087">
            <v>3999</v>
          </cell>
        </row>
        <row r="3088">
          <cell r="D3088" t="str">
            <v>Vermelho Novo</v>
          </cell>
          <cell r="E3088">
            <v>4839</v>
          </cell>
        </row>
        <row r="3089">
          <cell r="D3089" t="str">
            <v>Vespasiano</v>
          </cell>
          <cell r="E3089">
            <v>127601</v>
          </cell>
        </row>
        <row r="3090">
          <cell r="D3090" t="str">
            <v>Viçosa</v>
          </cell>
          <cell r="E3090">
            <v>78846</v>
          </cell>
        </row>
        <row r="3091">
          <cell r="D3091" t="str">
            <v>Vieiras</v>
          </cell>
          <cell r="E3091">
            <v>3608</v>
          </cell>
        </row>
        <row r="3092">
          <cell r="D3092" t="str">
            <v>Mathias Lobato</v>
          </cell>
          <cell r="E3092">
            <v>3203</v>
          </cell>
        </row>
        <row r="3093">
          <cell r="D3093" t="str">
            <v>Virgem da Lapa</v>
          </cell>
          <cell r="E3093">
            <v>13752</v>
          </cell>
        </row>
        <row r="3094">
          <cell r="D3094" t="str">
            <v>Virgínia</v>
          </cell>
          <cell r="E3094">
            <v>8674</v>
          </cell>
        </row>
        <row r="3095">
          <cell r="D3095" t="str">
            <v>Virginópolis</v>
          </cell>
          <cell r="E3095">
            <v>10510</v>
          </cell>
        </row>
        <row r="3096">
          <cell r="D3096" t="str">
            <v>Virgolândia</v>
          </cell>
          <cell r="E3096">
            <v>5380</v>
          </cell>
        </row>
        <row r="3097">
          <cell r="D3097" t="str">
            <v>Visconde do Rio Branco</v>
          </cell>
          <cell r="E3097">
            <v>42564</v>
          </cell>
        </row>
        <row r="3098">
          <cell r="D3098" t="str">
            <v>Volta Grande</v>
          </cell>
          <cell r="E3098">
            <v>5252</v>
          </cell>
        </row>
        <row r="3099">
          <cell r="D3099" t="str">
            <v>Wenceslau Braz</v>
          </cell>
          <cell r="E3099">
            <v>2552</v>
          </cell>
        </row>
        <row r="3100">
          <cell r="D3100" t="str">
            <v>Afonso Cláudio</v>
          </cell>
          <cell r="E3100">
            <v>30586</v>
          </cell>
        </row>
        <row r="3101">
          <cell r="D3101" t="str">
            <v>Águia Branca</v>
          </cell>
          <cell r="E3101">
            <v>9642</v>
          </cell>
        </row>
        <row r="3102">
          <cell r="D3102" t="str">
            <v>Água Doce do Norte</v>
          </cell>
          <cell r="E3102">
            <v>11019</v>
          </cell>
        </row>
        <row r="3103">
          <cell r="D3103" t="str">
            <v>Alegre</v>
          </cell>
          <cell r="E3103">
            <v>30084</v>
          </cell>
        </row>
        <row r="3104">
          <cell r="D3104" t="str">
            <v>Alfredo Chaves</v>
          </cell>
          <cell r="E3104">
            <v>14601</v>
          </cell>
        </row>
        <row r="3105">
          <cell r="D3105" t="str">
            <v>Alto Rio Novo</v>
          </cell>
          <cell r="E3105">
            <v>7836</v>
          </cell>
        </row>
        <row r="3106">
          <cell r="D3106" t="str">
            <v>Anchieta</v>
          </cell>
          <cell r="E3106">
            <v>29263</v>
          </cell>
        </row>
        <row r="3107">
          <cell r="D3107" t="str">
            <v>Apiacá</v>
          </cell>
          <cell r="E3107">
            <v>7567</v>
          </cell>
        </row>
        <row r="3108">
          <cell r="D3108" t="str">
            <v>Aracruz</v>
          </cell>
          <cell r="E3108">
            <v>101220</v>
          </cell>
        </row>
        <row r="3109">
          <cell r="D3109" t="str">
            <v>Atilio Vivacqua</v>
          </cell>
          <cell r="E3109">
            <v>11936</v>
          </cell>
        </row>
        <row r="3110">
          <cell r="D3110" t="str">
            <v>Baixo Guandu</v>
          </cell>
          <cell r="E3110">
            <v>30998</v>
          </cell>
        </row>
        <row r="3111">
          <cell r="D3111" t="str">
            <v>Barra de São Francisco</v>
          </cell>
          <cell r="E3111">
            <v>44650</v>
          </cell>
        </row>
        <row r="3112">
          <cell r="D3112" t="str">
            <v>Boa Esperança</v>
          </cell>
          <cell r="E3112">
            <v>15037</v>
          </cell>
        </row>
        <row r="3113">
          <cell r="D3113" t="str">
            <v>Bom Jesus do Norte</v>
          </cell>
          <cell r="E3113">
            <v>9936</v>
          </cell>
        </row>
        <row r="3114">
          <cell r="D3114" t="str">
            <v>Brejetuba</v>
          </cell>
          <cell r="E3114">
            <v>12404</v>
          </cell>
        </row>
        <row r="3115">
          <cell r="D3115" t="str">
            <v>Cachoeiro de Itapemirim</v>
          </cell>
          <cell r="E3115">
            <v>208972</v>
          </cell>
        </row>
        <row r="3116">
          <cell r="D3116" t="str">
            <v>Cariacica</v>
          </cell>
          <cell r="E3116">
            <v>381285</v>
          </cell>
        </row>
        <row r="3117">
          <cell r="D3117" t="str">
            <v>Castelo</v>
          </cell>
          <cell r="E3117">
            <v>37534</v>
          </cell>
        </row>
        <row r="3118">
          <cell r="D3118" t="str">
            <v>Colatina</v>
          </cell>
          <cell r="E3118">
            <v>122499</v>
          </cell>
        </row>
        <row r="3119">
          <cell r="D3119" t="str">
            <v>Conceição da Barra</v>
          </cell>
          <cell r="E3119">
            <v>31063</v>
          </cell>
        </row>
        <row r="3120">
          <cell r="D3120" t="str">
            <v>Conceição do Castelo</v>
          </cell>
          <cell r="E3120">
            <v>12723</v>
          </cell>
        </row>
        <row r="3121">
          <cell r="D3121" t="str">
            <v>Divino de São Lourenço</v>
          </cell>
          <cell r="E3121">
            <v>4304</v>
          </cell>
        </row>
        <row r="3122">
          <cell r="D3122" t="str">
            <v>Domingos Martins</v>
          </cell>
          <cell r="E3122">
            <v>33850</v>
          </cell>
        </row>
        <row r="3123">
          <cell r="D3123" t="str">
            <v>Dores do Rio Preto</v>
          </cell>
          <cell r="E3123">
            <v>6749</v>
          </cell>
        </row>
        <row r="3124">
          <cell r="D3124" t="str">
            <v>Ecoporanga</v>
          </cell>
          <cell r="E3124">
            <v>22923</v>
          </cell>
        </row>
        <row r="3125">
          <cell r="D3125" t="str">
            <v>Fundão</v>
          </cell>
          <cell r="E3125">
            <v>21509</v>
          </cell>
        </row>
        <row r="3126">
          <cell r="D3126" t="str">
            <v>Governador Lindenberg</v>
          </cell>
          <cell r="E3126">
            <v>12709</v>
          </cell>
        </row>
        <row r="3127">
          <cell r="D3127" t="str">
            <v>Guaçuí</v>
          </cell>
          <cell r="E3127">
            <v>30867</v>
          </cell>
        </row>
        <row r="3128">
          <cell r="D3128" t="str">
            <v>Guarapari</v>
          </cell>
          <cell r="E3128">
            <v>124859</v>
          </cell>
        </row>
        <row r="3129">
          <cell r="D3129" t="str">
            <v>Ibatiba</v>
          </cell>
          <cell r="E3129">
            <v>26082</v>
          </cell>
        </row>
        <row r="3130">
          <cell r="D3130" t="str">
            <v>Ibiraçu</v>
          </cell>
          <cell r="E3130">
            <v>12479</v>
          </cell>
        </row>
        <row r="3131">
          <cell r="D3131" t="str">
            <v>Ibitirama</v>
          </cell>
          <cell r="E3131">
            <v>8889</v>
          </cell>
        </row>
        <row r="3132">
          <cell r="D3132" t="str">
            <v>Iconha</v>
          </cell>
          <cell r="E3132">
            <v>13860</v>
          </cell>
        </row>
        <row r="3133">
          <cell r="D3133" t="str">
            <v>Irupi</v>
          </cell>
          <cell r="E3133">
            <v>13377</v>
          </cell>
        </row>
        <row r="3134">
          <cell r="D3134" t="str">
            <v>Itaguaçu</v>
          </cell>
          <cell r="E3134">
            <v>14066</v>
          </cell>
        </row>
        <row r="3135">
          <cell r="D3135" t="str">
            <v>Itapemirim</v>
          </cell>
          <cell r="E3135">
            <v>34348</v>
          </cell>
        </row>
        <row r="3136">
          <cell r="D3136" t="str">
            <v>Itarana</v>
          </cell>
          <cell r="E3136">
            <v>10555</v>
          </cell>
        </row>
        <row r="3137">
          <cell r="D3137" t="str">
            <v>Iúna</v>
          </cell>
          <cell r="E3137">
            <v>29161</v>
          </cell>
        </row>
        <row r="3138">
          <cell r="D3138" t="str">
            <v>Jaguaré</v>
          </cell>
          <cell r="E3138">
            <v>30477</v>
          </cell>
        </row>
        <row r="3139">
          <cell r="D3139" t="str">
            <v>Jerônimo Monteiro</v>
          </cell>
          <cell r="E3139">
            <v>12192</v>
          </cell>
        </row>
        <row r="3140">
          <cell r="D3140" t="str">
            <v>João Neiva</v>
          </cell>
          <cell r="E3140">
            <v>16668</v>
          </cell>
        </row>
        <row r="3141">
          <cell r="D3141" t="str">
            <v>Laranja da Terra</v>
          </cell>
          <cell r="E3141">
            <v>10947</v>
          </cell>
        </row>
        <row r="3142">
          <cell r="D3142" t="str">
            <v>Linhares</v>
          </cell>
          <cell r="E3142">
            <v>173555</v>
          </cell>
        </row>
        <row r="3143">
          <cell r="D3143" t="str">
            <v>Mantenópolis</v>
          </cell>
          <cell r="E3143">
            <v>15350</v>
          </cell>
        </row>
        <row r="3144">
          <cell r="D3144" t="str">
            <v>Marataízes</v>
          </cell>
          <cell r="E3144">
            <v>38499</v>
          </cell>
        </row>
        <row r="3145">
          <cell r="D3145" t="str">
            <v>Marechal Floriano</v>
          </cell>
          <cell r="E3145">
            <v>16694</v>
          </cell>
        </row>
        <row r="3146">
          <cell r="D3146" t="str">
            <v>Marilândia</v>
          </cell>
          <cell r="E3146">
            <v>12833</v>
          </cell>
        </row>
        <row r="3147">
          <cell r="D3147" t="str">
            <v>Mimoso do Sul</v>
          </cell>
          <cell r="E3147">
            <v>26153</v>
          </cell>
        </row>
        <row r="3148">
          <cell r="D3148" t="str">
            <v>Montanha</v>
          </cell>
          <cell r="E3148">
            <v>18833</v>
          </cell>
        </row>
        <row r="3149">
          <cell r="D3149" t="str">
            <v>Mucurici</v>
          </cell>
          <cell r="E3149">
            <v>5524</v>
          </cell>
        </row>
        <row r="3150">
          <cell r="D3150" t="str">
            <v>Muniz Freire</v>
          </cell>
          <cell r="E3150">
            <v>17465</v>
          </cell>
        </row>
        <row r="3151">
          <cell r="D3151" t="str">
            <v>Muqui</v>
          </cell>
          <cell r="E3151">
            <v>15449</v>
          </cell>
        </row>
        <row r="3152">
          <cell r="D3152" t="str">
            <v>Nova Venécia</v>
          </cell>
          <cell r="E3152">
            <v>50110</v>
          </cell>
        </row>
        <row r="3153">
          <cell r="D3153" t="str">
            <v>Pancas</v>
          </cell>
          <cell r="E3153">
            <v>23184</v>
          </cell>
        </row>
        <row r="3154">
          <cell r="D3154" t="str">
            <v>Pedro Canário</v>
          </cell>
          <cell r="E3154">
            <v>26184</v>
          </cell>
        </row>
        <row r="3155">
          <cell r="D3155" t="str">
            <v>Pinheiros</v>
          </cell>
          <cell r="E3155">
            <v>27047</v>
          </cell>
        </row>
        <row r="3156">
          <cell r="D3156" t="str">
            <v>Piúma</v>
          </cell>
          <cell r="E3156">
            <v>21711</v>
          </cell>
        </row>
        <row r="3157">
          <cell r="D3157" t="str">
            <v>Ponto Belo</v>
          </cell>
          <cell r="E3157">
            <v>7863</v>
          </cell>
        </row>
        <row r="3158">
          <cell r="D3158" t="str">
            <v>Presidente Kennedy</v>
          </cell>
          <cell r="E3158">
            <v>11574</v>
          </cell>
        </row>
        <row r="3159">
          <cell r="D3159" t="str">
            <v>Rio Bananal</v>
          </cell>
          <cell r="E3159">
            <v>19141</v>
          </cell>
        </row>
        <row r="3160">
          <cell r="D3160" t="str">
            <v>Rio Novo do Sul</v>
          </cell>
          <cell r="E3160">
            <v>11622</v>
          </cell>
        </row>
        <row r="3161">
          <cell r="D3161" t="str">
            <v>Santa Leopoldina</v>
          </cell>
          <cell r="E3161">
            <v>12224</v>
          </cell>
        </row>
        <row r="3162">
          <cell r="D3162" t="str">
            <v>Santa Maria de Jetibá</v>
          </cell>
          <cell r="E3162">
            <v>40431</v>
          </cell>
        </row>
        <row r="3163">
          <cell r="D3163" t="str">
            <v>Santa Teresa</v>
          </cell>
          <cell r="E3163">
            <v>23590</v>
          </cell>
        </row>
        <row r="3164">
          <cell r="D3164" t="str">
            <v>São Domingos do Norte</v>
          </cell>
          <cell r="E3164">
            <v>8638</v>
          </cell>
        </row>
        <row r="3165">
          <cell r="D3165" t="str">
            <v>São Gabriel da Palha</v>
          </cell>
          <cell r="E3165">
            <v>37947</v>
          </cell>
        </row>
        <row r="3166">
          <cell r="D3166" t="str">
            <v>São José do Calçado</v>
          </cell>
          <cell r="E3166">
            <v>10556</v>
          </cell>
        </row>
        <row r="3167">
          <cell r="D3167" t="str">
            <v>São Mateus</v>
          </cell>
          <cell r="E3167">
            <v>130611</v>
          </cell>
        </row>
        <row r="3168">
          <cell r="D3168" t="str">
            <v>São Roque do Canaã</v>
          </cell>
          <cell r="E3168">
            <v>12415</v>
          </cell>
        </row>
        <row r="3169">
          <cell r="D3169" t="str">
            <v>Serra</v>
          </cell>
          <cell r="E3169">
            <v>517510</v>
          </cell>
        </row>
        <row r="3170">
          <cell r="D3170" t="str">
            <v>Sooretama</v>
          </cell>
          <cell r="E3170">
            <v>30070</v>
          </cell>
        </row>
        <row r="3171">
          <cell r="D3171" t="str">
            <v>Vargem Alta</v>
          </cell>
          <cell r="E3171">
            <v>21402</v>
          </cell>
        </row>
        <row r="3172">
          <cell r="D3172" t="str">
            <v>Venda Nova do Imigrante</v>
          </cell>
          <cell r="E3172">
            <v>25277</v>
          </cell>
        </row>
        <row r="3173">
          <cell r="D3173" t="str">
            <v>Viana</v>
          </cell>
          <cell r="E3173">
            <v>78239</v>
          </cell>
        </row>
        <row r="3174">
          <cell r="D3174" t="str">
            <v>Vila Pavão</v>
          </cell>
          <cell r="E3174">
            <v>9208</v>
          </cell>
        </row>
        <row r="3175">
          <cell r="D3175" t="str">
            <v>Vila Valério</v>
          </cell>
          <cell r="E3175">
            <v>14080</v>
          </cell>
        </row>
        <row r="3176">
          <cell r="D3176" t="str">
            <v>Vila Velha</v>
          </cell>
          <cell r="E3176">
            <v>493838</v>
          </cell>
        </row>
        <row r="3177">
          <cell r="D3177" t="str">
            <v>Vitória</v>
          </cell>
          <cell r="E3177">
            <v>362097</v>
          </cell>
        </row>
        <row r="3178">
          <cell r="D3178" t="str">
            <v>Angra dos Reis</v>
          </cell>
          <cell r="E3178">
            <v>203785</v>
          </cell>
        </row>
        <row r="3179">
          <cell r="D3179" t="str">
            <v>Aperibé</v>
          </cell>
          <cell r="E3179">
            <v>11759</v>
          </cell>
        </row>
        <row r="3180">
          <cell r="D3180" t="str">
            <v>Araruama</v>
          </cell>
          <cell r="E3180">
            <v>132400</v>
          </cell>
        </row>
        <row r="3181">
          <cell r="D3181" t="str">
            <v>Areal</v>
          </cell>
          <cell r="E3181">
            <v>12572</v>
          </cell>
        </row>
        <row r="3182">
          <cell r="D3182" t="str">
            <v>Armação dos Búzios</v>
          </cell>
          <cell r="E3182">
            <v>40532</v>
          </cell>
        </row>
        <row r="3183">
          <cell r="D3183" t="str">
            <v>Arraial do Cabo</v>
          </cell>
          <cell r="E3183">
            <v>30349</v>
          </cell>
        </row>
        <row r="3184">
          <cell r="D3184" t="str">
            <v>Barra do Piraí</v>
          </cell>
          <cell r="E3184">
            <v>100374</v>
          </cell>
        </row>
        <row r="3185">
          <cell r="D3185" t="str">
            <v>Barra Mansa</v>
          </cell>
          <cell r="E3185">
            <v>184412</v>
          </cell>
        </row>
        <row r="3186">
          <cell r="D3186" t="str">
            <v>Belford Roxo</v>
          </cell>
          <cell r="E3186">
            <v>510906</v>
          </cell>
        </row>
        <row r="3187">
          <cell r="D3187" t="str">
            <v>Bom Jardim</v>
          </cell>
          <cell r="E3187">
            <v>27446</v>
          </cell>
        </row>
        <row r="3188">
          <cell r="D3188" t="str">
            <v>Bom Jesus do Itabapoana</v>
          </cell>
          <cell r="E3188">
            <v>37096</v>
          </cell>
        </row>
        <row r="3189">
          <cell r="D3189" t="str">
            <v>Cabo Frio</v>
          </cell>
          <cell r="E3189">
            <v>219863</v>
          </cell>
        </row>
        <row r="3190">
          <cell r="D3190" t="str">
            <v>Cachoeiras de Macacu</v>
          </cell>
          <cell r="E3190">
            <v>58937</v>
          </cell>
        </row>
        <row r="3191">
          <cell r="D3191" t="str">
            <v>Cambuci</v>
          </cell>
          <cell r="E3191">
            <v>15505</v>
          </cell>
        </row>
        <row r="3192">
          <cell r="D3192" t="str">
            <v>Carapebus</v>
          </cell>
          <cell r="E3192">
            <v>16301</v>
          </cell>
        </row>
        <row r="3193">
          <cell r="D3193" t="str">
            <v>Comendador Levy Gasparian</v>
          </cell>
          <cell r="E3193">
            <v>8561</v>
          </cell>
        </row>
        <row r="3194">
          <cell r="D3194" t="str">
            <v>Campos dos Goytacazes</v>
          </cell>
          <cell r="E3194">
            <v>507548</v>
          </cell>
        </row>
        <row r="3195">
          <cell r="D3195" t="str">
            <v>Cantagalo</v>
          </cell>
          <cell r="E3195">
            <v>20172</v>
          </cell>
        </row>
        <row r="3196">
          <cell r="D3196" t="str">
            <v>Cardoso Moreira</v>
          </cell>
          <cell r="E3196">
            <v>12823</v>
          </cell>
        </row>
        <row r="3197">
          <cell r="D3197" t="str">
            <v>Carmo</v>
          </cell>
          <cell r="E3197">
            <v>18895</v>
          </cell>
        </row>
        <row r="3198">
          <cell r="D3198" t="str">
            <v>Casimiro de Abreu</v>
          </cell>
          <cell r="E3198">
            <v>44184</v>
          </cell>
        </row>
        <row r="3199">
          <cell r="D3199" t="str">
            <v>Conceição de Macabu</v>
          </cell>
          <cell r="E3199">
            <v>23228</v>
          </cell>
        </row>
        <row r="3200">
          <cell r="D3200" t="str">
            <v>Cordeiro</v>
          </cell>
          <cell r="E3200">
            <v>21926</v>
          </cell>
        </row>
        <row r="3201">
          <cell r="D3201" t="str">
            <v>Duas Barras</v>
          </cell>
          <cell r="E3201">
            <v>11492</v>
          </cell>
        </row>
        <row r="3202">
          <cell r="D3202" t="str">
            <v>Duque de Caxias</v>
          </cell>
          <cell r="E3202">
            <v>919596</v>
          </cell>
        </row>
        <row r="3203">
          <cell r="D3203" t="str">
            <v>Engenheiro Paulo de Frontin</v>
          </cell>
          <cell r="E3203">
            <v>14002</v>
          </cell>
        </row>
        <row r="3204">
          <cell r="D3204" t="str">
            <v>Guapimirim</v>
          </cell>
          <cell r="E3204">
            <v>60517</v>
          </cell>
        </row>
        <row r="3205">
          <cell r="D3205" t="str">
            <v>Iguaba Grande</v>
          </cell>
          <cell r="E3205">
            <v>28310</v>
          </cell>
        </row>
        <row r="3206">
          <cell r="D3206" t="str">
            <v>Itaboraí</v>
          </cell>
          <cell r="E3206">
            <v>240592</v>
          </cell>
        </row>
        <row r="3207">
          <cell r="D3207" t="str">
            <v>Itaguaí</v>
          </cell>
          <cell r="E3207">
            <v>133019</v>
          </cell>
        </row>
        <row r="3208">
          <cell r="D3208" t="str">
            <v>Italva</v>
          </cell>
          <cell r="E3208">
            <v>15207</v>
          </cell>
        </row>
        <row r="3209">
          <cell r="D3209" t="str">
            <v>Itaocara</v>
          </cell>
          <cell r="E3209">
            <v>23234</v>
          </cell>
        </row>
        <row r="3210">
          <cell r="D3210" t="str">
            <v>Itaperuna</v>
          </cell>
          <cell r="E3210">
            <v>103224</v>
          </cell>
        </row>
        <row r="3211">
          <cell r="D3211" t="str">
            <v>Itatiaia</v>
          </cell>
          <cell r="E3211">
            <v>31805</v>
          </cell>
        </row>
        <row r="3212">
          <cell r="D3212" t="str">
            <v>Japeri</v>
          </cell>
          <cell r="E3212">
            <v>104768</v>
          </cell>
        </row>
        <row r="3213">
          <cell r="D3213" t="str">
            <v>Laje do Muriaé</v>
          </cell>
          <cell r="E3213">
            <v>7355</v>
          </cell>
        </row>
        <row r="3214">
          <cell r="D3214" t="str">
            <v>Macaé</v>
          </cell>
          <cell r="E3214">
            <v>256672</v>
          </cell>
        </row>
        <row r="3215">
          <cell r="D3215" t="str">
            <v>Macuco</v>
          </cell>
          <cell r="E3215">
            <v>5599</v>
          </cell>
        </row>
        <row r="3216">
          <cell r="D3216" t="str">
            <v>Magé</v>
          </cell>
          <cell r="E3216">
            <v>245071</v>
          </cell>
        </row>
        <row r="3217">
          <cell r="D3217" t="str">
            <v>Mangaratiba</v>
          </cell>
          <cell r="E3217">
            <v>44468</v>
          </cell>
        </row>
        <row r="3218">
          <cell r="D3218" t="str">
            <v>Maricá</v>
          </cell>
          <cell r="E3218">
            <v>161207</v>
          </cell>
        </row>
        <row r="3219">
          <cell r="D3219" t="str">
            <v>Mendes</v>
          </cell>
          <cell r="E3219">
            <v>18614</v>
          </cell>
        </row>
        <row r="3220">
          <cell r="D3220" t="str">
            <v>Mesquita</v>
          </cell>
          <cell r="E3220">
            <v>176103</v>
          </cell>
        </row>
        <row r="3221">
          <cell r="D3221" t="str">
            <v>Miguel Pereira</v>
          </cell>
          <cell r="E3221">
            <v>25538</v>
          </cell>
        </row>
        <row r="3222">
          <cell r="D3222" t="str">
            <v>Miracema</v>
          </cell>
          <cell r="E3222">
            <v>27174</v>
          </cell>
        </row>
        <row r="3223">
          <cell r="D3223" t="str">
            <v>Natividade</v>
          </cell>
          <cell r="E3223">
            <v>15317</v>
          </cell>
        </row>
        <row r="3224">
          <cell r="D3224" t="str">
            <v>Nilópolis</v>
          </cell>
          <cell r="E3224">
            <v>162485</v>
          </cell>
        </row>
        <row r="3225">
          <cell r="D3225" t="str">
            <v>Niterói</v>
          </cell>
          <cell r="E3225">
            <v>513584</v>
          </cell>
        </row>
        <row r="3226">
          <cell r="D3226" t="str">
            <v>Nova Friburgo</v>
          </cell>
          <cell r="E3226">
            <v>190631</v>
          </cell>
        </row>
        <row r="3227">
          <cell r="D3227" t="str">
            <v>Nova Iguaçu</v>
          </cell>
          <cell r="E3227">
            <v>821128</v>
          </cell>
        </row>
        <row r="3228">
          <cell r="D3228" t="str">
            <v>Paracambi</v>
          </cell>
          <cell r="E3228">
            <v>52257</v>
          </cell>
        </row>
        <row r="3229">
          <cell r="D3229" t="str">
            <v>Paraíba do Sul</v>
          </cell>
          <cell r="E3229">
            <v>44285</v>
          </cell>
        </row>
        <row r="3230">
          <cell r="D3230" t="str">
            <v>Paraty</v>
          </cell>
          <cell r="E3230">
            <v>43165</v>
          </cell>
        </row>
        <row r="3231">
          <cell r="D3231" t="str">
            <v>Paty do Alferes</v>
          </cell>
          <cell r="E3231">
            <v>27769</v>
          </cell>
        </row>
        <row r="3232">
          <cell r="D3232" t="str">
            <v>Petrópolis</v>
          </cell>
          <cell r="E3232">
            <v>306191</v>
          </cell>
        </row>
        <row r="3233">
          <cell r="D3233" t="str">
            <v>Pinheiral</v>
          </cell>
          <cell r="E3233">
            <v>25156</v>
          </cell>
        </row>
        <row r="3234">
          <cell r="D3234" t="str">
            <v>Piraí</v>
          </cell>
          <cell r="E3234">
            <v>29277</v>
          </cell>
        </row>
        <row r="3235">
          <cell r="D3235" t="str">
            <v>Porciúncula</v>
          </cell>
          <cell r="E3235">
            <v>18847</v>
          </cell>
        </row>
        <row r="3236">
          <cell r="D3236" t="str">
            <v>Porto Real</v>
          </cell>
          <cell r="E3236">
            <v>19683</v>
          </cell>
        </row>
        <row r="3237">
          <cell r="D3237" t="str">
            <v>Quatis</v>
          </cell>
          <cell r="E3237">
            <v>14302</v>
          </cell>
        </row>
        <row r="3238">
          <cell r="D3238" t="str">
            <v>Queimados</v>
          </cell>
          <cell r="E3238">
            <v>150319</v>
          </cell>
        </row>
        <row r="3239">
          <cell r="D3239" t="str">
            <v>Quissamã</v>
          </cell>
          <cell r="E3239">
            <v>24700</v>
          </cell>
        </row>
        <row r="3240">
          <cell r="D3240" t="str">
            <v>Resende</v>
          </cell>
          <cell r="E3240">
            <v>131341</v>
          </cell>
        </row>
        <row r="3241">
          <cell r="D3241" t="str">
            <v>Rio Bonito</v>
          </cell>
          <cell r="E3241">
            <v>60201</v>
          </cell>
        </row>
        <row r="3242">
          <cell r="D3242" t="str">
            <v>Rio Claro</v>
          </cell>
          <cell r="E3242">
            <v>18529</v>
          </cell>
        </row>
        <row r="3243">
          <cell r="D3243" t="str">
            <v>Rio das Flores</v>
          </cell>
          <cell r="E3243">
            <v>9284</v>
          </cell>
        </row>
        <row r="3244">
          <cell r="D3244" t="str">
            <v>Rio das Ostras</v>
          </cell>
          <cell r="E3244">
            <v>150674</v>
          </cell>
        </row>
        <row r="3245">
          <cell r="D3245" t="str">
            <v>Rio de Janeiro</v>
          </cell>
          <cell r="E3245">
            <v>6718903</v>
          </cell>
        </row>
        <row r="3246">
          <cell r="D3246" t="str">
            <v>Santa Maria Madalena</v>
          </cell>
          <cell r="E3246">
            <v>10404</v>
          </cell>
        </row>
        <row r="3247">
          <cell r="D3247" t="str">
            <v>Santo Antônio de Pádua</v>
          </cell>
          <cell r="E3247">
            <v>42479</v>
          </cell>
        </row>
        <row r="3248">
          <cell r="D3248" t="str">
            <v>São Francisco de Itabapoana</v>
          </cell>
          <cell r="E3248">
            <v>42205</v>
          </cell>
        </row>
        <row r="3249">
          <cell r="D3249" t="str">
            <v>São Fidélis</v>
          </cell>
          <cell r="E3249">
            <v>38669</v>
          </cell>
        </row>
        <row r="3250">
          <cell r="D3250" t="str">
            <v>São Gonçalo</v>
          </cell>
          <cell r="E3250">
            <v>1084839</v>
          </cell>
        </row>
        <row r="3251">
          <cell r="D3251" t="str">
            <v>São João da Barra</v>
          </cell>
          <cell r="E3251">
            <v>36102</v>
          </cell>
        </row>
        <row r="3252">
          <cell r="D3252" t="str">
            <v>São João de Meriti</v>
          </cell>
          <cell r="E3252">
            <v>472406</v>
          </cell>
        </row>
        <row r="3253">
          <cell r="D3253" t="str">
            <v>São José de Ubá</v>
          </cell>
          <cell r="E3253">
            <v>7171</v>
          </cell>
        </row>
        <row r="3254">
          <cell r="D3254" t="str">
            <v>São José do Vale do Rio Preto</v>
          </cell>
          <cell r="E3254">
            <v>21795</v>
          </cell>
        </row>
        <row r="3255">
          <cell r="D3255" t="str">
            <v>São Pedro da Aldeia</v>
          </cell>
          <cell r="E3255">
            <v>104476</v>
          </cell>
        </row>
        <row r="3256">
          <cell r="D3256" t="str">
            <v>São Sebastião do Alto</v>
          </cell>
          <cell r="E3256">
            <v>9357</v>
          </cell>
        </row>
        <row r="3257">
          <cell r="D3257" t="str">
            <v>Sapucaia</v>
          </cell>
          <cell r="E3257">
            <v>18228</v>
          </cell>
        </row>
        <row r="3258">
          <cell r="D3258" t="str">
            <v>Saquarema</v>
          </cell>
          <cell r="E3258">
            <v>89170</v>
          </cell>
        </row>
        <row r="3259">
          <cell r="D3259" t="str">
            <v>Seropédica</v>
          </cell>
          <cell r="E3259">
            <v>82312</v>
          </cell>
        </row>
        <row r="3260">
          <cell r="D3260" t="str">
            <v>Silva Jardim</v>
          </cell>
          <cell r="E3260">
            <v>21774</v>
          </cell>
        </row>
        <row r="3261">
          <cell r="D3261" t="str">
            <v>Sumidouro</v>
          </cell>
          <cell r="E3261">
            <v>15623</v>
          </cell>
        </row>
        <row r="3262">
          <cell r="D3262" t="str">
            <v>Tanguá</v>
          </cell>
          <cell r="E3262">
            <v>34309</v>
          </cell>
        </row>
        <row r="3263">
          <cell r="D3263" t="str">
            <v>Teresópolis</v>
          </cell>
          <cell r="E3263">
            <v>182594</v>
          </cell>
        </row>
        <row r="3264">
          <cell r="D3264" t="str">
            <v>Trajano de Moraes</v>
          </cell>
          <cell r="E3264">
            <v>10626</v>
          </cell>
        </row>
        <row r="3265">
          <cell r="D3265" t="str">
            <v>Três Rios</v>
          </cell>
          <cell r="E3265">
            <v>81804</v>
          </cell>
        </row>
        <row r="3266">
          <cell r="D3266" t="str">
            <v>Valença</v>
          </cell>
          <cell r="E3266">
            <v>76523</v>
          </cell>
        </row>
        <row r="3267">
          <cell r="D3267" t="str">
            <v>Varre-Sai</v>
          </cell>
          <cell r="E3267">
            <v>11000</v>
          </cell>
        </row>
        <row r="3268">
          <cell r="D3268" t="str">
            <v>Vassouras</v>
          </cell>
          <cell r="E3268">
            <v>36896</v>
          </cell>
        </row>
        <row r="3269">
          <cell r="D3269" t="str">
            <v>Volta Redonda</v>
          </cell>
          <cell r="E3269">
            <v>273012</v>
          </cell>
        </row>
        <row r="3270">
          <cell r="D3270" t="str">
            <v>Adamantina</v>
          </cell>
          <cell r="E3270">
            <v>35068</v>
          </cell>
        </row>
        <row r="3271">
          <cell r="D3271" t="str">
            <v>Adolfo</v>
          </cell>
          <cell r="E3271">
            <v>3562</v>
          </cell>
        </row>
        <row r="3272">
          <cell r="D3272" t="str">
            <v>Aguaí</v>
          </cell>
          <cell r="E3272">
            <v>36305</v>
          </cell>
        </row>
        <row r="3273">
          <cell r="D3273" t="str">
            <v>Águas da Prata</v>
          </cell>
          <cell r="E3273">
            <v>8180</v>
          </cell>
        </row>
        <row r="3274">
          <cell r="D3274" t="str">
            <v>Águas de Lindóia</v>
          </cell>
          <cell r="E3274">
            <v>18705</v>
          </cell>
        </row>
        <row r="3275">
          <cell r="D3275" t="str">
            <v>Águas de Santa Bárbara</v>
          </cell>
          <cell r="E3275">
            <v>6075</v>
          </cell>
        </row>
        <row r="3276">
          <cell r="D3276" t="str">
            <v>Águas de São Pedro</v>
          </cell>
          <cell r="E3276">
            <v>3451</v>
          </cell>
        </row>
        <row r="3277">
          <cell r="D3277" t="str">
            <v>Agudos</v>
          </cell>
          <cell r="E3277">
            <v>37214</v>
          </cell>
        </row>
        <row r="3278">
          <cell r="D3278" t="str">
            <v>Alambari</v>
          </cell>
          <cell r="E3278">
            <v>6025</v>
          </cell>
        </row>
        <row r="3279">
          <cell r="D3279" t="str">
            <v>Alfredo Marcondes</v>
          </cell>
          <cell r="E3279">
            <v>4166</v>
          </cell>
        </row>
        <row r="3280">
          <cell r="D3280" t="str">
            <v>Altair</v>
          </cell>
          <cell r="E3280">
            <v>4160</v>
          </cell>
        </row>
        <row r="3281">
          <cell r="D3281" t="str">
            <v>Altinópolis</v>
          </cell>
          <cell r="E3281">
            <v>16184</v>
          </cell>
        </row>
        <row r="3282">
          <cell r="D3282" t="str">
            <v>Alto Alegre</v>
          </cell>
          <cell r="E3282">
            <v>4099</v>
          </cell>
        </row>
        <row r="3283">
          <cell r="D3283" t="str">
            <v>Alumínio</v>
          </cell>
          <cell r="E3283">
            <v>18628</v>
          </cell>
        </row>
        <row r="3284">
          <cell r="D3284" t="str">
            <v>Álvares Florence</v>
          </cell>
          <cell r="E3284">
            <v>3679</v>
          </cell>
        </row>
        <row r="3285">
          <cell r="D3285" t="str">
            <v>Álvares Machado</v>
          </cell>
          <cell r="E3285">
            <v>24915</v>
          </cell>
        </row>
        <row r="3286">
          <cell r="D3286" t="str">
            <v>Álvaro de Carvalho</v>
          </cell>
          <cell r="E3286">
            <v>5227</v>
          </cell>
        </row>
        <row r="3287">
          <cell r="D3287" t="str">
            <v>Alvinlândia</v>
          </cell>
          <cell r="E3287">
            <v>3222</v>
          </cell>
        </row>
        <row r="3288">
          <cell r="D3288" t="str">
            <v>Americana</v>
          </cell>
          <cell r="E3288">
            <v>239597</v>
          </cell>
        </row>
        <row r="3289">
          <cell r="D3289" t="str">
            <v>Américo Brasiliense</v>
          </cell>
          <cell r="E3289">
            <v>40504</v>
          </cell>
        </row>
        <row r="3290">
          <cell r="D3290" t="str">
            <v>Américo de Campos</v>
          </cell>
          <cell r="E3290">
            <v>5969</v>
          </cell>
        </row>
        <row r="3291">
          <cell r="D3291" t="str">
            <v>Amparo</v>
          </cell>
          <cell r="E3291">
            <v>72195</v>
          </cell>
        </row>
        <row r="3292">
          <cell r="D3292" t="str">
            <v>Analândia</v>
          </cell>
          <cell r="E3292">
            <v>4995</v>
          </cell>
        </row>
        <row r="3293">
          <cell r="D3293" t="str">
            <v>Andradina</v>
          </cell>
          <cell r="E3293">
            <v>57157</v>
          </cell>
        </row>
        <row r="3294">
          <cell r="D3294" t="str">
            <v>Angatuba</v>
          </cell>
          <cell r="E3294">
            <v>25228</v>
          </cell>
        </row>
        <row r="3295">
          <cell r="D3295" t="str">
            <v>Anhembi</v>
          </cell>
          <cell r="E3295">
            <v>6724</v>
          </cell>
        </row>
        <row r="3296">
          <cell r="D3296" t="str">
            <v>Anhumas</v>
          </cell>
          <cell r="E3296">
            <v>4115</v>
          </cell>
        </row>
        <row r="3297">
          <cell r="D3297" t="str">
            <v>Aparecida</v>
          </cell>
          <cell r="E3297">
            <v>36157</v>
          </cell>
        </row>
        <row r="3298">
          <cell r="D3298" t="str">
            <v>Aparecida d'Oeste</v>
          </cell>
          <cell r="E3298">
            <v>4196</v>
          </cell>
        </row>
        <row r="3299">
          <cell r="D3299" t="str">
            <v>Apiaí</v>
          </cell>
          <cell r="E3299">
            <v>24374</v>
          </cell>
        </row>
        <row r="3300">
          <cell r="D3300" t="str">
            <v>Araçariguama</v>
          </cell>
          <cell r="E3300">
            <v>22364</v>
          </cell>
        </row>
        <row r="3301">
          <cell r="D3301" t="str">
            <v>Araçatuba</v>
          </cell>
          <cell r="E3301">
            <v>197016</v>
          </cell>
        </row>
        <row r="3302">
          <cell r="D3302" t="str">
            <v>Araçoiaba da Serra</v>
          </cell>
          <cell r="E3302">
            <v>34146</v>
          </cell>
        </row>
        <row r="3303">
          <cell r="D3303" t="str">
            <v>Aramina</v>
          </cell>
          <cell r="E3303">
            <v>5620</v>
          </cell>
        </row>
        <row r="3304">
          <cell r="D3304" t="str">
            <v>Arandu</v>
          </cell>
          <cell r="E3304">
            <v>6357</v>
          </cell>
        </row>
        <row r="3305">
          <cell r="D3305" t="str">
            <v>Arapeí</v>
          </cell>
          <cell r="E3305">
            <v>2469</v>
          </cell>
        </row>
        <row r="3306">
          <cell r="D3306" t="str">
            <v>Araraquara</v>
          </cell>
          <cell r="E3306">
            <v>236072</v>
          </cell>
        </row>
        <row r="3307">
          <cell r="D3307" t="str">
            <v>Araras</v>
          </cell>
          <cell r="E3307">
            <v>134236</v>
          </cell>
        </row>
        <row r="3308">
          <cell r="D3308" t="str">
            <v>Arco-Íris</v>
          </cell>
          <cell r="E3308">
            <v>1791</v>
          </cell>
        </row>
        <row r="3309">
          <cell r="D3309" t="str">
            <v>Arealva</v>
          </cell>
          <cell r="E3309">
            <v>8560</v>
          </cell>
        </row>
        <row r="3310">
          <cell r="D3310" t="str">
            <v>Areias</v>
          </cell>
          <cell r="E3310">
            <v>3886</v>
          </cell>
        </row>
        <row r="3311">
          <cell r="D3311" t="str">
            <v>Areiópolis</v>
          </cell>
          <cell r="E3311">
            <v>11129</v>
          </cell>
        </row>
        <row r="3312">
          <cell r="D3312" t="str">
            <v>Ariranha</v>
          </cell>
          <cell r="E3312">
            <v>9668</v>
          </cell>
        </row>
        <row r="3313">
          <cell r="D3313" t="str">
            <v>Artur Nogueira</v>
          </cell>
          <cell r="E3313">
            <v>54408</v>
          </cell>
        </row>
        <row r="3314">
          <cell r="D3314" t="str">
            <v>Arujá</v>
          </cell>
          <cell r="E3314">
            <v>89824</v>
          </cell>
        </row>
        <row r="3315">
          <cell r="D3315" t="str">
            <v>Aspásia</v>
          </cell>
          <cell r="E3315">
            <v>1822</v>
          </cell>
        </row>
        <row r="3316">
          <cell r="D3316" t="str">
            <v>Assis</v>
          </cell>
          <cell r="E3316">
            <v>104386</v>
          </cell>
        </row>
        <row r="3317">
          <cell r="D3317" t="str">
            <v>Atibaia</v>
          </cell>
          <cell r="E3317">
            <v>142761</v>
          </cell>
        </row>
        <row r="3318">
          <cell r="D3318" t="str">
            <v>Auriflama</v>
          </cell>
          <cell r="E3318">
            <v>15189</v>
          </cell>
        </row>
        <row r="3319">
          <cell r="D3319" t="str">
            <v>Avaí</v>
          </cell>
          <cell r="E3319">
            <v>5403</v>
          </cell>
        </row>
        <row r="3320">
          <cell r="D3320" t="str">
            <v>Avanhandava</v>
          </cell>
          <cell r="E3320">
            <v>13649</v>
          </cell>
        </row>
        <row r="3321">
          <cell r="D3321" t="str">
            <v>Avaré</v>
          </cell>
          <cell r="E3321">
            <v>90655</v>
          </cell>
        </row>
        <row r="3322">
          <cell r="D3322" t="str">
            <v>Bady Bassitt</v>
          </cell>
          <cell r="E3322">
            <v>17502</v>
          </cell>
        </row>
        <row r="3323">
          <cell r="D3323" t="str">
            <v>Balbinos</v>
          </cell>
          <cell r="E3323">
            <v>5735</v>
          </cell>
        </row>
        <row r="3324">
          <cell r="D3324" t="str">
            <v>Bálsamo</v>
          </cell>
          <cell r="E3324">
            <v>9068</v>
          </cell>
        </row>
        <row r="3325">
          <cell r="D3325" t="str">
            <v>Bananal</v>
          </cell>
          <cell r="E3325">
            <v>10945</v>
          </cell>
        </row>
        <row r="3326">
          <cell r="D3326" t="str">
            <v>Barão de Antonina</v>
          </cell>
          <cell r="E3326">
            <v>3469</v>
          </cell>
        </row>
        <row r="3327">
          <cell r="D3327" t="str">
            <v>Barbosa</v>
          </cell>
          <cell r="E3327">
            <v>7402</v>
          </cell>
        </row>
        <row r="3328">
          <cell r="D3328" t="str">
            <v>Bariri</v>
          </cell>
          <cell r="E3328">
            <v>35264</v>
          </cell>
        </row>
        <row r="3329">
          <cell r="D3329" t="str">
            <v>Barra Bonita</v>
          </cell>
          <cell r="E3329">
            <v>36126</v>
          </cell>
        </row>
        <row r="3330">
          <cell r="D3330" t="str">
            <v>Barra do Chapéu</v>
          </cell>
          <cell r="E3330">
            <v>5724</v>
          </cell>
        </row>
        <row r="3331">
          <cell r="D3331" t="str">
            <v>Barra do Turvo</v>
          </cell>
          <cell r="E3331">
            <v>7659</v>
          </cell>
        </row>
        <row r="3332">
          <cell r="D3332" t="str">
            <v>Barretos</v>
          </cell>
          <cell r="E3332">
            <v>122098</v>
          </cell>
        </row>
        <row r="3333">
          <cell r="D3333" t="str">
            <v>Barrinha</v>
          </cell>
          <cell r="E3333">
            <v>32812</v>
          </cell>
        </row>
        <row r="3334">
          <cell r="D3334" t="str">
            <v>Barueri</v>
          </cell>
          <cell r="E3334">
            <v>274182</v>
          </cell>
        </row>
        <row r="3335">
          <cell r="D3335" t="str">
            <v>Bastos</v>
          </cell>
          <cell r="E3335">
            <v>20953</v>
          </cell>
        </row>
        <row r="3336">
          <cell r="D3336" t="str">
            <v>Batatais</v>
          </cell>
          <cell r="E3336">
            <v>62508</v>
          </cell>
        </row>
        <row r="3337">
          <cell r="D3337" t="str">
            <v>Bauru</v>
          </cell>
          <cell r="E3337">
            <v>376818</v>
          </cell>
        </row>
        <row r="3338">
          <cell r="D3338" t="str">
            <v>Bebedouro</v>
          </cell>
          <cell r="E3338">
            <v>77496</v>
          </cell>
        </row>
        <row r="3339">
          <cell r="D3339" t="str">
            <v>Bento de Abreu</v>
          </cell>
          <cell r="E3339">
            <v>2980</v>
          </cell>
        </row>
        <row r="3340">
          <cell r="D3340" t="str">
            <v>Bernardino de Campos</v>
          </cell>
          <cell r="E3340">
            <v>11148</v>
          </cell>
        </row>
        <row r="3341">
          <cell r="D3341" t="str">
            <v>Bertioga</v>
          </cell>
          <cell r="E3341">
            <v>63249</v>
          </cell>
        </row>
        <row r="3342">
          <cell r="D3342" t="str">
            <v>Bilac</v>
          </cell>
          <cell r="E3342">
            <v>8034</v>
          </cell>
        </row>
        <row r="3343">
          <cell r="D3343" t="str">
            <v>Birigui</v>
          </cell>
          <cell r="E3343">
            <v>123638</v>
          </cell>
        </row>
        <row r="3344">
          <cell r="D3344" t="str">
            <v>Biritiba-Mirim</v>
          </cell>
          <cell r="E3344">
            <v>32598</v>
          </cell>
        </row>
        <row r="3345">
          <cell r="D3345" t="str">
            <v>Boa Esperança do Sul</v>
          </cell>
          <cell r="E3345">
            <v>14923</v>
          </cell>
        </row>
        <row r="3346">
          <cell r="D3346" t="str">
            <v>Bocaina</v>
          </cell>
          <cell r="E3346">
            <v>12329</v>
          </cell>
        </row>
        <row r="3347">
          <cell r="D3347" t="str">
            <v>Bofete</v>
          </cell>
          <cell r="E3347">
            <v>11730</v>
          </cell>
        </row>
        <row r="3348">
          <cell r="D3348" t="str">
            <v>Boituva</v>
          </cell>
          <cell r="E3348">
            <v>60997</v>
          </cell>
        </row>
        <row r="3349">
          <cell r="D3349" t="str">
            <v>Bom Jesus dos Perdões</v>
          </cell>
          <cell r="E3349">
            <v>25448</v>
          </cell>
        </row>
        <row r="3350">
          <cell r="D3350" t="str">
            <v>Bom Sucesso de Itararé</v>
          </cell>
          <cell r="E3350">
            <v>3954</v>
          </cell>
        </row>
        <row r="3351">
          <cell r="D3351" t="str">
            <v>Borá</v>
          </cell>
          <cell r="E3351">
            <v>837</v>
          </cell>
        </row>
        <row r="3352">
          <cell r="D3352" t="str">
            <v>Boracéia</v>
          </cell>
          <cell r="E3352">
            <v>4823</v>
          </cell>
        </row>
        <row r="3353">
          <cell r="D3353" t="str">
            <v>Borborema</v>
          </cell>
          <cell r="E3353">
            <v>16046</v>
          </cell>
        </row>
        <row r="3354">
          <cell r="D3354" t="str">
            <v>Borebi</v>
          </cell>
          <cell r="E3354">
            <v>2653</v>
          </cell>
        </row>
        <row r="3355">
          <cell r="D3355" t="str">
            <v>Botucatu</v>
          </cell>
          <cell r="E3355">
            <v>146497</v>
          </cell>
        </row>
        <row r="3356">
          <cell r="D3356" t="str">
            <v>Bragança Paulista</v>
          </cell>
          <cell r="E3356">
            <v>168668</v>
          </cell>
        </row>
        <row r="3357">
          <cell r="D3357" t="str">
            <v>Braúna</v>
          </cell>
          <cell r="E3357">
            <v>5686</v>
          </cell>
        </row>
        <row r="3358">
          <cell r="D3358" t="str">
            <v>Brejo Alegre</v>
          </cell>
          <cell r="E3358">
            <v>2865</v>
          </cell>
        </row>
        <row r="3359">
          <cell r="D3359" t="str">
            <v>Brodowski</v>
          </cell>
          <cell r="E3359">
            <v>24939</v>
          </cell>
        </row>
        <row r="3360">
          <cell r="D3360" t="str">
            <v>Brotas</v>
          </cell>
          <cell r="E3360">
            <v>24403</v>
          </cell>
        </row>
        <row r="3361">
          <cell r="D3361" t="str">
            <v>Buri</v>
          </cell>
          <cell r="E3361">
            <v>19878</v>
          </cell>
        </row>
        <row r="3362">
          <cell r="D3362" t="str">
            <v>Buritama</v>
          </cell>
          <cell r="E3362">
            <v>17144</v>
          </cell>
        </row>
        <row r="3363">
          <cell r="D3363" t="str">
            <v>Buritizal</v>
          </cell>
          <cell r="E3363">
            <v>4481</v>
          </cell>
        </row>
        <row r="3364">
          <cell r="D3364" t="str">
            <v>Cabrália Paulista</v>
          </cell>
          <cell r="E3364">
            <v>4264</v>
          </cell>
        </row>
        <row r="3365">
          <cell r="D3365" t="str">
            <v>Cabreúva</v>
          </cell>
          <cell r="E3365">
            <v>49707</v>
          </cell>
        </row>
        <row r="3366">
          <cell r="D3366" t="str">
            <v>Caçapava</v>
          </cell>
          <cell r="E3366">
            <v>94263</v>
          </cell>
        </row>
        <row r="3367">
          <cell r="D3367" t="str">
            <v>Cachoeira Paulista</v>
          </cell>
          <cell r="E3367">
            <v>33327</v>
          </cell>
        </row>
        <row r="3368">
          <cell r="D3368" t="str">
            <v>Caconde</v>
          </cell>
          <cell r="E3368">
            <v>18985</v>
          </cell>
        </row>
        <row r="3369">
          <cell r="D3369" t="str">
            <v>Cafelândia</v>
          </cell>
          <cell r="E3369">
            <v>17767</v>
          </cell>
        </row>
        <row r="3370">
          <cell r="D3370" t="str">
            <v>Caiabu</v>
          </cell>
          <cell r="E3370">
            <v>4191</v>
          </cell>
        </row>
        <row r="3371">
          <cell r="D3371" t="str">
            <v>Caieiras</v>
          </cell>
          <cell r="E3371">
            <v>101470</v>
          </cell>
        </row>
        <row r="3372">
          <cell r="D3372" t="str">
            <v>Caiuá</v>
          </cell>
          <cell r="E3372">
            <v>5874</v>
          </cell>
        </row>
        <row r="3373">
          <cell r="D3373" t="str">
            <v>Cajamar</v>
          </cell>
          <cell r="E3373">
            <v>76801</v>
          </cell>
        </row>
        <row r="3374">
          <cell r="D3374" t="str">
            <v>Cajati</v>
          </cell>
          <cell r="E3374">
            <v>28549</v>
          </cell>
        </row>
        <row r="3375">
          <cell r="D3375" t="str">
            <v>Cajobi</v>
          </cell>
          <cell r="E3375">
            <v>10542</v>
          </cell>
        </row>
        <row r="3376">
          <cell r="D3376" t="str">
            <v>Cajuru</v>
          </cell>
          <cell r="E3376">
            <v>26167</v>
          </cell>
        </row>
        <row r="3377">
          <cell r="D3377" t="str">
            <v>Campina do Monte Alegre</v>
          </cell>
          <cell r="E3377">
            <v>6024</v>
          </cell>
        </row>
        <row r="3378">
          <cell r="D3378" t="str">
            <v>Campinas</v>
          </cell>
          <cell r="E3378">
            <v>1204073</v>
          </cell>
        </row>
        <row r="3379">
          <cell r="D3379" t="str">
            <v>Campo Limpo Paulista</v>
          </cell>
          <cell r="E3379">
            <v>84650</v>
          </cell>
        </row>
        <row r="3380">
          <cell r="D3380" t="str">
            <v>Campos do Jordão</v>
          </cell>
          <cell r="E3380">
            <v>52088</v>
          </cell>
        </row>
        <row r="3381">
          <cell r="D3381" t="str">
            <v>Campos Novos Paulista</v>
          </cell>
          <cell r="E3381">
            <v>4965</v>
          </cell>
        </row>
        <row r="3382">
          <cell r="D3382" t="str">
            <v>Cananéia</v>
          </cell>
          <cell r="E3382">
            <v>12540</v>
          </cell>
        </row>
        <row r="3383">
          <cell r="D3383" t="str">
            <v>Canas</v>
          </cell>
          <cell r="E3383">
            <v>5138</v>
          </cell>
        </row>
        <row r="3384">
          <cell r="D3384" t="str">
            <v>Cândido Mota</v>
          </cell>
          <cell r="E3384">
            <v>31280</v>
          </cell>
        </row>
        <row r="3385">
          <cell r="D3385" t="str">
            <v>Cândido Rodrigues</v>
          </cell>
          <cell r="E3385">
            <v>2793</v>
          </cell>
        </row>
        <row r="3386">
          <cell r="D3386" t="str">
            <v>Canitar</v>
          </cell>
          <cell r="E3386">
            <v>5216</v>
          </cell>
        </row>
        <row r="3387">
          <cell r="D3387" t="str">
            <v>Capão Bonito</v>
          </cell>
          <cell r="E3387">
            <v>47138</v>
          </cell>
        </row>
        <row r="3388">
          <cell r="D3388" t="str">
            <v>Capela do Alto</v>
          </cell>
          <cell r="E3388">
            <v>20706</v>
          </cell>
        </row>
        <row r="3389">
          <cell r="D3389" t="str">
            <v>Capivari</v>
          </cell>
          <cell r="E3389">
            <v>55768</v>
          </cell>
        </row>
        <row r="3390">
          <cell r="D3390" t="str">
            <v>Caraguatatuba</v>
          </cell>
          <cell r="E3390">
            <v>121532</v>
          </cell>
        </row>
        <row r="3391">
          <cell r="D3391" t="str">
            <v>Carapicuíba</v>
          </cell>
          <cell r="E3391">
            <v>400927</v>
          </cell>
        </row>
        <row r="3392">
          <cell r="D3392" t="str">
            <v>Cardoso</v>
          </cell>
          <cell r="E3392">
            <v>12326</v>
          </cell>
        </row>
        <row r="3393">
          <cell r="D3393" t="str">
            <v>Casa Branca</v>
          </cell>
          <cell r="E3393">
            <v>30380</v>
          </cell>
        </row>
        <row r="3394">
          <cell r="D3394" t="str">
            <v>Cássia dos Coqueiros</v>
          </cell>
          <cell r="E3394">
            <v>2523</v>
          </cell>
        </row>
        <row r="3395">
          <cell r="D3395" t="str">
            <v>Castilho</v>
          </cell>
          <cell r="E3395">
            <v>21006</v>
          </cell>
        </row>
        <row r="3396">
          <cell r="D3396" t="str">
            <v>Catanduva</v>
          </cell>
          <cell r="E3396">
            <v>121862</v>
          </cell>
        </row>
        <row r="3397">
          <cell r="D3397" t="str">
            <v>Catiguá</v>
          </cell>
          <cell r="E3397">
            <v>7804</v>
          </cell>
        </row>
        <row r="3398">
          <cell r="D3398" t="str">
            <v>Cedral</v>
          </cell>
          <cell r="E3398">
            <v>9237</v>
          </cell>
        </row>
        <row r="3399">
          <cell r="D3399" t="str">
            <v>Cerqueira César</v>
          </cell>
          <cell r="E3399">
            <v>19985</v>
          </cell>
        </row>
        <row r="3400">
          <cell r="D3400" t="str">
            <v>Cerquilho</v>
          </cell>
          <cell r="E3400">
            <v>48949</v>
          </cell>
        </row>
        <row r="3401">
          <cell r="D3401" t="str">
            <v>Cesário Lange</v>
          </cell>
          <cell r="E3401">
            <v>18148</v>
          </cell>
        </row>
        <row r="3402">
          <cell r="D3402" t="str">
            <v>Charqueada</v>
          </cell>
          <cell r="E3402">
            <v>17190</v>
          </cell>
        </row>
        <row r="3403">
          <cell r="D3403" t="str">
            <v>Clementina</v>
          </cell>
          <cell r="E3403">
            <v>8617</v>
          </cell>
        </row>
        <row r="3404">
          <cell r="D3404" t="str">
            <v>Colina</v>
          </cell>
          <cell r="E3404">
            <v>18468</v>
          </cell>
        </row>
        <row r="3405">
          <cell r="D3405" t="str">
            <v>Colômbia</v>
          </cell>
          <cell r="E3405">
            <v>6210</v>
          </cell>
        </row>
        <row r="3406">
          <cell r="D3406" t="str">
            <v>Conchal</v>
          </cell>
          <cell r="E3406">
            <v>28050</v>
          </cell>
        </row>
        <row r="3407">
          <cell r="D3407" t="str">
            <v>Conchas</v>
          </cell>
          <cell r="E3407">
            <v>17896</v>
          </cell>
        </row>
        <row r="3408">
          <cell r="D3408" t="str">
            <v>Cordeirópolis</v>
          </cell>
          <cell r="E3408">
            <v>24528</v>
          </cell>
        </row>
        <row r="3409">
          <cell r="D3409" t="str">
            <v>Coroados</v>
          </cell>
          <cell r="E3409">
            <v>6058</v>
          </cell>
        </row>
        <row r="3410">
          <cell r="D3410" t="str">
            <v>Coronel Macedo</v>
          </cell>
          <cell r="E3410">
            <v>4681</v>
          </cell>
        </row>
        <row r="3411">
          <cell r="D3411" t="str">
            <v>Corumbataí</v>
          </cell>
          <cell r="E3411">
            <v>4055</v>
          </cell>
        </row>
        <row r="3412">
          <cell r="D3412" t="str">
            <v>Cosmópolis</v>
          </cell>
          <cell r="E3412">
            <v>72252</v>
          </cell>
        </row>
        <row r="3413">
          <cell r="D3413" t="str">
            <v>Cosmorama</v>
          </cell>
          <cell r="E3413">
            <v>7307</v>
          </cell>
        </row>
        <row r="3414">
          <cell r="D3414" t="str">
            <v>Cotia</v>
          </cell>
          <cell r="E3414">
            <v>249210</v>
          </cell>
        </row>
        <row r="3415">
          <cell r="D3415" t="str">
            <v>Cravinhos</v>
          </cell>
          <cell r="E3415">
            <v>35292</v>
          </cell>
        </row>
        <row r="3416">
          <cell r="D3416" t="str">
            <v>Cristais Paulista</v>
          </cell>
          <cell r="E3416">
            <v>8631</v>
          </cell>
        </row>
        <row r="3417">
          <cell r="D3417" t="str">
            <v>Cruzália</v>
          </cell>
          <cell r="E3417">
            <v>2073</v>
          </cell>
        </row>
        <row r="3418">
          <cell r="D3418" t="str">
            <v>Cruzeiro</v>
          </cell>
          <cell r="E3418">
            <v>82238</v>
          </cell>
        </row>
        <row r="3419">
          <cell r="D3419" t="str">
            <v>Cubatão</v>
          </cell>
          <cell r="E3419">
            <v>130705</v>
          </cell>
        </row>
        <row r="3420">
          <cell r="D3420" t="str">
            <v>Cunha</v>
          </cell>
          <cell r="E3420">
            <v>21547</v>
          </cell>
        </row>
        <row r="3421">
          <cell r="D3421" t="str">
            <v>Descalvado</v>
          </cell>
          <cell r="E3421">
            <v>33718</v>
          </cell>
        </row>
        <row r="3422">
          <cell r="D3422" t="str">
            <v>Diadema</v>
          </cell>
          <cell r="E3422">
            <v>423884</v>
          </cell>
        </row>
        <row r="3423">
          <cell r="D3423" t="str">
            <v>Dirce Reis</v>
          </cell>
          <cell r="E3423">
            <v>1793</v>
          </cell>
        </row>
        <row r="3424">
          <cell r="D3424" t="str">
            <v>Divinolândia</v>
          </cell>
          <cell r="E3424">
            <v>11146</v>
          </cell>
        </row>
        <row r="3425">
          <cell r="D3425" t="str">
            <v>Dobrada</v>
          </cell>
          <cell r="E3425">
            <v>8929</v>
          </cell>
        </row>
        <row r="3426">
          <cell r="D3426" t="str">
            <v>Dois Córregos</v>
          </cell>
          <cell r="E3426">
            <v>27315</v>
          </cell>
        </row>
        <row r="3427">
          <cell r="D3427" t="str">
            <v>Dolcinópolis</v>
          </cell>
          <cell r="E3427">
            <v>2115</v>
          </cell>
        </row>
        <row r="3428">
          <cell r="D3428" t="str">
            <v>Dourado</v>
          </cell>
          <cell r="E3428">
            <v>8873</v>
          </cell>
        </row>
        <row r="3429">
          <cell r="D3429" t="str">
            <v>Dracena</v>
          </cell>
          <cell r="E3429">
            <v>46793</v>
          </cell>
        </row>
        <row r="3430">
          <cell r="D3430" t="str">
            <v>Duartina</v>
          </cell>
          <cell r="E3430">
            <v>12445</v>
          </cell>
        </row>
        <row r="3431">
          <cell r="D3431" t="str">
            <v>Dumont</v>
          </cell>
          <cell r="E3431">
            <v>9868</v>
          </cell>
        </row>
        <row r="3432">
          <cell r="D3432" t="str">
            <v>Echaporã</v>
          </cell>
          <cell r="E3432">
            <v>6102</v>
          </cell>
        </row>
        <row r="3433">
          <cell r="D3433" t="str">
            <v>Eldorado</v>
          </cell>
          <cell r="E3433">
            <v>15494</v>
          </cell>
        </row>
        <row r="3434">
          <cell r="D3434" t="str">
            <v>Elias Fausto</v>
          </cell>
          <cell r="E3434">
            <v>17772</v>
          </cell>
        </row>
        <row r="3435">
          <cell r="D3435" t="str">
            <v>Elisiário</v>
          </cell>
          <cell r="E3435">
            <v>3651</v>
          </cell>
        </row>
        <row r="3436">
          <cell r="D3436" t="str">
            <v>Embaúba</v>
          </cell>
          <cell r="E3436">
            <v>2452</v>
          </cell>
        </row>
        <row r="3437">
          <cell r="D3437" t="str">
            <v>Embu das Artes</v>
          </cell>
          <cell r="E3437">
            <v>273726</v>
          </cell>
        </row>
        <row r="3438">
          <cell r="D3438" t="str">
            <v>Embu-Guaçu</v>
          </cell>
          <cell r="E3438">
            <v>69385</v>
          </cell>
        </row>
        <row r="3439">
          <cell r="D3439" t="str">
            <v>Emilianópolis</v>
          </cell>
          <cell r="E3439">
            <v>3214</v>
          </cell>
        </row>
        <row r="3440">
          <cell r="D3440" t="str">
            <v>Engenheiro Coelho</v>
          </cell>
          <cell r="E3440">
            <v>20773</v>
          </cell>
        </row>
        <row r="3441">
          <cell r="D3441" t="str">
            <v>Espírito Santo do Pinhal</v>
          </cell>
          <cell r="E3441">
            <v>44330</v>
          </cell>
        </row>
        <row r="3442">
          <cell r="D3442" t="str">
            <v>Espírito Santo do Turvo</v>
          </cell>
          <cell r="E3442">
            <v>4829</v>
          </cell>
        </row>
        <row r="3443">
          <cell r="D3443" t="str">
            <v>Estrela d'Oeste</v>
          </cell>
          <cell r="E3443">
            <v>8419</v>
          </cell>
        </row>
        <row r="3444">
          <cell r="D3444" t="str">
            <v>Estrela do Norte</v>
          </cell>
          <cell r="E3444">
            <v>2766</v>
          </cell>
        </row>
        <row r="3445">
          <cell r="D3445" t="str">
            <v>Euclides da Cunha Paulista</v>
          </cell>
          <cell r="E3445">
            <v>9371</v>
          </cell>
        </row>
        <row r="3446">
          <cell r="D3446" t="str">
            <v>Fartura</v>
          </cell>
          <cell r="E3446">
            <v>16036</v>
          </cell>
        </row>
        <row r="3447">
          <cell r="D3447" t="str">
            <v>Fernandópolis</v>
          </cell>
          <cell r="E3447">
            <v>69116</v>
          </cell>
        </row>
        <row r="3448">
          <cell r="D3448" t="str">
            <v>Fernando Prestes</v>
          </cell>
          <cell r="E3448">
            <v>5783</v>
          </cell>
        </row>
        <row r="3449">
          <cell r="D3449" t="str">
            <v>Fernão</v>
          </cell>
          <cell r="E3449">
            <v>1716</v>
          </cell>
        </row>
        <row r="3450">
          <cell r="D3450" t="str">
            <v>Ferraz de Vasconcelos</v>
          </cell>
          <cell r="E3450">
            <v>194276</v>
          </cell>
        </row>
        <row r="3451">
          <cell r="D3451" t="str">
            <v>Flora Rica</v>
          </cell>
          <cell r="E3451">
            <v>1464</v>
          </cell>
        </row>
        <row r="3452">
          <cell r="D3452" t="str">
            <v>Floreal</v>
          </cell>
          <cell r="E3452">
            <v>2917</v>
          </cell>
        </row>
        <row r="3453">
          <cell r="D3453" t="str">
            <v>Flórida Paulista</v>
          </cell>
          <cell r="E3453">
            <v>14640</v>
          </cell>
        </row>
        <row r="3454">
          <cell r="D3454" t="str">
            <v>Florínia</v>
          </cell>
          <cell r="E3454">
            <v>2676</v>
          </cell>
        </row>
        <row r="3455">
          <cell r="D3455" t="str">
            <v>Franca</v>
          </cell>
          <cell r="E3455">
            <v>353187</v>
          </cell>
        </row>
        <row r="3456">
          <cell r="D3456" t="str">
            <v>Francisco Morato</v>
          </cell>
          <cell r="E3456">
            <v>175844</v>
          </cell>
        </row>
        <row r="3457">
          <cell r="D3457" t="str">
            <v>Franco da Rocha</v>
          </cell>
          <cell r="E3457">
            <v>154489</v>
          </cell>
        </row>
        <row r="3458">
          <cell r="D3458" t="str">
            <v>Gabriel Monteiro</v>
          </cell>
          <cell r="E3458">
            <v>2776</v>
          </cell>
        </row>
        <row r="3459">
          <cell r="D3459" t="str">
            <v>Gália</v>
          </cell>
          <cell r="E3459">
            <v>6548</v>
          </cell>
        </row>
        <row r="3460">
          <cell r="D3460" t="str">
            <v>Garça</v>
          </cell>
          <cell r="E3460">
            <v>44390</v>
          </cell>
        </row>
        <row r="3461">
          <cell r="D3461" t="str">
            <v>Gastão Vidigal</v>
          </cell>
          <cell r="E3461">
            <v>4808</v>
          </cell>
        </row>
        <row r="3462">
          <cell r="D3462" t="str">
            <v>Gavião Peixoto</v>
          </cell>
          <cell r="E3462">
            <v>4789</v>
          </cell>
        </row>
        <row r="3463">
          <cell r="D3463" t="str">
            <v>General Salgado</v>
          </cell>
          <cell r="E3463">
            <v>10869</v>
          </cell>
        </row>
        <row r="3464">
          <cell r="D3464" t="str">
            <v>Getulina</v>
          </cell>
          <cell r="E3464">
            <v>11409</v>
          </cell>
        </row>
        <row r="3465">
          <cell r="D3465" t="str">
            <v>Glicério</v>
          </cell>
          <cell r="E3465">
            <v>4815</v>
          </cell>
        </row>
        <row r="3466">
          <cell r="D3466" t="str">
            <v>Guaiçara</v>
          </cell>
          <cell r="E3466">
            <v>12168</v>
          </cell>
        </row>
        <row r="3467">
          <cell r="D3467" t="str">
            <v>Guaimbê</v>
          </cell>
          <cell r="E3467">
            <v>5765</v>
          </cell>
        </row>
        <row r="3468">
          <cell r="D3468" t="str">
            <v>Guaíra</v>
          </cell>
          <cell r="E3468">
            <v>40790</v>
          </cell>
        </row>
        <row r="3469">
          <cell r="D3469" t="str">
            <v>Guapiaçu</v>
          </cell>
          <cell r="E3469">
            <v>21454</v>
          </cell>
        </row>
        <row r="3470">
          <cell r="D3470" t="str">
            <v>Guapiara</v>
          </cell>
          <cell r="E3470">
            <v>17157</v>
          </cell>
        </row>
        <row r="3471">
          <cell r="D3471" t="str">
            <v>Guará</v>
          </cell>
          <cell r="E3471">
            <v>21220</v>
          </cell>
        </row>
        <row r="3472">
          <cell r="D3472" t="str">
            <v>Guaraçaí</v>
          </cell>
          <cell r="E3472">
            <v>8323</v>
          </cell>
        </row>
        <row r="3473">
          <cell r="D3473" t="str">
            <v>Guaraci</v>
          </cell>
          <cell r="E3473">
            <v>11188</v>
          </cell>
        </row>
        <row r="3474">
          <cell r="D3474" t="str">
            <v>Guarani d'Oeste</v>
          </cell>
          <cell r="E3474">
            <v>2000</v>
          </cell>
        </row>
        <row r="3475">
          <cell r="D3475" t="str">
            <v>Guarantã</v>
          </cell>
          <cell r="E3475">
            <v>6664</v>
          </cell>
        </row>
        <row r="3476">
          <cell r="D3476" t="str">
            <v>Guararapes</v>
          </cell>
          <cell r="E3476">
            <v>32939</v>
          </cell>
        </row>
        <row r="3477">
          <cell r="D3477" t="str">
            <v>Guararema</v>
          </cell>
          <cell r="E3477">
            <v>29798</v>
          </cell>
        </row>
        <row r="3478">
          <cell r="D3478" t="str">
            <v>Guaratinguetá</v>
          </cell>
          <cell r="E3478">
            <v>121798</v>
          </cell>
        </row>
        <row r="3479">
          <cell r="D3479" t="str">
            <v>Guareí</v>
          </cell>
          <cell r="E3479">
            <v>18520</v>
          </cell>
        </row>
        <row r="3480">
          <cell r="D3480" t="str">
            <v>Guariba</v>
          </cell>
          <cell r="E3480">
            <v>40105</v>
          </cell>
        </row>
        <row r="3481">
          <cell r="D3481" t="str">
            <v>Guarujá</v>
          </cell>
          <cell r="E3481">
            <v>320459</v>
          </cell>
        </row>
        <row r="3482">
          <cell r="D3482" t="str">
            <v>Guarulhos</v>
          </cell>
          <cell r="E3482">
            <v>1379182</v>
          </cell>
        </row>
        <row r="3483">
          <cell r="D3483" t="str">
            <v>Guatapará</v>
          </cell>
          <cell r="E3483">
            <v>7656</v>
          </cell>
        </row>
        <row r="3484">
          <cell r="D3484" t="str">
            <v>Guzolândia</v>
          </cell>
          <cell r="E3484">
            <v>5267</v>
          </cell>
        </row>
        <row r="3485">
          <cell r="D3485" t="str">
            <v>Herculândia</v>
          </cell>
          <cell r="E3485">
            <v>9526</v>
          </cell>
        </row>
        <row r="3486">
          <cell r="D3486" t="str">
            <v>Holambra</v>
          </cell>
          <cell r="E3486">
            <v>14930</v>
          </cell>
        </row>
        <row r="3487">
          <cell r="D3487" t="str">
            <v>Hortolândia</v>
          </cell>
          <cell r="E3487">
            <v>230851</v>
          </cell>
        </row>
        <row r="3488">
          <cell r="D3488" t="str">
            <v>Iacanga</v>
          </cell>
          <cell r="E3488">
            <v>11710</v>
          </cell>
        </row>
        <row r="3489">
          <cell r="D3489" t="str">
            <v>Iacri</v>
          </cell>
          <cell r="E3489">
            <v>6321</v>
          </cell>
        </row>
        <row r="3490">
          <cell r="D3490" t="str">
            <v>Iaras</v>
          </cell>
          <cell r="E3490">
            <v>9240</v>
          </cell>
        </row>
        <row r="3491">
          <cell r="D3491" t="str">
            <v>Ibaté</v>
          </cell>
          <cell r="E3491">
            <v>35104</v>
          </cell>
        </row>
        <row r="3492">
          <cell r="D3492" t="str">
            <v>Ibirá</v>
          </cell>
          <cell r="E3492">
            <v>12393</v>
          </cell>
        </row>
        <row r="3493">
          <cell r="D3493" t="str">
            <v>Ibirarema</v>
          </cell>
          <cell r="E3493">
            <v>7753</v>
          </cell>
        </row>
        <row r="3494">
          <cell r="D3494" t="str">
            <v>Ibitinga</v>
          </cell>
          <cell r="E3494">
            <v>60033</v>
          </cell>
        </row>
        <row r="3495">
          <cell r="D3495" t="str">
            <v>Ibiúna</v>
          </cell>
          <cell r="E3495">
            <v>78878</v>
          </cell>
        </row>
        <row r="3496">
          <cell r="D3496" t="str">
            <v>Icém</v>
          </cell>
          <cell r="E3496">
            <v>8243</v>
          </cell>
        </row>
        <row r="3497">
          <cell r="D3497" t="str">
            <v>Iepê</v>
          </cell>
          <cell r="E3497">
            <v>8159</v>
          </cell>
        </row>
        <row r="3498">
          <cell r="D3498" t="str">
            <v>Igaraçu do Tietê</v>
          </cell>
          <cell r="E3498">
            <v>24674</v>
          </cell>
        </row>
        <row r="3499">
          <cell r="D3499" t="str">
            <v>Igarapava</v>
          </cell>
          <cell r="E3499">
            <v>30432</v>
          </cell>
        </row>
        <row r="3500">
          <cell r="D3500" t="str">
            <v>Igaratá</v>
          </cell>
          <cell r="E3500">
            <v>9534</v>
          </cell>
        </row>
        <row r="3501">
          <cell r="D3501" t="str">
            <v>Iguape</v>
          </cell>
          <cell r="E3501">
            <v>30857</v>
          </cell>
        </row>
        <row r="3502">
          <cell r="D3502" t="str">
            <v>Ilhabela</v>
          </cell>
          <cell r="E3502">
            <v>34970</v>
          </cell>
        </row>
        <row r="3503">
          <cell r="D3503" t="str">
            <v>Ilha Comprida</v>
          </cell>
          <cell r="E3503">
            <v>11166</v>
          </cell>
        </row>
        <row r="3504">
          <cell r="D3504" t="str">
            <v>Ilha Solteira</v>
          </cell>
          <cell r="E3504">
            <v>26686</v>
          </cell>
        </row>
        <row r="3505">
          <cell r="D3505" t="str">
            <v>Indaiatuba</v>
          </cell>
          <cell r="E3505">
            <v>251627</v>
          </cell>
        </row>
        <row r="3506">
          <cell r="D3506" t="str">
            <v>Indiana</v>
          </cell>
          <cell r="E3506">
            <v>4885</v>
          </cell>
        </row>
        <row r="3507">
          <cell r="D3507" t="str">
            <v>Indiaporã</v>
          </cell>
          <cell r="E3507">
            <v>3897</v>
          </cell>
        </row>
        <row r="3508">
          <cell r="D3508" t="str">
            <v>Inúbia Paulista</v>
          </cell>
          <cell r="E3508">
            <v>3991</v>
          </cell>
        </row>
        <row r="3509">
          <cell r="D3509" t="str">
            <v>Ipaussu</v>
          </cell>
          <cell r="E3509">
            <v>14971</v>
          </cell>
        </row>
        <row r="3510">
          <cell r="D3510" t="str">
            <v>Iperó</v>
          </cell>
          <cell r="E3510">
            <v>37133</v>
          </cell>
        </row>
        <row r="3511">
          <cell r="D3511" t="str">
            <v>Ipeúna</v>
          </cell>
          <cell r="E3511">
            <v>7546</v>
          </cell>
        </row>
        <row r="3512">
          <cell r="D3512" t="str">
            <v>Ipiguá</v>
          </cell>
          <cell r="E3512">
            <v>5392</v>
          </cell>
        </row>
        <row r="3513">
          <cell r="D3513" t="str">
            <v>Iporanga</v>
          </cell>
          <cell r="E3513">
            <v>4218</v>
          </cell>
        </row>
        <row r="3514">
          <cell r="D3514" t="str">
            <v>Ipuã</v>
          </cell>
          <cell r="E3514">
            <v>16409</v>
          </cell>
        </row>
        <row r="3515">
          <cell r="D3515" t="str">
            <v>Iracemápolis</v>
          </cell>
          <cell r="E3515">
            <v>24235</v>
          </cell>
        </row>
        <row r="3516">
          <cell r="D3516" t="str">
            <v>Irapuã</v>
          </cell>
          <cell r="E3516">
            <v>7993</v>
          </cell>
        </row>
        <row r="3517">
          <cell r="D3517" t="str">
            <v>Irapuru</v>
          </cell>
          <cell r="E3517">
            <v>8294</v>
          </cell>
        </row>
        <row r="3518">
          <cell r="D3518" t="str">
            <v>Itaberá</v>
          </cell>
          <cell r="E3518">
            <v>17556</v>
          </cell>
        </row>
        <row r="3519">
          <cell r="D3519" t="str">
            <v>Itaí</v>
          </cell>
          <cell r="E3519">
            <v>27125</v>
          </cell>
        </row>
        <row r="3520">
          <cell r="D3520" t="str">
            <v>Itajobi</v>
          </cell>
          <cell r="E3520">
            <v>15262</v>
          </cell>
        </row>
        <row r="3521">
          <cell r="D3521" t="str">
            <v>Itaju</v>
          </cell>
          <cell r="E3521">
            <v>3835</v>
          </cell>
        </row>
        <row r="3522">
          <cell r="D3522" t="str">
            <v>Itanhaém</v>
          </cell>
          <cell r="E3522">
            <v>101816</v>
          </cell>
        </row>
        <row r="3523">
          <cell r="D3523" t="str">
            <v>Itaóca</v>
          </cell>
          <cell r="E3523">
            <v>3328</v>
          </cell>
        </row>
        <row r="3524">
          <cell r="D3524" t="str">
            <v>Itapecerica da Serra</v>
          </cell>
          <cell r="E3524">
            <v>175693</v>
          </cell>
        </row>
        <row r="3525">
          <cell r="D3525" t="str">
            <v>Itapetininga</v>
          </cell>
          <cell r="E3525">
            <v>163901</v>
          </cell>
        </row>
        <row r="3526">
          <cell r="D3526" t="str">
            <v>Itapeva</v>
          </cell>
          <cell r="E3526">
            <v>94354</v>
          </cell>
        </row>
        <row r="3527">
          <cell r="D3527" t="str">
            <v>Itapevi</v>
          </cell>
          <cell r="E3527">
            <v>237700</v>
          </cell>
        </row>
        <row r="3528">
          <cell r="D3528" t="str">
            <v>Itapira</v>
          </cell>
          <cell r="E3528">
            <v>74773</v>
          </cell>
        </row>
        <row r="3529">
          <cell r="D3529" t="str">
            <v>Itapirapuã Paulista</v>
          </cell>
          <cell r="E3529">
            <v>4241</v>
          </cell>
        </row>
        <row r="3530">
          <cell r="D3530" t="str">
            <v>Itápolis</v>
          </cell>
          <cell r="E3530">
            <v>43120</v>
          </cell>
        </row>
        <row r="3531">
          <cell r="D3531" t="str">
            <v>Itaporanga</v>
          </cell>
          <cell r="E3531">
            <v>15149</v>
          </cell>
        </row>
        <row r="3532">
          <cell r="D3532" t="str">
            <v>Itapuí</v>
          </cell>
          <cell r="E3532">
            <v>13992</v>
          </cell>
        </row>
        <row r="3533">
          <cell r="D3533" t="str">
            <v>Itapura</v>
          </cell>
          <cell r="E3533">
            <v>4906</v>
          </cell>
        </row>
        <row r="3534">
          <cell r="D3534" t="str">
            <v>Itaquaquecetuba</v>
          </cell>
          <cell r="E3534">
            <v>370821</v>
          </cell>
        </row>
        <row r="3535">
          <cell r="D3535" t="str">
            <v>Itararé</v>
          </cell>
          <cell r="E3535">
            <v>50503</v>
          </cell>
        </row>
        <row r="3536">
          <cell r="D3536" t="str">
            <v>Itariri</v>
          </cell>
          <cell r="E3536">
            <v>17436</v>
          </cell>
        </row>
        <row r="3537">
          <cell r="D3537" t="str">
            <v>Itatiba</v>
          </cell>
          <cell r="E3537">
            <v>120858</v>
          </cell>
        </row>
        <row r="3538">
          <cell r="D3538" t="str">
            <v>Itatinga</v>
          </cell>
          <cell r="E3538">
            <v>20697</v>
          </cell>
        </row>
        <row r="3539">
          <cell r="D3539" t="str">
            <v>Itirapina</v>
          </cell>
          <cell r="E3539">
            <v>18157</v>
          </cell>
        </row>
        <row r="3540">
          <cell r="D3540" t="str">
            <v>Itirapuã</v>
          </cell>
          <cell r="E3540">
            <v>6499</v>
          </cell>
        </row>
        <row r="3541">
          <cell r="D3541" t="str">
            <v>Itobi</v>
          </cell>
          <cell r="E3541">
            <v>7841</v>
          </cell>
        </row>
        <row r="3542">
          <cell r="D3542" t="str">
            <v>Itu</v>
          </cell>
          <cell r="E3542">
            <v>173939</v>
          </cell>
        </row>
        <row r="3543">
          <cell r="D3543" t="str">
            <v>Itupeva</v>
          </cell>
          <cell r="E3543">
            <v>61252</v>
          </cell>
        </row>
        <row r="3544">
          <cell r="D3544" t="str">
            <v>Ituverava</v>
          </cell>
          <cell r="E3544">
            <v>41824</v>
          </cell>
        </row>
        <row r="3545">
          <cell r="D3545" t="str">
            <v>Jaborandi</v>
          </cell>
          <cell r="E3545">
            <v>6929</v>
          </cell>
        </row>
        <row r="3546">
          <cell r="D3546" t="str">
            <v>Jaboticabal</v>
          </cell>
          <cell r="E3546">
            <v>77263</v>
          </cell>
        </row>
        <row r="3547">
          <cell r="D3547" t="str">
            <v>Jacareí</v>
          </cell>
          <cell r="E3547">
            <v>233662</v>
          </cell>
        </row>
        <row r="3548">
          <cell r="D3548" t="str">
            <v>Jaci</v>
          </cell>
          <cell r="E3548">
            <v>7067</v>
          </cell>
        </row>
        <row r="3549">
          <cell r="D3549" t="str">
            <v>Jacupiranga</v>
          </cell>
          <cell r="E3549">
            <v>17866</v>
          </cell>
        </row>
        <row r="3550">
          <cell r="D3550" t="str">
            <v>Jaguariúna</v>
          </cell>
          <cell r="E3550">
            <v>57488</v>
          </cell>
        </row>
        <row r="3551">
          <cell r="D3551" t="str">
            <v>Jales</v>
          </cell>
          <cell r="E3551">
            <v>49107</v>
          </cell>
        </row>
        <row r="3552">
          <cell r="D3552" t="str">
            <v>Jambeiro</v>
          </cell>
          <cell r="E3552">
            <v>6602</v>
          </cell>
        </row>
        <row r="3553">
          <cell r="D3553" t="str">
            <v>Jandira</v>
          </cell>
          <cell r="E3553">
            <v>124937</v>
          </cell>
        </row>
        <row r="3554">
          <cell r="D3554" t="str">
            <v>Jardinópolis</v>
          </cell>
          <cell r="E3554">
            <v>44380</v>
          </cell>
        </row>
        <row r="3555">
          <cell r="D3555" t="str">
            <v>Jarinu</v>
          </cell>
          <cell r="E3555">
            <v>30044</v>
          </cell>
        </row>
        <row r="3556">
          <cell r="D3556" t="str">
            <v>Jaú</v>
          </cell>
          <cell r="E3556">
            <v>150252</v>
          </cell>
        </row>
        <row r="3557">
          <cell r="D3557" t="str">
            <v>Jeriquara</v>
          </cell>
          <cell r="E3557">
            <v>3159</v>
          </cell>
        </row>
        <row r="3558">
          <cell r="D3558" t="str">
            <v>Joanópolis</v>
          </cell>
          <cell r="E3558">
            <v>13220</v>
          </cell>
        </row>
        <row r="3559">
          <cell r="D3559" t="str">
            <v>João Ramalho</v>
          </cell>
          <cell r="E3559">
            <v>4523</v>
          </cell>
        </row>
        <row r="3560">
          <cell r="D3560" t="str">
            <v>José Bonifácio</v>
          </cell>
          <cell r="E3560">
            <v>37015</v>
          </cell>
        </row>
        <row r="3561">
          <cell r="D3561" t="str">
            <v>Júlio Mesquita</v>
          </cell>
          <cell r="E3561">
            <v>4776</v>
          </cell>
        </row>
        <row r="3562">
          <cell r="D3562" t="str">
            <v>Jumirim</v>
          </cell>
          <cell r="E3562">
            <v>3367</v>
          </cell>
        </row>
        <row r="3563">
          <cell r="D3563" t="str">
            <v>Jundiaí</v>
          </cell>
          <cell r="E3563">
            <v>418962</v>
          </cell>
        </row>
        <row r="3564">
          <cell r="D3564" t="str">
            <v>Junqueirópolis</v>
          </cell>
          <cell r="E3564">
            <v>20679</v>
          </cell>
        </row>
        <row r="3565">
          <cell r="D3565" t="str">
            <v>Juquiá</v>
          </cell>
          <cell r="E3565">
            <v>18812</v>
          </cell>
        </row>
        <row r="3566">
          <cell r="D3566" t="str">
            <v>Juquitiba</v>
          </cell>
          <cell r="E3566">
            <v>31444</v>
          </cell>
        </row>
        <row r="3567">
          <cell r="D3567" t="str">
            <v>Lagoinha</v>
          </cell>
          <cell r="E3567">
            <v>4896</v>
          </cell>
        </row>
        <row r="3568">
          <cell r="D3568" t="str">
            <v>Laranjal Paulista</v>
          </cell>
          <cell r="E3568">
            <v>28516</v>
          </cell>
        </row>
        <row r="3569">
          <cell r="D3569" t="str">
            <v>Lavínia</v>
          </cell>
          <cell r="E3569">
            <v>11980</v>
          </cell>
        </row>
        <row r="3570">
          <cell r="D3570" t="str">
            <v>Lavrinhas</v>
          </cell>
          <cell r="E3570">
            <v>7260</v>
          </cell>
        </row>
        <row r="3571">
          <cell r="D3571" t="str">
            <v>Leme</v>
          </cell>
          <cell r="E3571">
            <v>103391</v>
          </cell>
        </row>
        <row r="3572">
          <cell r="D3572" t="str">
            <v>Lençóis Paulista</v>
          </cell>
          <cell r="E3572">
            <v>68432</v>
          </cell>
        </row>
        <row r="3573">
          <cell r="D3573" t="str">
            <v>Limeira</v>
          </cell>
          <cell r="E3573">
            <v>306114</v>
          </cell>
        </row>
        <row r="3574">
          <cell r="D3574" t="str">
            <v>Lindóia</v>
          </cell>
          <cell r="E3574">
            <v>7980</v>
          </cell>
        </row>
        <row r="3575">
          <cell r="D3575" t="str">
            <v>Lins</v>
          </cell>
          <cell r="E3575">
            <v>78013</v>
          </cell>
        </row>
        <row r="3576">
          <cell r="D3576" t="str">
            <v>Lorena</v>
          </cell>
          <cell r="E3576">
            <v>88706</v>
          </cell>
        </row>
        <row r="3577">
          <cell r="D3577" t="str">
            <v>Lourdes</v>
          </cell>
          <cell r="E3577">
            <v>2289</v>
          </cell>
        </row>
        <row r="3578">
          <cell r="D3578" t="str">
            <v>Louveira</v>
          </cell>
          <cell r="E3578">
            <v>48885</v>
          </cell>
        </row>
        <row r="3579">
          <cell r="D3579" t="str">
            <v>Lucélia</v>
          </cell>
          <cell r="E3579">
            <v>21747</v>
          </cell>
        </row>
        <row r="3580">
          <cell r="D3580" t="str">
            <v>Lucianópolis</v>
          </cell>
          <cell r="E3580">
            <v>2394</v>
          </cell>
        </row>
        <row r="3581">
          <cell r="D3581" t="str">
            <v>Luís Antônio</v>
          </cell>
          <cell r="E3581">
            <v>14947</v>
          </cell>
        </row>
        <row r="3582">
          <cell r="D3582" t="str">
            <v>Luiziânia</v>
          </cell>
          <cell r="E3582">
            <v>5790</v>
          </cell>
        </row>
        <row r="3583">
          <cell r="D3583" t="str">
            <v>Lupércio</v>
          </cell>
          <cell r="E3583">
            <v>4584</v>
          </cell>
        </row>
        <row r="3584">
          <cell r="D3584" t="str">
            <v>Lutécia</v>
          </cell>
          <cell r="E3584">
            <v>2649</v>
          </cell>
        </row>
        <row r="3585">
          <cell r="D3585" t="str">
            <v>Macatuba</v>
          </cell>
          <cell r="E3585">
            <v>17163</v>
          </cell>
        </row>
        <row r="3586">
          <cell r="D3586" t="str">
            <v>Macaubal</v>
          </cell>
          <cell r="E3586">
            <v>8120</v>
          </cell>
        </row>
        <row r="3587">
          <cell r="D3587" t="str">
            <v>Macedônia</v>
          </cell>
          <cell r="E3587">
            <v>3698</v>
          </cell>
        </row>
        <row r="3588">
          <cell r="D3588" t="str">
            <v>Magda</v>
          </cell>
          <cell r="E3588">
            <v>3119</v>
          </cell>
        </row>
        <row r="3589">
          <cell r="D3589" t="str">
            <v>Mairinque</v>
          </cell>
          <cell r="E3589">
            <v>47150</v>
          </cell>
        </row>
        <row r="3590">
          <cell r="D3590" t="str">
            <v>Mairiporã</v>
          </cell>
          <cell r="E3590">
            <v>100179</v>
          </cell>
        </row>
        <row r="3591">
          <cell r="D3591" t="str">
            <v>Manduri</v>
          </cell>
          <cell r="E3591">
            <v>9846</v>
          </cell>
        </row>
        <row r="3592">
          <cell r="D3592" t="str">
            <v>Marabá Paulista</v>
          </cell>
          <cell r="E3592">
            <v>5853</v>
          </cell>
        </row>
        <row r="3593">
          <cell r="D3593" t="str">
            <v>Maracaí</v>
          </cell>
          <cell r="E3593">
            <v>14002</v>
          </cell>
        </row>
        <row r="3594">
          <cell r="D3594" t="str">
            <v>Marapoama</v>
          </cell>
          <cell r="E3594">
            <v>3031</v>
          </cell>
        </row>
        <row r="3595">
          <cell r="D3595" t="str">
            <v>Mariápolis</v>
          </cell>
          <cell r="E3595">
            <v>4084</v>
          </cell>
        </row>
        <row r="3596">
          <cell r="D3596" t="str">
            <v>Marília</v>
          </cell>
          <cell r="E3596">
            <v>238882</v>
          </cell>
        </row>
        <row r="3597">
          <cell r="D3597" t="str">
            <v>Marinópolis</v>
          </cell>
          <cell r="E3597">
            <v>2112</v>
          </cell>
        </row>
        <row r="3598">
          <cell r="D3598" t="str">
            <v>Martinópolis</v>
          </cell>
          <cell r="E3598">
            <v>26461</v>
          </cell>
        </row>
        <row r="3599">
          <cell r="D3599" t="str">
            <v>Matão</v>
          </cell>
          <cell r="E3599">
            <v>83170</v>
          </cell>
        </row>
        <row r="3600">
          <cell r="D3600" t="str">
            <v>Mauá</v>
          </cell>
          <cell r="E3600">
            <v>472912</v>
          </cell>
        </row>
        <row r="3601">
          <cell r="D3601" t="str">
            <v>Mendonça</v>
          </cell>
          <cell r="E3601">
            <v>5490</v>
          </cell>
        </row>
        <row r="3602">
          <cell r="D3602" t="str">
            <v>Meridiano</v>
          </cell>
          <cell r="E3602">
            <v>3836</v>
          </cell>
        </row>
        <row r="3603">
          <cell r="D3603" t="str">
            <v>Mesópolis</v>
          </cell>
          <cell r="E3603">
            <v>1908</v>
          </cell>
        </row>
        <row r="3604">
          <cell r="D3604" t="str">
            <v>Miguelópolis</v>
          </cell>
          <cell r="E3604">
            <v>22226</v>
          </cell>
        </row>
        <row r="3605">
          <cell r="D3605" t="str">
            <v>Mineiros do Tietê</v>
          </cell>
          <cell r="E3605">
            <v>12908</v>
          </cell>
        </row>
        <row r="3606">
          <cell r="D3606" t="str">
            <v>Miracatu</v>
          </cell>
          <cell r="E3606">
            <v>19779</v>
          </cell>
        </row>
        <row r="3607">
          <cell r="D3607" t="str">
            <v>Mira Estrela</v>
          </cell>
          <cell r="E3607">
            <v>3086</v>
          </cell>
        </row>
        <row r="3608">
          <cell r="D3608" t="str">
            <v>Mirandópolis</v>
          </cell>
          <cell r="E3608">
            <v>29564</v>
          </cell>
        </row>
        <row r="3609">
          <cell r="D3609" t="str">
            <v>Mirante do Paranapanema</v>
          </cell>
          <cell r="E3609">
            <v>18259</v>
          </cell>
        </row>
        <row r="3610">
          <cell r="D3610" t="str">
            <v>Mirassol</v>
          </cell>
          <cell r="E3610">
            <v>59824</v>
          </cell>
        </row>
        <row r="3611">
          <cell r="D3611" t="str">
            <v>Mirassolândia</v>
          </cell>
          <cell r="E3611">
            <v>4871</v>
          </cell>
        </row>
        <row r="3612">
          <cell r="D3612" t="str">
            <v>Mococa</v>
          </cell>
          <cell r="E3612">
            <v>68885</v>
          </cell>
        </row>
        <row r="3613">
          <cell r="D3613" t="str">
            <v>Mogi das Cruzes</v>
          </cell>
          <cell r="E3613">
            <v>445842</v>
          </cell>
        </row>
        <row r="3614">
          <cell r="D3614" t="str">
            <v>Mogi Guaçu</v>
          </cell>
          <cell r="E3614">
            <v>151888</v>
          </cell>
        </row>
        <row r="3615">
          <cell r="D3615" t="str">
            <v>Mogi Mirim</v>
          </cell>
          <cell r="E3615">
            <v>93189</v>
          </cell>
        </row>
        <row r="3616">
          <cell r="D3616" t="str">
            <v>Mombuca</v>
          </cell>
          <cell r="E3616">
            <v>3493</v>
          </cell>
        </row>
        <row r="3617">
          <cell r="D3617" t="str">
            <v>Monções</v>
          </cell>
          <cell r="E3617">
            <v>2259</v>
          </cell>
        </row>
        <row r="3618">
          <cell r="D3618" t="str">
            <v>Mongaguá</v>
          </cell>
          <cell r="E3618">
            <v>56702</v>
          </cell>
        </row>
        <row r="3619">
          <cell r="D3619" t="str">
            <v>Monte Alegre do Sul</v>
          </cell>
          <cell r="E3619">
            <v>8038</v>
          </cell>
        </row>
        <row r="3620">
          <cell r="D3620" t="str">
            <v>Monte Alto</v>
          </cell>
          <cell r="E3620">
            <v>50498</v>
          </cell>
        </row>
        <row r="3621">
          <cell r="D3621" t="str">
            <v>Monte Aprazível</v>
          </cell>
          <cell r="E3621">
            <v>25087</v>
          </cell>
        </row>
        <row r="3622">
          <cell r="D3622" t="str">
            <v>Monte Azul Paulista</v>
          </cell>
          <cell r="E3622">
            <v>19008</v>
          </cell>
        </row>
        <row r="3623">
          <cell r="D3623" t="str">
            <v>Monte Castelo</v>
          </cell>
          <cell r="E3623">
            <v>4166</v>
          </cell>
        </row>
        <row r="3624">
          <cell r="D3624" t="str">
            <v>Monteiro Lobato</v>
          </cell>
          <cell r="E3624">
            <v>4653</v>
          </cell>
        </row>
        <row r="3625">
          <cell r="D3625" t="str">
            <v>Monte Mor</v>
          </cell>
          <cell r="E3625">
            <v>59772</v>
          </cell>
        </row>
        <row r="3626">
          <cell r="D3626" t="str">
            <v>Morro Agudo</v>
          </cell>
          <cell r="E3626">
            <v>32968</v>
          </cell>
        </row>
        <row r="3627">
          <cell r="D3627" t="str">
            <v>Morungaba</v>
          </cell>
          <cell r="E3627">
            <v>13622</v>
          </cell>
        </row>
        <row r="3628">
          <cell r="D3628" t="str">
            <v>Motuca</v>
          </cell>
          <cell r="E3628">
            <v>4758</v>
          </cell>
        </row>
        <row r="3629">
          <cell r="D3629" t="str">
            <v>Murutinga do Sul</v>
          </cell>
          <cell r="E3629">
            <v>4486</v>
          </cell>
        </row>
        <row r="3630">
          <cell r="D3630" t="str">
            <v>Nantes</v>
          </cell>
          <cell r="E3630">
            <v>3141</v>
          </cell>
        </row>
        <row r="3631">
          <cell r="D3631" t="str">
            <v>Narandiba</v>
          </cell>
          <cell r="E3631">
            <v>4857</v>
          </cell>
        </row>
        <row r="3632">
          <cell r="D3632" t="str">
            <v>Natividade da Serra</v>
          </cell>
          <cell r="E3632">
            <v>6661</v>
          </cell>
        </row>
        <row r="3633">
          <cell r="D3633" t="str">
            <v>Nazaré Paulista</v>
          </cell>
          <cell r="E3633">
            <v>18524</v>
          </cell>
        </row>
        <row r="3634">
          <cell r="D3634" t="str">
            <v>Neves Paulista</v>
          </cell>
          <cell r="E3634">
            <v>8930</v>
          </cell>
        </row>
        <row r="3635">
          <cell r="D3635" t="str">
            <v>Nhandeara</v>
          </cell>
          <cell r="E3635">
            <v>11478</v>
          </cell>
        </row>
        <row r="3636">
          <cell r="D3636" t="str">
            <v>Nipoã</v>
          </cell>
          <cell r="E3636">
            <v>5213</v>
          </cell>
        </row>
        <row r="3637">
          <cell r="D3637" t="str">
            <v>Nova Aliança</v>
          </cell>
          <cell r="E3637">
            <v>6973</v>
          </cell>
        </row>
        <row r="3638">
          <cell r="D3638" t="str">
            <v>Nova Campina</v>
          </cell>
          <cell r="E3638">
            <v>9755</v>
          </cell>
        </row>
        <row r="3639">
          <cell r="D3639" t="str">
            <v>Nova Canaã Paulista</v>
          </cell>
          <cell r="E3639">
            <v>1881</v>
          </cell>
        </row>
        <row r="3640">
          <cell r="D3640" t="str">
            <v>Nova Castilho</v>
          </cell>
          <cell r="E3640">
            <v>1267</v>
          </cell>
        </row>
        <row r="3641">
          <cell r="D3641" t="str">
            <v>Nova Europa</v>
          </cell>
          <cell r="E3641">
            <v>11186</v>
          </cell>
        </row>
        <row r="3642">
          <cell r="D3642" t="str">
            <v>Nova Granada</v>
          </cell>
          <cell r="E3642">
            <v>21500</v>
          </cell>
        </row>
        <row r="3643">
          <cell r="D3643" t="str">
            <v>Nova Guataporanga</v>
          </cell>
          <cell r="E3643">
            <v>2316</v>
          </cell>
        </row>
        <row r="3644">
          <cell r="D3644" t="str">
            <v>Nova Independência</v>
          </cell>
          <cell r="E3644">
            <v>3969</v>
          </cell>
        </row>
        <row r="3645">
          <cell r="D3645" t="str">
            <v>Novais</v>
          </cell>
          <cell r="E3645">
            <v>5830</v>
          </cell>
        </row>
        <row r="3646">
          <cell r="D3646" t="str">
            <v>Nova Luzitânia</v>
          </cell>
          <cell r="E3646">
            <v>4101</v>
          </cell>
        </row>
        <row r="3647">
          <cell r="D3647" t="str">
            <v>Nova Odessa</v>
          </cell>
          <cell r="E3647">
            <v>60174</v>
          </cell>
        </row>
        <row r="3648">
          <cell r="D3648" t="str">
            <v>Novo Horizonte</v>
          </cell>
          <cell r="E3648">
            <v>41052</v>
          </cell>
        </row>
        <row r="3649">
          <cell r="D3649" t="str">
            <v>Nuporanga</v>
          </cell>
          <cell r="E3649">
            <v>7432</v>
          </cell>
        </row>
        <row r="3650">
          <cell r="D3650" t="str">
            <v>Ocauçu</v>
          </cell>
          <cell r="E3650">
            <v>4289</v>
          </cell>
        </row>
        <row r="3651">
          <cell r="D3651" t="str">
            <v>Óleo</v>
          </cell>
          <cell r="E3651">
            <v>2496</v>
          </cell>
        </row>
        <row r="3652">
          <cell r="D3652" t="str">
            <v>Olímpia</v>
          </cell>
          <cell r="E3652">
            <v>54772</v>
          </cell>
        </row>
        <row r="3653">
          <cell r="D3653" t="str">
            <v>Onda Verde</v>
          </cell>
          <cell r="E3653">
            <v>4381</v>
          </cell>
        </row>
        <row r="3654">
          <cell r="D3654" t="str">
            <v>Oriente</v>
          </cell>
          <cell r="E3654">
            <v>6515</v>
          </cell>
        </row>
        <row r="3655">
          <cell r="D3655" t="str">
            <v>Orindiúva</v>
          </cell>
          <cell r="E3655">
            <v>7066</v>
          </cell>
        </row>
        <row r="3656">
          <cell r="D3656" t="str">
            <v>Orlândia</v>
          </cell>
          <cell r="E3656">
            <v>44028</v>
          </cell>
        </row>
        <row r="3657">
          <cell r="D3657" t="str">
            <v>Osasco</v>
          </cell>
          <cell r="E3657">
            <v>698418</v>
          </cell>
        </row>
        <row r="3658">
          <cell r="D3658" t="str">
            <v>Oscar Bressane</v>
          </cell>
          <cell r="E3658">
            <v>2603</v>
          </cell>
        </row>
        <row r="3659">
          <cell r="D3659" t="str">
            <v>Osvaldo Cruz</v>
          </cell>
          <cell r="E3659">
            <v>32879</v>
          </cell>
        </row>
        <row r="3660">
          <cell r="D3660" t="str">
            <v>Ourinhos</v>
          </cell>
          <cell r="E3660">
            <v>113542</v>
          </cell>
        </row>
        <row r="3661">
          <cell r="D3661" t="str">
            <v>Ouroeste</v>
          </cell>
          <cell r="E3661">
            <v>10361</v>
          </cell>
        </row>
        <row r="3662">
          <cell r="D3662" t="str">
            <v>Ouro Verde</v>
          </cell>
          <cell r="E3662">
            <v>8562</v>
          </cell>
        </row>
        <row r="3663">
          <cell r="D3663" t="str">
            <v>Pacaembu</v>
          </cell>
          <cell r="E3663">
            <v>14197</v>
          </cell>
        </row>
        <row r="3664">
          <cell r="D3664" t="str">
            <v>Palestina</v>
          </cell>
          <cell r="E3664">
            <v>12957</v>
          </cell>
        </row>
        <row r="3665">
          <cell r="D3665" t="str">
            <v>Palmares Paulista</v>
          </cell>
          <cell r="E3665">
            <v>13275</v>
          </cell>
        </row>
        <row r="3666">
          <cell r="D3666" t="str">
            <v>Palmeira d'Oeste</v>
          </cell>
          <cell r="E3666">
            <v>9283</v>
          </cell>
        </row>
        <row r="3667">
          <cell r="D3667" t="str">
            <v>Palmital</v>
          </cell>
          <cell r="E3667">
            <v>22221</v>
          </cell>
        </row>
        <row r="3668">
          <cell r="D3668" t="str">
            <v>Panorama</v>
          </cell>
          <cell r="E3668">
            <v>15777</v>
          </cell>
        </row>
        <row r="3669">
          <cell r="D3669" t="str">
            <v>Paraguaçu Paulista</v>
          </cell>
          <cell r="E3669">
            <v>45703</v>
          </cell>
        </row>
        <row r="3670">
          <cell r="D3670" t="str">
            <v>Paraibuna</v>
          </cell>
          <cell r="E3670">
            <v>18222</v>
          </cell>
        </row>
        <row r="3671">
          <cell r="D3671" t="str">
            <v>Paraíso</v>
          </cell>
          <cell r="E3671">
            <v>6454</v>
          </cell>
        </row>
        <row r="3672">
          <cell r="D3672" t="str">
            <v>Paranapanema</v>
          </cell>
          <cell r="E3672">
            <v>20197</v>
          </cell>
        </row>
        <row r="3673">
          <cell r="D3673" t="str">
            <v>Paranapuã</v>
          </cell>
          <cell r="E3673">
            <v>4078</v>
          </cell>
        </row>
        <row r="3674">
          <cell r="D3674" t="str">
            <v>Parapuã</v>
          </cell>
          <cell r="E3674">
            <v>10964</v>
          </cell>
        </row>
        <row r="3675">
          <cell r="D3675" t="str">
            <v>Pardinho</v>
          </cell>
          <cell r="E3675">
            <v>6435</v>
          </cell>
        </row>
        <row r="3676">
          <cell r="D3676" t="str">
            <v>Pariquera-Açu</v>
          </cell>
          <cell r="E3676">
            <v>19648</v>
          </cell>
        </row>
        <row r="3677">
          <cell r="D3677" t="str">
            <v>Parisi</v>
          </cell>
          <cell r="E3677">
            <v>2161</v>
          </cell>
        </row>
        <row r="3678">
          <cell r="D3678" t="str">
            <v>Patrocínio Paulista</v>
          </cell>
          <cell r="E3678">
            <v>14670</v>
          </cell>
        </row>
        <row r="3679">
          <cell r="D3679" t="str">
            <v>Paulicéia</v>
          </cell>
          <cell r="E3679">
            <v>7366</v>
          </cell>
        </row>
        <row r="3680">
          <cell r="D3680" t="str">
            <v>Paulínia</v>
          </cell>
          <cell r="E3680">
            <v>109424</v>
          </cell>
        </row>
        <row r="3681">
          <cell r="D3681" t="str">
            <v>Paulistânia</v>
          </cell>
          <cell r="E3681">
            <v>1833</v>
          </cell>
        </row>
        <row r="3682">
          <cell r="D3682" t="str">
            <v>Paulo de Faria</v>
          </cell>
          <cell r="E3682">
            <v>8945</v>
          </cell>
        </row>
        <row r="3683">
          <cell r="D3683" t="str">
            <v>Pederneiras</v>
          </cell>
          <cell r="E3683">
            <v>46687</v>
          </cell>
        </row>
        <row r="3684">
          <cell r="D3684" t="str">
            <v>Pedra Bela</v>
          </cell>
          <cell r="E3684">
            <v>6093</v>
          </cell>
        </row>
        <row r="3685">
          <cell r="D3685" t="str">
            <v>Pedranópolis</v>
          </cell>
          <cell r="E3685">
            <v>2494</v>
          </cell>
        </row>
        <row r="3686">
          <cell r="D3686" t="str">
            <v>Pedregulho</v>
          </cell>
          <cell r="E3686">
            <v>16744</v>
          </cell>
        </row>
        <row r="3687">
          <cell r="D3687" t="str">
            <v>Pedreira</v>
          </cell>
          <cell r="E3687">
            <v>47919</v>
          </cell>
        </row>
        <row r="3688">
          <cell r="D3688" t="str">
            <v>Pedrinhas Paulista</v>
          </cell>
          <cell r="E3688">
            <v>3093</v>
          </cell>
        </row>
        <row r="3689">
          <cell r="D3689" t="str">
            <v>Pedro de Toledo</v>
          </cell>
          <cell r="E3689">
            <v>11331</v>
          </cell>
        </row>
        <row r="3690">
          <cell r="D3690" t="str">
            <v>Penápolis</v>
          </cell>
          <cell r="E3690">
            <v>63407</v>
          </cell>
        </row>
        <row r="3691">
          <cell r="D3691" t="str">
            <v>Pereira Barreto</v>
          </cell>
          <cell r="E3691">
            <v>25669</v>
          </cell>
        </row>
        <row r="3692">
          <cell r="D3692" t="str">
            <v>Pereiras</v>
          </cell>
          <cell r="E3692">
            <v>8668</v>
          </cell>
        </row>
        <row r="3693">
          <cell r="D3693" t="str">
            <v>Peruíbe</v>
          </cell>
          <cell r="E3693">
            <v>68284</v>
          </cell>
        </row>
        <row r="3694">
          <cell r="D3694" t="str">
            <v>Piacatu</v>
          </cell>
          <cell r="E3694">
            <v>5980</v>
          </cell>
        </row>
        <row r="3695">
          <cell r="D3695" t="str">
            <v>Piedade</v>
          </cell>
          <cell r="E3695">
            <v>55348</v>
          </cell>
        </row>
        <row r="3696">
          <cell r="D3696" t="str">
            <v>Pilar do Sul</v>
          </cell>
          <cell r="E3696">
            <v>29185</v>
          </cell>
        </row>
        <row r="3697">
          <cell r="D3697" t="str">
            <v>Pindamonhangaba</v>
          </cell>
          <cell r="E3697">
            <v>168328</v>
          </cell>
        </row>
        <row r="3698">
          <cell r="D3698" t="str">
            <v>Pindorama</v>
          </cell>
          <cell r="E3698">
            <v>17049</v>
          </cell>
        </row>
        <row r="3699">
          <cell r="D3699" t="str">
            <v>Pinhalzinho</v>
          </cell>
          <cell r="E3699">
            <v>15207</v>
          </cell>
        </row>
        <row r="3700">
          <cell r="D3700" t="str">
            <v>Piquerobi</v>
          </cell>
          <cell r="E3700">
            <v>3692</v>
          </cell>
        </row>
        <row r="3701">
          <cell r="D3701" t="str">
            <v>Piquete</v>
          </cell>
          <cell r="E3701">
            <v>13657</v>
          </cell>
        </row>
        <row r="3702">
          <cell r="D3702" t="str">
            <v>Piracaia</v>
          </cell>
          <cell r="E3702">
            <v>27303</v>
          </cell>
        </row>
        <row r="3703">
          <cell r="D3703" t="str">
            <v>Piracicaba</v>
          </cell>
          <cell r="E3703">
            <v>404142</v>
          </cell>
        </row>
        <row r="3704">
          <cell r="D3704" t="str">
            <v>Piraju</v>
          </cell>
          <cell r="E3704">
            <v>29806</v>
          </cell>
        </row>
        <row r="3705">
          <cell r="D3705" t="str">
            <v>Pirajuí</v>
          </cell>
          <cell r="E3705">
            <v>25492</v>
          </cell>
        </row>
        <row r="3706">
          <cell r="D3706" t="str">
            <v>Pirangi</v>
          </cell>
          <cell r="E3706">
            <v>11417</v>
          </cell>
        </row>
        <row r="3707">
          <cell r="D3707" t="str">
            <v>Pirapora do Bom Jesus</v>
          </cell>
          <cell r="E3707">
            <v>18895</v>
          </cell>
        </row>
        <row r="3708">
          <cell r="D3708" t="str">
            <v>Pirapozinho</v>
          </cell>
          <cell r="E3708">
            <v>27527</v>
          </cell>
        </row>
        <row r="3709">
          <cell r="D3709" t="str">
            <v>Pirassununga</v>
          </cell>
          <cell r="E3709">
            <v>76409</v>
          </cell>
        </row>
        <row r="3710">
          <cell r="D3710" t="str">
            <v>Piratininga</v>
          </cell>
          <cell r="E3710">
            <v>13636</v>
          </cell>
        </row>
        <row r="3711">
          <cell r="D3711" t="str">
            <v>Pitangueiras</v>
          </cell>
          <cell r="E3711">
            <v>39719</v>
          </cell>
        </row>
        <row r="3712">
          <cell r="D3712" t="str">
            <v>Planalto</v>
          </cell>
          <cell r="E3712">
            <v>5237</v>
          </cell>
        </row>
        <row r="3713">
          <cell r="D3713" t="str">
            <v>Platina</v>
          </cell>
          <cell r="E3713">
            <v>3550</v>
          </cell>
        </row>
        <row r="3714">
          <cell r="D3714" t="str">
            <v>Poá</v>
          </cell>
          <cell r="E3714">
            <v>117452</v>
          </cell>
        </row>
        <row r="3715">
          <cell r="D3715" t="str">
            <v>Poloni</v>
          </cell>
          <cell r="E3715">
            <v>6059</v>
          </cell>
        </row>
        <row r="3716">
          <cell r="D3716" t="str">
            <v>Pompéia</v>
          </cell>
          <cell r="E3716">
            <v>22014</v>
          </cell>
        </row>
        <row r="3717">
          <cell r="D3717" t="str">
            <v>Pongaí</v>
          </cell>
          <cell r="E3717">
            <v>3416</v>
          </cell>
        </row>
        <row r="3718">
          <cell r="D3718" t="str">
            <v>Pontal</v>
          </cell>
          <cell r="E3718">
            <v>49961</v>
          </cell>
        </row>
        <row r="3719">
          <cell r="D3719" t="str">
            <v>Pontalinda</v>
          </cell>
          <cell r="E3719">
            <v>4628</v>
          </cell>
        </row>
        <row r="3720">
          <cell r="D3720" t="str">
            <v>Pontes Gestal</v>
          </cell>
          <cell r="E3720">
            <v>2577</v>
          </cell>
        </row>
        <row r="3721">
          <cell r="D3721" t="str">
            <v>Populina</v>
          </cell>
          <cell r="E3721">
            <v>4169</v>
          </cell>
        </row>
        <row r="3722">
          <cell r="D3722" t="str">
            <v>Porangaba</v>
          </cell>
          <cell r="E3722">
            <v>9925</v>
          </cell>
        </row>
        <row r="3723">
          <cell r="D3723" t="str">
            <v>Porto Feliz</v>
          </cell>
          <cell r="E3723">
            <v>53098</v>
          </cell>
        </row>
        <row r="3724">
          <cell r="D3724" t="str">
            <v>Porto Ferreira</v>
          </cell>
          <cell r="E3724">
            <v>56150</v>
          </cell>
        </row>
        <row r="3725">
          <cell r="D3725" t="str">
            <v>Potim</v>
          </cell>
          <cell r="E3725">
            <v>24643</v>
          </cell>
        </row>
        <row r="3726">
          <cell r="D3726" t="str">
            <v>Potirendaba</v>
          </cell>
          <cell r="E3726">
            <v>17361</v>
          </cell>
        </row>
        <row r="3727">
          <cell r="D3727" t="str">
            <v>Pracinha</v>
          </cell>
          <cell r="E3727">
            <v>4093</v>
          </cell>
        </row>
        <row r="3728">
          <cell r="D3728" t="str">
            <v>Pradópolis</v>
          </cell>
          <cell r="E3728">
            <v>21496</v>
          </cell>
        </row>
        <row r="3729">
          <cell r="D3729" t="str">
            <v>Praia Grande</v>
          </cell>
          <cell r="E3729">
            <v>325073</v>
          </cell>
        </row>
        <row r="3730">
          <cell r="D3730" t="str">
            <v>Pratânia</v>
          </cell>
          <cell r="E3730">
            <v>5261</v>
          </cell>
        </row>
        <row r="3731">
          <cell r="D3731" t="str">
            <v>Presidente Alves</v>
          </cell>
          <cell r="E3731">
            <v>4094</v>
          </cell>
        </row>
        <row r="3732">
          <cell r="D3732" t="str">
            <v>Presidente Bernardes</v>
          </cell>
          <cell r="E3732">
            <v>13106</v>
          </cell>
        </row>
        <row r="3733">
          <cell r="D3733" t="str">
            <v>Presidente Epitácio</v>
          </cell>
          <cell r="E3733">
            <v>44200</v>
          </cell>
        </row>
        <row r="3734">
          <cell r="D3734" t="str">
            <v>Presidente Prudente</v>
          </cell>
          <cell r="E3734">
            <v>228743</v>
          </cell>
        </row>
        <row r="3735">
          <cell r="D3735" t="str">
            <v>Presidente Venceslau</v>
          </cell>
          <cell r="E3735">
            <v>39516</v>
          </cell>
        </row>
        <row r="3736">
          <cell r="D3736" t="str">
            <v>Promissão</v>
          </cell>
          <cell r="E3736">
            <v>40432</v>
          </cell>
        </row>
        <row r="3737">
          <cell r="D3737" t="str">
            <v>Quadra</v>
          </cell>
          <cell r="E3737">
            <v>3804</v>
          </cell>
        </row>
        <row r="3738">
          <cell r="D3738" t="str">
            <v>Quatá</v>
          </cell>
          <cell r="E3738">
            <v>14109</v>
          </cell>
        </row>
        <row r="3739">
          <cell r="D3739" t="str">
            <v>Queiroz</v>
          </cell>
          <cell r="E3739">
            <v>3406</v>
          </cell>
        </row>
        <row r="3740">
          <cell r="D3740" t="str">
            <v>Queluz</v>
          </cell>
          <cell r="E3740">
            <v>13420</v>
          </cell>
        </row>
        <row r="3741">
          <cell r="D3741" t="str">
            <v>Quintana</v>
          </cell>
          <cell r="E3741">
            <v>6638</v>
          </cell>
        </row>
        <row r="3742">
          <cell r="D3742" t="str">
            <v>Rafard</v>
          </cell>
          <cell r="E3742">
            <v>9076</v>
          </cell>
        </row>
        <row r="3743">
          <cell r="D3743" t="str">
            <v>Rancharia</v>
          </cell>
          <cell r="E3743">
            <v>29707</v>
          </cell>
        </row>
        <row r="3744">
          <cell r="D3744" t="str">
            <v>Redenção da Serra</v>
          </cell>
          <cell r="E3744">
            <v>3851</v>
          </cell>
        </row>
        <row r="3745">
          <cell r="D3745" t="str">
            <v>Regente Feijó</v>
          </cell>
          <cell r="E3745">
            <v>20261</v>
          </cell>
        </row>
        <row r="3746">
          <cell r="D3746" t="str">
            <v>Reginópolis</v>
          </cell>
          <cell r="E3746">
            <v>9621</v>
          </cell>
        </row>
        <row r="3747">
          <cell r="D3747" t="str">
            <v>Registro</v>
          </cell>
          <cell r="E3747">
            <v>56322</v>
          </cell>
        </row>
        <row r="3748">
          <cell r="D3748" t="str">
            <v>Restinga</v>
          </cell>
          <cell r="E3748">
            <v>7593</v>
          </cell>
        </row>
        <row r="3749">
          <cell r="D3749" t="str">
            <v>Ribeira</v>
          </cell>
          <cell r="E3749">
            <v>3340</v>
          </cell>
        </row>
        <row r="3750">
          <cell r="D3750" t="str">
            <v>Ribeirão Bonito</v>
          </cell>
          <cell r="E3750">
            <v>13219</v>
          </cell>
        </row>
        <row r="3751">
          <cell r="D3751" t="str">
            <v>Ribeirão Branco</v>
          </cell>
          <cell r="E3751">
            <v>16444</v>
          </cell>
        </row>
        <row r="3752">
          <cell r="D3752" t="str">
            <v>Ribeirão Corrente</v>
          </cell>
          <cell r="E3752">
            <v>4718</v>
          </cell>
        </row>
        <row r="3753">
          <cell r="D3753" t="str">
            <v>Ribeirão do Sul</v>
          </cell>
          <cell r="E3753">
            <v>4541</v>
          </cell>
        </row>
        <row r="3754">
          <cell r="D3754" t="str">
            <v>Ribeirão dos Índios</v>
          </cell>
          <cell r="E3754">
            <v>2225</v>
          </cell>
        </row>
        <row r="3755">
          <cell r="D3755" t="str">
            <v>Ribeirão Grande</v>
          </cell>
          <cell r="E3755">
            <v>7673</v>
          </cell>
        </row>
        <row r="3756">
          <cell r="D3756" t="str">
            <v>Ribeirão Pires</v>
          </cell>
          <cell r="E3756">
            <v>123393</v>
          </cell>
        </row>
        <row r="3757">
          <cell r="D3757" t="str">
            <v>Ribeirão Preto</v>
          </cell>
          <cell r="E3757">
            <v>703293</v>
          </cell>
        </row>
        <row r="3758">
          <cell r="D3758" t="str">
            <v>Riversul</v>
          </cell>
          <cell r="E3758">
            <v>5524</v>
          </cell>
        </row>
        <row r="3759">
          <cell r="D3759" t="str">
            <v>Rifaina</v>
          </cell>
          <cell r="E3759">
            <v>3629</v>
          </cell>
        </row>
        <row r="3760">
          <cell r="D3760" t="str">
            <v>Rincão</v>
          </cell>
          <cell r="E3760">
            <v>10799</v>
          </cell>
        </row>
        <row r="3761">
          <cell r="D3761" t="str">
            <v>Rinópolis</v>
          </cell>
          <cell r="E3761">
            <v>9981</v>
          </cell>
        </row>
        <row r="3762">
          <cell r="D3762" t="str">
            <v>Rio Claro</v>
          </cell>
          <cell r="E3762">
            <v>206424</v>
          </cell>
        </row>
        <row r="3763">
          <cell r="D3763" t="str">
            <v>Rio das Pedras</v>
          </cell>
          <cell r="E3763">
            <v>35228</v>
          </cell>
        </row>
        <row r="3764">
          <cell r="D3764" t="str">
            <v>Rio Grande da Serra</v>
          </cell>
          <cell r="E3764">
            <v>50846</v>
          </cell>
        </row>
        <row r="3765">
          <cell r="D3765" t="str">
            <v>Riolândia</v>
          </cell>
          <cell r="E3765">
            <v>12518</v>
          </cell>
        </row>
        <row r="3766">
          <cell r="D3766" t="str">
            <v>Rosana</v>
          </cell>
          <cell r="E3766">
            <v>16643</v>
          </cell>
        </row>
        <row r="3767">
          <cell r="D3767" t="str">
            <v>Roseira</v>
          </cell>
          <cell r="E3767">
            <v>10712</v>
          </cell>
        </row>
        <row r="3768">
          <cell r="D3768" t="str">
            <v>Rubiácea</v>
          </cell>
          <cell r="E3768">
            <v>3128</v>
          </cell>
        </row>
        <row r="3769">
          <cell r="D3769" t="str">
            <v>Rubinéia</v>
          </cell>
          <cell r="E3769">
            <v>3148</v>
          </cell>
        </row>
        <row r="3770">
          <cell r="D3770" t="str">
            <v>Sabino</v>
          </cell>
          <cell r="E3770">
            <v>5590</v>
          </cell>
        </row>
        <row r="3771">
          <cell r="D3771" t="str">
            <v>Sagres</v>
          </cell>
          <cell r="E3771">
            <v>2432</v>
          </cell>
        </row>
        <row r="3772">
          <cell r="D3772" t="str">
            <v>Sales</v>
          </cell>
          <cell r="E3772">
            <v>6331</v>
          </cell>
        </row>
        <row r="3773">
          <cell r="D3773" t="str">
            <v>Sales Oliveira</v>
          </cell>
          <cell r="E3773">
            <v>11890</v>
          </cell>
        </row>
        <row r="3774">
          <cell r="D3774" t="str">
            <v>Salesópolis</v>
          </cell>
          <cell r="E3774">
            <v>17139</v>
          </cell>
        </row>
        <row r="3775">
          <cell r="D3775" t="str">
            <v>Salmourão</v>
          </cell>
          <cell r="E3775">
            <v>5300</v>
          </cell>
        </row>
        <row r="3776">
          <cell r="D3776" t="str">
            <v>Saltinho</v>
          </cell>
          <cell r="E3776">
            <v>8286</v>
          </cell>
        </row>
        <row r="3777">
          <cell r="D3777" t="str">
            <v>Salto</v>
          </cell>
          <cell r="E3777">
            <v>118663</v>
          </cell>
        </row>
        <row r="3778">
          <cell r="D3778" t="str">
            <v>Salto de Pirapora</v>
          </cell>
          <cell r="E3778">
            <v>45422</v>
          </cell>
        </row>
        <row r="3779">
          <cell r="D3779" t="str">
            <v>Salto Grande</v>
          </cell>
          <cell r="E3779">
            <v>9331</v>
          </cell>
        </row>
        <row r="3780">
          <cell r="D3780" t="str">
            <v>Sandovalina</v>
          </cell>
          <cell r="E3780">
            <v>4302</v>
          </cell>
        </row>
        <row r="3781">
          <cell r="D3781" t="str">
            <v>Santa Adélia</v>
          </cell>
          <cell r="E3781">
            <v>15480</v>
          </cell>
        </row>
        <row r="3782">
          <cell r="D3782" t="str">
            <v>Santa Albertina</v>
          </cell>
          <cell r="E3782">
            <v>6008</v>
          </cell>
        </row>
        <row r="3783">
          <cell r="D3783" t="str">
            <v>Santa Bárbara d'Oeste</v>
          </cell>
          <cell r="E3783">
            <v>193475</v>
          </cell>
        </row>
        <row r="3784">
          <cell r="D3784" t="str">
            <v>Santa Branca</v>
          </cell>
          <cell r="E3784">
            <v>14788</v>
          </cell>
        </row>
        <row r="3785">
          <cell r="D3785" t="str">
            <v>Santa Clara d'Oeste</v>
          </cell>
          <cell r="E3785">
            <v>2115</v>
          </cell>
        </row>
        <row r="3786">
          <cell r="D3786" t="str">
            <v>Santa Cruz da Conceição</v>
          </cell>
          <cell r="E3786">
            <v>4503</v>
          </cell>
        </row>
        <row r="3787">
          <cell r="D3787" t="str">
            <v>Santa Cruz da Esperança</v>
          </cell>
          <cell r="E3787">
            <v>2139</v>
          </cell>
        </row>
        <row r="3788">
          <cell r="D3788" t="str">
            <v>Santa Cruz das Palmeiras</v>
          </cell>
          <cell r="E3788">
            <v>34361</v>
          </cell>
        </row>
        <row r="3789">
          <cell r="D3789" t="str">
            <v>Santa Cruz do Rio Pardo</v>
          </cell>
          <cell r="E3789">
            <v>47673</v>
          </cell>
        </row>
        <row r="3790">
          <cell r="D3790" t="str">
            <v>Santa Ernestina</v>
          </cell>
          <cell r="E3790">
            <v>5599</v>
          </cell>
        </row>
        <row r="3791">
          <cell r="D3791" t="str">
            <v>Santa Fé do Sul</v>
          </cell>
          <cell r="E3791">
            <v>32322</v>
          </cell>
        </row>
        <row r="3792">
          <cell r="D3792" t="str">
            <v>Santa Gertrudes</v>
          </cell>
          <cell r="E3792">
            <v>26898</v>
          </cell>
        </row>
        <row r="3793">
          <cell r="D3793" t="str">
            <v>Santa Isabel</v>
          </cell>
          <cell r="E3793">
            <v>57386</v>
          </cell>
        </row>
        <row r="3794">
          <cell r="D3794" t="str">
            <v>Santa Lúcia</v>
          </cell>
          <cell r="E3794">
            <v>8817</v>
          </cell>
        </row>
        <row r="3795">
          <cell r="D3795" t="str">
            <v>Santa Maria da Serra</v>
          </cell>
          <cell r="E3795">
            <v>6173</v>
          </cell>
        </row>
        <row r="3796">
          <cell r="D3796" t="str">
            <v>Santa Mercedes</v>
          </cell>
          <cell r="E3796">
            <v>2939</v>
          </cell>
        </row>
        <row r="3797">
          <cell r="D3797" t="str">
            <v>Santana da Ponte Pensa</v>
          </cell>
          <cell r="E3797">
            <v>1487</v>
          </cell>
        </row>
        <row r="3798">
          <cell r="D3798" t="str">
            <v>Santana de Parnaíba</v>
          </cell>
          <cell r="E3798">
            <v>139447</v>
          </cell>
        </row>
        <row r="3799">
          <cell r="D3799" t="str">
            <v>Santa Rita d'Oeste</v>
          </cell>
          <cell r="E3799">
            <v>2498</v>
          </cell>
        </row>
        <row r="3800">
          <cell r="D3800" t="str">
            <v>Santa Rita do Passa Quatro</v>
          </cell>
          <cell r="E3800">
            <v>27557</v>
          </cell>
        </row>
        <row r="3801">
          <cell r="D3801" t="str">
            <v>Santa Rosa de Viterbo</v>
          </cell>
          <cell r="E3801">
            <v>26540</v>
          </cell>
        </row>
        <row r="3802">
          <cell r="D3802" t="str">
            <v>Santa Salete</v>
          </cell>
          <cell r="E3802">
            <v>1545</v>
          </cell>
        </row>
        <row r="3803">
          <cell r="D3803" t="str">
            <v>Santo Anastácio</v>
          </cell>
          <cell r="E3803">
            <v>20878</v>
          </cell>
        </row>
        <row r="3804">
          <cell r="D3804" t="str">
            <v>Santo André</v>
          </cell>
          <cell r="E3804">
            <v>718773</v>
          </cell>
        </row>
        <row r="3805">
          <cell r="D3805" t="str">
            <v>Santo Antônio da Alegria</v>
          </cell>
          <cell r="E3805">
            <v>6929</v>
          </cell>
        </row>
        <row r="3806">
          <cell r="D3806" t="str">
            <v>Santo Antônio de Posse</v>
          </cell>
          <cell r="E3806">
            <v>23310</v>
          </cell>
        </row>
        <row r="3807">
          <cell r="D3807" t="str">
            <v>Santo Antônio do Aracanguá</v>
          </cell>
          <cell r="E3807">
            <v>8420</v>
          </cell>
        </row>
        <row r="3808">
          <cell r="D3808" t="str">
            <v>Santo Antônio do Jardim</v>
          </cell>
          <cell r="E3808">
            <v>5954</v>
          </cell>
        </row>
        <row r="3809">
          <cell r="D3809" t="str">
            <v>Santo Antônio do Pinhal</v>
          </cell>
          <cell r="E3809">
            <v>6811</v>
          </cell>
        </row>
        <row r="3810">
          <cell r="D3810" t="str">
            <v>Santo Expedito</v>
          </cell>
          <cell r="E3810">
            <v>3111</v>
          </cell>
        </row>
        <row r="3811">
          <cell r="D3811" t="str">
            <v>Santópolis do Aguapeí</v>
          </cell>
          <cell r="E3811">
            <v>4777</v>
          </cell>
        </row>
        <row r="3812">
          <cell r="D3812" t="str">
            <v>Santos</v>
          </cell>
          <cell r="E3812">
            <v>433311</v>
          </cell>
        </row>
        <row r="3813">
          <cell r="D3813" t="str">
            <v>São Bento do Sapucaí</v>
          </cell>
          <cell r="E3813">
            <v>10878</v>
          </cell>
        </row>
        <row r="3814">
          <cell r="D3814" t="str">
            <v>São Bernardo do Campo</v>
          </cell>
          <cell r="E3814">
            <v>838936</v>
          </cell>
        </row>
        <row r="3815">
          <cell r="D3815" t="str">
            <v>São Caetano do Sul</v>
          </cell>
          <cell r="E3815">
            <v>161127</v>
          </cell>
        </row>
        <row r="3816">
          <cell r="D3816" t="str">
            <v>São Carlos</v>
          </cell>
          <cell r="E3816">
            <v>251983</v>
          </cell>
        </row>
        <row r="3817">
          <cell r="D3817" t="str">
            <v>São Francisco</v>
          </cell>
          <cell r="E3817">
            <v>2821</v>
          </cell>
        </row>
        <row r="3818">
          <cell r="D3818" t="str">
            <v>São João da Boa Vista</v>
          </cell>
          <cell r="E3818">
            <v>91211</v>
          </cell>
        </row>
        <row r="3819">
          <cell r="D3819" t="str">
            <v>São João das Duas Pontes</v>
          </cell>
          <cell r="E3819">
            <v>2568</v>
          </cell>
        </row>
        <row r="3820">
          <cell r="D3820" t="str">
            <v>São João de Iracema</v>
          </cell>
          <cell r="E3820">
            <v>1922</v>
          </cell>
        </row>
        <row r="3821">
          <cell r="D3821" t="str">
            <v>São João do Pau d'Alho</v>
          </cell>
          <cell r="E3821">
            <v>2105</v>
          </cell>
        </row>
        <row r="3822">
          <cell r="D3822" t="str">
            <v>São Joaquim da Barra</v>
          </cell>
          <cell r="E3822">
            <v>51888</v>
          </cell>
        </row>
        <row r="3823">
          <cell r="D3823" t="str">
            <v>São José da Bela Vista</v>
          </cell>
          <cell r="E3823">
            <v>8928</v>
          </cell>
        </row>
        <row r="3824">
          <cell r="D3824" t="str">
            <v>São José do Barreiro</v>
          </cell>
          <cell r="E3824">
            <v>4147</v>
          </cell>
        </row>
        <row r="3825">
          <cell r="D3825" t="str">
            <v>São José do Rio Pardo</v>
          </cell>
          <cell r="E3825">
            <v>54946</v>
          </cell>
        </row>
        <row r="3826">
          <cell r="D3826" t="str">
            <v>São José do Rio Preto</v>
          </cell>
          <cell r="E3826">
            <v>460671</v>
          </cell>
        </row>
        <row r="3827">
          <cell r="D3827" t="str">
            <v>São José dos Campos</v>
          </cell>
          <cell r="E3827">
            <v>721944</v>
          </cell>
        </row>
        <row r="3828">
          <cell r="D3828" t="str">
            <v>São Lourenço da Serra</v>
          </cell>
          <cell r="E3828">
            <v>15825</v>
          </cell>
        </row>
        <row r="3829">
          <cell r="D3829" t="str">
            <v>São Luís do Paraitinga</v>
          </cell>
          <cell r="E3829">
            <v>10687</v>
          </cell>
        </row>
        <row r="3830">
          <cell r="D3830" t="str">
            <v>São Manuel</v>
          </cell>
          <cell r="E3830">
            <v>40954</v>
          </cell>
        </row>
        <row r="3831">
          <cell r="D3831" t="str">
            <v>São Miguel Arcanjo</v>
          </cell>
          <cell r="E3831">
            <v>32931</v>
          </cell>
        </row>
        <row r="3832">
          <cell r="D3832" t="str">
            <v>São Paulo</v>
          </cell>
          <cell r="E3832">
            <v>12252023</v>
          </cell>
        </row>
        <row r="3833">
          <cell r="D3833" t="str">
            <v>São Pedro</v>
          </cell>
          <cell r="E3833">
            <v>35653</v>
          </cell>
        </row>
        <row r="3834">
          <cell r="D3834" t="str">
            <v>São Pedro do Turvo</v>
          </cell>
          <cell r="E3834">
            <v>7666</v>
          </cell>
        </row>
        <row r="3835">
          <cell r="D3835" t="str">
            <v>São Roque</v>
          </cell>
          <cell r="E3835">
            <v>91016</v>
          </cell>
        </row>
        <row r="3836">
          <cell r="D3836" t="str">
            <v>São Sebastião</v>
          </cell>
          <cell r="E3836">
            <v>88980</v>
          </cell>
        </row>
        <row r="3837">
          <cell r="D3837" t="str">
            <v>São Sebastião da Grama</v>
          </cell>
          <cell r="E3837">
            <v>12182</v>
          </cell>
        </row>
        <row r="3838">
          <cell r="D3838" t="str">
            <v>São Simão</v>
          </cell>
          <cell r="E3838">
            <v>15322</v>
          </cell>
        </row>
        <row r="3839">
          <cell r="D3839" t="str">
            <v>São Vicente</v>
          </cell>
          <cell r="E3839">
            <v>365798</v>
          </cell>
        </row>
        <row r="3840">
          <cell r="D3840" t="str">
            <v>Sarapuí</v>
          </cell>
          <cell r="E3840">
            <v>10285</v>
          </cell>
        </row>
        <row r="3841">
          <cell r="D3841" t="str">
            <v>Sarutaiá</v>
          </cell>
          <cell r="E3841">
            <v>3638</v>
          </cell>
        </row>
        <row r="3842">
          <cell r="D3842" t="str">
            <v>Sebastianópolis do Sul</v>
          </cell>
          <cell r="E3842">
            <v>3513</v>
          </cell>
        </row>
        <row r="3843">
          <cell r="D3843" t="str">
            <v>Serra Azul</v>
          </cell>
          <cell r="E3843">
            <v>14662</v>
          </cell>
        </row>
        <row r="3844">
          <cell r="D3844" t="str">
            <v>Serrana</v>
          </cell>
          <cell r="E3844">
            <v>45107</v>
          </cell>
        </row>
        <row r="3845">
          <cell r="D3845" t="str">
            <v>Serra Negra</v>
          </cell>
          <cell r="E3845">
            <v>29229</v>
          </cell>
        </row>
        <row r="3846">
          <cell r="D3846" t="str">
            <v>Sertãozinho</v>
          </cell>
          <cell r="E3846">
            <v>125815</v>
          </cell>
        </row>
        <row r="3847">
          <cell r="D3847" t="str">
            <v>Sete Barras</v>
          </cell>
          <cell r="E3847">
            <v>12832</v>
          </cell>
        </row>
        <row r="3848">
          <cell r="D3848" t="str">
            <v>Severínia</v>
          </cell>
          <cell r="E3848">
            <v>17496</v>
          </cell>
        </row>
        <row r="3849">
          <cell r="D3849" t="str">
            <v>Silveiras</v>
          </cell>
          <cell r="E3849">
            <v>6302</v>
          </cell>
        </row>
        <row r="3850">
          <cell r="D3850" t="str">
            <v>Socorro</v>
          </cell>
          <cell r="E3850">
            <v>41005</v>
          </cell>
        </row>
        <row r="3851">
          <cell r="D3851" t="str">
            <v>Sorocaba</v>
          </cell>
          <cell r="E3851">
            <v>679378</v>
          </cell>
        </row>
        <row r="3852">
          <cell r="D3852" t="str">
            <v>Sud Mennucci</v>
          </cell>
          <cell r="E3852">
            <v>7718</v>
          </cell>
        </row>
        <row r="3853">
          <cell r="D3853" t="str">
            <v>Sumaré</v>
          </cell>
          <cell r="E3853">
            <v>282441</v>
          </cell>
        </row>
        <row r="3854">
          <cell r="D3854" t="str">
            <v>Suzano</v>
          </cell>
          <cell r="E3854">
            <v>297637</v>
          </cell>
        </row>
        <row r="3855">
          <cell r="D3855" t="str">
            <v>Suzanápolis</v>
          </cell>
          <cell r="E3855">
            <v>3963</v>
          </cell>
        </row>
        <row r="3856">
          <cell r="D3856" t="str">
            <v>Tabapuã</v>
          </cell>
          <cell r="E3856">
            <v>12407</v>
          </cell>
        </row>
        <row r="3857">
          <cell r="D3857" t="str">
            <v>Tabatinga</v>
          </cell>
          <cell r="E3857">
            <v>16496</v>
          </cell>
        </row>
        <row r="3858">
          <cell r="D3858" t="str">
            <v>Taboão da Serra</v>
          </cell>
          <cell r="E3858">
            <v>289664</v>
          </cell>
        </row>
        <row r="3859">
          <cell r="D3859" t="str">
            <v>Taciba</v>
          </cell>
          <cell r="E3859">
            <v>6285</v>
          </cell>
        </row>
        <row r="3860">
          <cell r="D3860" t="str">
            <v>Taguaí</v>
          </cell>
          <cell r="E3860">
            <v>13859</v>
          </cell>
        </row>
        <row r="3861">
          <cell r="D3861" t="str">
            <v>Taiaçu</v>
          </cell>
          <cell r="E3861">
            <v>6295</v>
          </cell>
        </row>
        <row r="3862">
          <cell r="D3862" t="str">
            <v>Taiúva</v>
          </cell>
          <cell r="E3862">
            <v>5566</v>
          </cell>
        </row>
        <row r="3863">
          <cell r="D3863" t="str">
            <v>Tambaú</v>
          </cell>
          <cell r="E3863">
            <v>23207</v>
          </cell>
        </row>
        <row r="3864">
          <cell r="D3864" t="str">
            <v>Tanabi</v>
          </cell>
          <cell r="E3864">
            <v>25967</v>
          </cell>
        </row>
        <row r="3865">
          <cell r="D3865" t="str">
            <v>Tapiraí</v>
          </cell>
          <cell r="E3865">
            <v>7807</v>
          </cell>
        </row>
        <row r="3866">
          <cell r="D3866" t="str">
            <v>Tapiratiba</v>
          </cell>
          <cell r="E3866">
            <v>12960</v>
          </cell>
        </row>
        <row r="3867">
          <cell r="D3867" t="str">
            <v>Taquaral</v>
          </cell>
          <cell r="E3867">
            <v>2811</v>
          </cell>
        </row>
        <row r="3868">
          <cell r="D3868" t="str">
            <v>Taquaritinga</v>
          </cell>
          <cell r="E3868">
            <v>57177</v>
          </cell>
        </row>
        <row r="3869">
          <cell r="D3869" t="str">
            <v>Taquarituba</v>
          </cell>
          <cell r="E3869">
            <v>23218</v>
          </cell>
        </row>
        <row r="3870">
          <cell r="D3870" t="str">
            <v>Taquarivaí</v>
          </cell>
          <cell r="E3870">
            <v>5852</v>
          </cell>
        </row>
        <row r="3871">
          <cell r="D3871" t="str">
            <v>Tarabai</v>
          </cell>
          <cell r="E3871">
            <v>7468</v>
          </cell>
        </row>
        <row r="3872">
          <cell r="D3872" t="str">
            <v>Tarumã</v>
          </cell>
          <cell r="E3872">
            <v>15000</v>
          </cell>
        </row>
        <row r="3873">
          <cell r="D3873" t="str">
            <v>Tatuí</v>
          </cell>
          <cell r="E3873">
            <v>121766</v>
          </cell>
        </row>
        <row r="3874">
          <cell r="D3874" t="str">
            <v>Taubaté</v>
          </cell>
          <cell r="E3874">
            <v>314924</v>
          </cell>
        </row>
        <row r="3875">
          <cell r="D3875" t="str">
            <v>Tejupá</v>
          </cell>
          <cell r="E3875">
            <v>4532</v>
          </cell>
        </row>
        <row r="3876">
          <cell r="D3876" t="str">
            <v>Teodoro Sampaio</v>
          </cell>
          <cell r="E3876">
            <v>23148</v>
          </cell>
        </row>
        <row r="3877">
          <cell r="D3877" t="str">
            <v>Terra Roxa</v>
          </cell>
          <cell r="E3877">
            <v>9370</v>
          </cell>
        </row>
        <row r="3878">
          <cell r="D3878" t="str">
            <v>Tietê</v>
          </cell>
          <cell r="E3878">
            <v>42076</v>
          </cell>
        </row>
        <row r="3879">
          <cell r="D3879" t="str">
            <v>Timburi</v>
          </cell>
          <cell r="E3879">
            <v>2658</v>
          </cell>
        </row>
        <row r="3880">
          <cell r="D3880" t="str">
            <v>Torre de Pedra</v>
          </cell>
          <cell r="E3880">
            <v>2412</v>
          </cell>
        </row>
        <row r="3881">
          <cell r="D3881" t="str">
            <v>Torrinha</v>
          </cell>
          <cell r="E3881">
            <v>10010</v>
          </cell>
        </row>
        <row r="3882">
          <cell r="D3882" t="str">
            <v>Trabiju</v>
          </cell>
          <cell r="E3882">
            <v>1724</v>
          </cell>
        </row>
        <row r="3883">
          <cell r="D3883" t="str">
            <v>Tremembé</v>
          </cell>
          <cell r="E3883">
            <v>47185</v>
          </cell>
        </row>
        <row r="3884">
          <cell r="D3884" t="str">
            <v>Três Fronteiras</v>
          </cell>
          <cell r="E3884">
            <v>5807</v>
          </cell>
        </row>
        <row r="3885">
          <cell r="D3885" t="str">
            <v>Tuiuti</v>
          </cell>
          <cell r="E3885">
            <v>6894</v>
          </cell>
        </row>
        <row r="3886">
          <cell r="D3886" t="str">
            <v>Tupã</v>
          </cell>
          <cell r="E3886">
            <v>65524</v>
          </cell>
        </row>
        <row r="3887">
          <cell r="D3887" t="str">
            <v>Tupi Paulista</v>
          </cell>
          <cell r="E3887">
            <v>15495</v>
          </cell>
        </row>
        <row r="3888">
          <cell r="D3888" t="str">
            <v>Turiúba</v>
          </cell>
          <cell r="E3888">
            <v>2016</v>
          </cell>
        </row>
        <row r="3889">
          <cell r="D3889" t="str">
            <v>Turmalina</v>
          </cell>
          <cell r="E3889">
            <v>1727</v>
          </cell>
        </row>
        <row r="3890">
          <cell r="D3890" t="str">
            <v>Ubarana</v>
          </cell>
          <cell r="E3890">
            <v>6309</v>
          </cell>
        </row>
        <row r="3891">
          <cell r="D3891" t="str">
            <v>Ubatuba</v>
          </cell>
          <cell r="E3891">
            <v>90799</v>
          </cell>
        </row>
        <row r="3892">
          <cell r="D3892" t="str">
            <v>Ubirajara</v>
          </cell>
          <cell r="E3892">
            <v>4780</v>
          </cell>
        </row>
        <row r="3893">
          <cell r="D3893" t="str">
            <v>Uchoa</v>
          </cell>
          <cell r="E3893">
            <v>10110</v>
          </cell>
        </row>
        <row r="3894">
          <cell r="D3894" t="str">
            <v>União Paulista</v>
          </cell>
          <cell r="E3894">
            <v>1844</v>
          </cell>
        </row>
        <row r="3895">
          <cell r="D3895" t="str">
            <v>Urânia</v>
          </cell>
          <cell r="E3895">
            <v>9114</v>
          </cell>
        </row>
        <row r="3896">
          <cell r="D3896" t="str">
            <v>Uru</v>
          </cell>
          <cell r="E3896">
            <v>1165</v>
          </cell>
        </row>
        <row r="3897">
          <cell r="D3897" t="str">
            <v>Urupês</v>
          </cell>
          <cell r="E3897">
            <v>13809</v>
          </cell>
        </row>
        <row r="3898">
          <cell r="D3898" t="str">
            <v>Valentim Gentil</v>
          </cell>
          <cell r="E3898">
            <v>13326</v>
          </cell>
        </row>
        <row r="3899">
          <cell r="D3899" t="str">
            <v>Valinhos</v>
          </cell>
          <cell r="E3899">
            <v>129193</v>
          </cell>
        </row>
        <row r="3900">
          <cell r="D3900" t="str">
            <v>Valparaíso</v>
          </cell>
          <cell r="E3900">
            <v>26480</v>
          </cell>
        </row>
        <row r="3901">
          <cell r="D3901" t="str">
            <v>Vargem</v>
          </cell>
          <cell r="E3901">
            <v>10537</v>
          </cell>
        </row>
        <row r="3902">
          <cell r="D3902" t="str">
            <v>Vargem Grande do Sul</v>
          </cell>
          <cell r="E3902">
            <v>42845</v>
          </cell>
        </row>
        <row r="3903">
          <cell r="D3903" t="str">
            <v>Vargem Grande Paulista</v>
          </cell>
          <cell r="E3903">
            <v>52597</v>
          </cell>
        </row>
        <row r="3904">
          <cell r="D3904" t="str">
            <v>Várzea Paulista</v>
          </cell>
          <cell r="E3904">
            <v>121838</v>
          </cell>
        </row>
        <row r="3905">
          <cell r="D3905" t="str">
            <v>Vera Cruz</v>
          </cell>
          <cell r="E3905">
            <v>10843</v>
          </cell>
        </row>
        <row r="3906">
          <cell r="D3906" t="str">
            <v>Vinhedo</v>
          </cell>
          <cell r="E3906">
            <v>78728</v>
          </cell>
        </row>
        <row r="3907">
          <cell r="D3907" t="str">
            <v>Viradouro</v>
          </cell>
          <cell r="E3907">
            <v>18898</v>
          </cell>
        </row>
        <row r="3908">
          <cell r="D3908" t="str">
            <v>Vista Alegre do Alto</v>
          </cell>
          <cell r="E3908">
            <v>8810</v>
          </cell>
        </row>
        <row r="3909">
          <cell r="D3909" t="str">
            <v>Vitória Brasil</v>
          </cell>
          <cell r="E3909">
            <v>1840</v>
          </cell>
        </row>
        <row r="3910">
          <cell r="D3910" t="str">
            <v>Votorantim</v>
          </cell>
          <cell r="E3910">
            <v>122480</v>
          </cell>
        </row>
        <row r="3911">
          <cell r="D3911" t="str">
            <v>Votuporanga</v>
          </cell>
          <cell r="E3911">
            <v>94547</v>
          </cell>
        </row>
        <row r="3912">
          <cell r="D3912" t="str">
            <v>Zacarias</v>
          </cell>
          <cell r="E3912">
            <v>2718</v>
          </cell>
        </row>
        <row r="3913">
          <cell r="D3913" t="str">
            <v>Chavantes</v>
          </cell>
          <cell r="E3913">
            <v>12418</v>
          </cell>
        </row>
        <row r="3914">
          <cell r="D3914" t="str">
            <v>Estiva Gerbi</v>
          </cell>
          <cell r="E3914">
            <v>11304</v>
          </cell>
        </row>
        <row r="3915">
          <cell r="D3915" t="str">
            <v>Abatiá</v>
          </cell>
          <cell r="E3915">
            <v>7457</v>
          </cell>
        </row>
        <row r="3916">
          <cell r="D3916" t="str">
            <v>Adrianópolis</v>
          </cell>
          <cell r="E3916">
            <v>5919</v>
          </cell>
        </row>
        <row r="3917">
          <cell r="D3917" t="str">
            <v>Agudos do Sul</v>
          </cell>
          <cell r="E3917">
            <v>9371</v>
          </cell>
        </row>
        <row r="3918">
          <cell r="D3918" t="str">
            <v>Almirante Tamandaré</v>
          </cell>
          <cell r="E3918">
            <v>118623</v>
          </cell>
        </row>
        <row r="3919">
          <cell r="D3919" t="str">
            <v>Altamira do Paraná</v>
          </cell>
          <cell r="E3919">
            <v>1942</v>
          </cell>
        </row>
        <row r="3920">
          <cell r="D3920" t="str">
            <v>Altônia</v>
          </cell>
          <cell r="E3920">
            <v>22056</v>
          </cell>
        </row>
        <row r="3921">
          <cell r="D3921" t="str">
            <v>Alto Paraná</v>
          </cell>
          <cell r="E3921">
            <v>14770</v>
          </cell>
        </row>
        <row r="3922">
          <cell r="D3922" t="str">
            <v>Alto Piquiri</v>
          </cell>
          <cell r="E3922">
            <v>9836</v>
          </cell>
        </row>
        <row r="3923">
          <cell r="D3923" t="str">
            <v>Alvorada do Sul</v>
          </cell>
          <cell r="E3923">
            <v>11406</v>
          </cell>
        </row>
        <row r="3924">
          <cell r="D3924" t="str">
            <v>Amaporã</v>
          </cell>
          <cell r="E3924">
            <v>6257</v>
          </cell>
        </row>
        <row r="3925">
          <cell r="D3925" t="str">
            <v>Ampére</v>
          </cell>
          <cell r="E3925">
            <v>19152</v>
          </cell>
        </row>
        <row r="3926">
          <cell r="D3926" t="str">
            <v>Anahy</v>
          </cell>
          <cell r="E3926">
            <v>2801</v>
          </cell>
        </row>
        <row r="3927">
          <cell r="D3927" t="str">
            <v>Andirá</v>
          </cell>
          <cell r="E3927">
            <v>20031</v>
          </cell>
        </row>
        <row r="3928">
          <cell r="D3928" t="str">
            <v>Ângulo</v>
          </cell>
          <cell r="E3928">
            <v>2928</v>
          </cell>
        </row>
        <row r="3929">
          <cell r="D3929" t="str">
            <v>Antonina</v>
          </cell>
          <cell r="E3929">
            <v>18980</v>
          </cell>
        </row>
        <row r="3930">
          <cell r="D3930" t="str">
            <v>Antônio Olinto</v>
          </cell>
          <cell r="E3930">
            <v>7434</v>
          </cell>
        </row>
        <row r="3931">
          <cell r="D3931" t="str">
            <v>Apucarana</v>
          </cell>
          <cell r="E3931">
            <v>134996</v>
          </cell>
        </row>
        <row r="3932">
          <cell r="D3932" t="str">
            <v>Arapongas</v>
          </cell>
          <cell r="E3932">
            <v>123027</v>
          </cell>
        </row>
        <row r="3933">
          <cell r="D3933" t="str">
            <v>Arapoti</v>
          </cell>
          <cell r="E3933">
            <v>28115</v>
          </cell>
        </row>
        <row r="3934">
          <cell r="D3934" t="str">
            <v>Arapuã</v>
          </cell>
          <cell r="E3934">
            <v>3068</v>
          </cell>
        </row>
        <row r="3935">
          <cell r="D3935" t="str">
            <v>Araruna</v>
          </cell>
          <cell r="E3935">
            <v>13970</v>
          </cell>
        </row>
        <row r="3936">
          <cell r="D3936" t="str">
            <v>Araucária</v>
          </cell>
          <cell r="E3936">
            <v>143843</v>
          </cell>
        </row>
        <row r="3937">
          <cell r="D3937" t="str">
            <v>Ariranha do Ivaí</v>
          </cell>
          <cell r="E3937">
            <v>2108</v>
          </cell>
        </row>
        <row r="3938">
          <cell r="D3938" t="str">
            <v>Assaí</v>
          </cell>
          <cell r="E3938">
            <v>15119</v>
          </cell>
        </row>
        <row r="3939">
          <cell r="D3939" t="str">
            <v>Assis Chateaubriand</v>
          </cell>
          <cell r="E3939">
            <v>33362</v>
          </cell>
        </row>
        <row r="3940">
          <cell r="D3940" t="str">
            <v>Astorga</v>
          </cell>
          <cell r="E3940">
            <v>26111</v>
          </cell>
        </row>
        <row r="3941">
          <cell r="D3941" t="str">
            <v>Atalaia</v>
          </cell>
          <cell r="E3941">
            <v>3892</v>
          </cell>
        </row>
        <row r="3942">
          <cell r="D3942" t="str">
            <v>Balsa Nova</v>
          </cell>
          <cell r="E3942">
            <v>12941</v>
          </cell>
        </row>
        <row r="3943">
          <cell r="D3943" t="str">
            <v>Bandeirantes</v>
          </cell>
          <cell r="E3943">
            <v>31367</v>
          </cell>
        </row>
        <row r="3944">
          <cell r="D3944" t="str">
            <v>Barbosa Ferraz</v>
          </cell>
          <cell r="E3944">
            <v>11568</v>
          </cell>
        </row>
        <row r="3945">
          <cell r="D3945" t="str">
            <v>Barracão</v>
          </cell>
          <cell r="E3945">
            <v>10275</v>
          </cell>
        </row>
        <row r="3946">
          <cell r="D3946" t="str">
            <v>Barra do Jacaré</v>
          </cell>
          <cell r="E3946">
            <v>2781</v>
          </cell>
        </row>
        <row r="3947">
          <cell r="D3947" t="str">
            <v>Bela Vista da Caroba</v>
          </cell>
          <cell r="E3947">
            <v>3511</v>
          </cell>
        </row>
        <row r="3948">
          <cell r="D3948" t="str">
            <v>Bela Vista do Paraíso</v>
          </cell>
          <cell r="E3948">
            <v>15397</v>
          </cell>
        </row>
        <row r="3949">
          <cell r="D3949" t="str">
            <v>Bituruna</v>
          </cell>
          <cell r="E3949">
            <v>16389</v>
          </cell>
        </row>
        <row r="3950">
          <cell r="D3950" t="str">
            <v>Boa Esperança</v>
          </cell>
          <cell r="E3950">
            <v>4105</v>
          </cell>
        </row>
        <row r="3951">
          <cell r="D3951" t="str">
            <v>Boa Esperança do Iguaçu</v>
          </cell>
          <cell r="E3951">
            <v>2503</v>
          </cell>
        </row>
        <row r="3952">
          <cell r="D3952" t="str">
            <v>Boa Ventura de São Roque</v>
          </cell>
          <cell r="E3952">
            <v>6387</v>
          </cell>
        </row>
        <row r="3953">
          <cell r="D3953" t="str">
            <v>Boa Vista da Aparecida</v>
          </cell>
          <cell r="E3953">
            <v>7591</v>
          </cell>
        </row>
        <row r="3954">
          <cell r="D3954" t="str">
            <v>Bocaiúva do Sul</v>
          </cell>
          <cell r="E3954">
            <v>12944</v>
          </cell>
        </row>
        <row r="3955">
          <cell r="D3955" t="str">
            <v>Bom Jesus do Sul</v>
          </cell>
          <cell r="E3955">
            <v>3541</v>
          </cell>
        </row>
        <row r="3956">
          <cell r="D3956" t="str">
            <v>Bom Sucesso</v>
          </cell>
          <cell r="E3956">
            <v>7032</v>
          </cell>
        </row>
        <row r="3957">
          <cell r="D3957" t="str">
            <v>Bom Sucesso do Sul</v>
          </cell>
          <cell r="E3957">
            <v>3264</v>
          </cell>
        </row>
        <row r="3958">
          <cell r="D3958" t="str">
            <v>Borrazópolis</v>
          </cell>
          <cell r="E3958">
            <v>6592</v>
          </cell>
        </row>
        <row r="3959">
          <cell r="D3959" t="str">
            <v>Braganey</v>
          </cell>
          <cell r="E3959">
            <v>5427</v>
          </cell>
        </row>
        <row r="3960">
          <cell r="D3960" t="str">
            <v>Brasilândia do Sul</v>
          </cell>
          <cell r="E3960">
            <v>2651</v>
          </cell>
        </row>
        <row r="3961">
          <cell r="D3961" t="str">
            <v>Cafeara</v>
          </cell>
          <cell r="E3961">
            <v>2934</v>
          </cell>
        </row>
        <row r="3962">
          <cell r="D3962" t="str">
            <v>Cafelândia</v>
          </cell>
          <cell r="E3962">
            <v>18120</v>
          </cell>
        </row>
        <row r="3963">
          <cell r="D3963" t="str">
            <v>Cafezal do Sul</v>
          </cell>
          <cell r="E3963">
            <v>4044</v>
          </cell>
        </row>
        <row r="3964">
          <cell r="D3964" t="str">
            <v>Califórnia</v>
          </cell>
          <cell r="E3964">
            <v>8570</v>
          </cell>
        </row>
        <row r="3965">
          <cell r="D3965" t="str">
            <v>Cambará</v>
          </cell>
          <cell r="E3965">
            <v>25360</v>
          </cell>
        </row>
        <row r="3966">
          <cell r="D3966" t="str">
            <v>Cambé</v>
          </cell>
          <cell r="E3966">
            <v>106533</v>
          </cell>
        </row>
        <row r="3967">
          <cell r="D3967" t="str">
            <v>Cambira</v>
          </cell>
          <cell r="E3967">
            <v>7865</v>
          </cell>
        </row>
        <row r="3968">
          <cell r="D3968" t="str">
            <v>Campina da Lagoa</v>
          </cell>
          <cell r="E3968">
            <v>14202</v>
          </cell>
        </row>
        <row r="3969">
          <cell r="D3969" t="str">
            <v>Campina do Simão</v>
          </cell>
          <cell r="E3969">
            <v>3887</v>
          </cell>
        </row>
        <row r="3970">
          <cell r="D3970" t="str">
            <v>Campina Grande do Sul</v>
          </cell>
          <cell r="E3970">
            <v>43288</v>
          </cell>
        </row>
        <row r="3971">
          <cell r="D3971" t="str">
            <v>Campo Bonito</v>
          </cell>
          <cell r="E3971">
            <v>3833</v>
          </cell>
        </row>
        <row r="3972">
          <cell r="D3972" t="str">
            <v>Campo do Tenente</v>
          </cell>
          <cell r="E3972">
            <v>7971</v>
          </cell>
        </row>
        <row r="3973">
          <cell r="D3973" t="str">
            <v>Campo Largo</v>
          </cell>
          <cell r="E3973">
            <v>132002</v>
          </cell>
        </row>
        <row r="3974">
          <cell r="D3974" t="str">
            <v>Campo Magro</v>
          </cell>
          <cell r="E3974">
            <v>29318</v>
          </cell>
        </row>
        <row r="3975">
          <cell r="D3975" t="str">
            <v>Campo Mourão</v>
          </cell>
          <cell r="E3975">
            <v>94859</v>
          </cell>
        </row>
        <row r="3976">
          <cell r="D3976" t="str">
            <v>Cândido de Abreu</v>
          </cell>
          <cell r="E3976">
            <v>15018</v>
          </cell>
        </row>
        <row r="3977">
          <cell r="D3977" t="str">
            <v>Candói</v>
          </cell>
          <cell r="E3977">
            <v>15979</v>
          </cell>
        </row>
        <row r="3978">
          <cell r="D3978" t="str">
            <v>Cantagalo</v>
          </cell>
          <cell r="E3978">
            <v>13317</v>
          </cell>
        </row>
        <row r="3979">
          <cell r="D3979" t="str">
            <v>Capanema</v>
          </cell>
          <cell r="E3979">
            <v>19124</v>
          </cell>
        </row>
        <row r="3980">
          <cell r="D3980" t="str">
            <v>Capitão Leônidas Marques</v>
          </cell>
          <cell r="E3980">
            <v>15780</v>
          </cell>
        </row>
        <row r="3981">
          <cell r="D3981" t="str">
            <v>Carambeí</v>
          </cell>
          <cell r="E3981">
            <v>23415</v>
          </cell>
        </row>
        <row r="3982">
          <cell r="D3982" t="str">
            <v>Carlópolis</v>
          </cell>
          <cell r="E3982">
            <v>14320</v>
          </cell>
        </row>
        <row r="3983">
          <cell r="D3983" t="str">
            <v>Cascavel</v>
          </cell>
          <cell r="E3983">
            <v>328454</v>
          </cell>
        </row>
        <row r="3984">
          <cell r="D3984" t="str">
            <v>Castro</v>
          </cell>
          <cell r="E3984">
            <v>71484</v>
          </cell>
        </row>
        <row r="3985">
          <cell r="D3985" t="str">
            <v>Catanduvas</v>
          </cell>
          <cell r="E3985">
            <v>10189</v>
          </cell>
        </row>
        <row r="3986">
          <cell r="D3986" t="str">
            <v>Centenário do Sul</v>
          </cell>
          <cell r="E3986">
            <v>10827</v>
          </cell>
        </row>
        <row r="3987">
          <cell r="D3987" t="str">
            <v>Cerro Azul</v>
          </cell>
          <cell r="E3987">
            <v>17779</v>
          </cell>
        </row>
        <row r="3988">
          <cell r="D3988" t="str">
            <v>Céu Azul</v>
          </cell>
          <cell r="E3988">
            <v>11765</v>
          </cell>
        </row>
        <row r="3989">
          <cell r="D3989" t="str">
            <v>Chopinzinho</v>
          </cell>
          <cell r="E3989">
            <v>19254</v>
          </cell>
        </row>
        <row r="3990">
          <cell r="D3990" t="str">
            <v>Cianorte</v>
          </cell>
          <cell r="E3990">
            <v>82620</v>
          </cell>
        </row>
        <row r="3991">
          <cell r="D3991" t="str">
            <v>Cidade Gaúcha</v>
          </cell>
          <cell r="E3991">
            <v>12652</v>
          </cell>
        </row>
        <row r="3992">
          <cell r="D3992" t="str">
            <v>Clevelândia</v>
          </cell>
          <cell r="E3992">
            <v>16559</v>
          </cell>
        </row>
        <row r="3993">
          <cell r="D3993" t="str">
            <v>Colombo</v>
          </cell>
          <cell r="E3993">
            <v>243726</v>
          </cell>
        </row>
        <row r="3994">
          <cell r="D3994" t="str">
            <v>Colorado</v>
          </cell>
          <cell r="E3994">
            <v>24012</v>
          </cell>
        </row>
        <row r="3995">
          <cell r="D3995" t="str">
            <v>Congonhinhas</v>
          </cell>
          <cell r="E3995">
            <v>8818</v>
          </cell>
        </row>
        <row r="3996">
          <cell r="D3996" t="str">
            <v>Conselheiro Mairinck</v>
          </cell>
          <cell r="E3996">
            <v>3860</v>
          </cell>
        </row>
        <row r="3997">
          <cell r="D3997" t="str">
            <v>Contenda</v>
          </cell>
          <cell r="E3997">
            <v>18584</v>
          </cell>
        </row>
        <row r="3998">
          <cell r="D3998" t="str">
            <v>Corbélia</v>
          </cell>
          <cell r="E3998">
            <v>17071</v>
          </cell>
        </row>
        <row r="3999">
          <cell r="D3999" t="str">
            <v>Cornélio Procópio</v>
          </cell>
          <cell r="E3999">
            <v>47845</v>
          </cell>
        </row>
        <row r="4000">
          <cell r="D4000" t="str">
            <v>Coronel Domingos Soares</v>
          </cell>
          <cell r="E4000">
            <v>7497</v>
          </cell>
        </row>
        <row r="4001">
          <cell r="D4001" t="str">
            <v>Coronel Vivida</v>
          </cell>
          <cell r="E4001">
            <v>20734</v>
          </cell>
        </row>
        <row r="4002">
          <cell r="D4002" t="str">
            <v>Corumbataí do Sul</v>
          </cell>
          <cell r="E4002">
            <v>3219</v>
          </cell>
        </row>
        <row r="4003">
          <cell r="D4003" t="str">
            <v>Cruzeiro do Iguaçu</v>
          </cell>
          <cell r="E4003">
            <v>4252</v>
          </cell>
        </row>
        <row r="4004">
          <cell r="D4004" t="str">
            <v>Cruzeiro do Oeste</v>
          </cell>
          <cell r="E4004">
            <v>20932</v>
          </cell>
        </row>
        <row r="4005">
          <cell r="D4005" t="str">
            <v>Cruzeiro do Sul</v>
          </cell>
          <cell r="E4005">
            <v>4469</v>
          </cell>
        </row>
        <row r="4006">
          <cell r="D4006" t="str">
            <v>Cruz Machado</v>
          </cell>
          <cell r="E4006">
            <v>18708</v>
          </cell>
        </row>
        <row r="4007">
          <cell r="D4007" t="str">
            <v>Cruzmaltina</v>
          </cell>
          <cell r="E4007">
            <v>2950</v>
          </cell>
        </row>
        <row r="4008">
          <cell r="D4008" t="str">
            <v>Curitiba</v>
          </cell>
          <cell r="E4008">
            <v>1933105</v>
          </cell>
        </row>
        <row r="4009">
          <cell r="D4009" t="str">
            <v>Curiúva</v>
          </cell>
          <cell r="E4009">
            <v>15101</v>
          </cell>
        </row>
        <row r="4010">
          <cell r="D4010" t="str">
            <v>Diamante do Norte</v>
          </cell>
          <cell r="E4010">
            <v>5087</v>
          </cell>
        </row>
        <row r="4011">
          <cell r="D4011" t="str">
            <v>Diamante do Sul</v>
          </cell>
          <cell r="E4011">
            <v>3439</v>
          </cell>
        </row>
        <row r="4012">
          <cell r="D4012" t="str">
            <v>Diamante D'Oeste</v>
          </cell>
          <cell r="E4012">
            <v>5253</v>
          </cell>
        </row>
        <row r="4013">
          <cell r="D4013" t="str">
            <v>Dois Vizinhos</v>
          </cell>
          <cell r="E4013">
            <v>40641</v>
          </cell>
        </row>
        <row r="4014">
          <cell r="D4014" t="str">
            <v>Douradina</v>
          </cell>
          <cell r="E4014">
            <v>8747</v>
          </cell>
        </row>
        <row r="4015">
          <cell r="D4015" t="str">
            <v>Doutor Camargo</v>
          </cell>
          <cell r="E4015">
            <v>5979</v>
          </cell>
        </row>
        <row r="4016">
          <cell r="D4016" t="str">
            <v>Enéas Marques</v>
          </cell>
          <cell r="E4016">
            <v>5961</v>
          </cell>
        </row>
        <row r="4017">
          <cell r="D4017" t="str">
            <v>Engenheiro Beltrão</v>
          </cell>
          <cell r="E4017">
            <v>14000</v>
          </cell>
        </row>
        <row r="4018">
          <cell r="D4018" t="str">
            <v>Esperança Nova</v>
          </cell>
          <cell r="E4018">
            <v>1698</v>
          </cell>
        </row>
        <row r="4019">
          <cell r="D4019" t="str">
            <v>Entre Rios do Oeste</v>
          </cell>
          <cell r="E4019">
            <v>4539</v>
          </cell>
        </row>
        <row r="4020">
          <cell r="D4020" t="str">
            <v>Espigão Alto do Iguaçu</v>
          </cell>
          <cell r="E4020">
            <v>4117</v>
          </cell>
        </row>
        <row r="4021">
          <cell r="D4021" t="str">
            <v>Farol</v>
          </cell>
          <cell r="E4021">
            <v>3089</v>
          </cell>
        </row>
        <row r="4022">
          <cell r="D4022" t="str">
            <v>Faxinal</v>
          </cell>
          <cell r="E4022">
            <v>17251</v>
          </cell>
        </row>
        <row r="4023">
          <cell r="D4023" t="str">
            <v>Fazenda Rio Grande</v>
          </cell>
          <cell r="E4023">
            <v>100209</v>
          </cell>
        </row>
        <row r="4024">
          <cell r="D4024" t="str">
            <v>Fênix</v>
          </cell>
          <cell r="E4024">
            <v>4762</v>
          </cell>
        </row>
        <row r="4025">
          <cell r="D4025" t="str">
            <v>Fernandes Pinheiro</v>
          </cell>
          <cell r="E4025">
            <v>5646</v>
          </cell>
        </row>
        <row r="4026">
          <cell r="D4026" t="str">
            <v>Figueira</v>
          </cell>
          <cell r="E4026">
            <v>7770</v>
          </cell>
        </row>
        <row r="4027">
          <cell r="D4027" t="str">
            <v>Floraí</v>
          </cell>
          <cell r="E4027">
            <v>4929</v>
          </cell>
        </row>
        <row r="4028">
          <cell r="D4028" t="str">
            <v>Flor da Serra do Sul</v>
          </cell>
          <cell r="E4028">
            <v>4624</v>
          </cell>
        </row>
        <row r="4029">
          <cell r="D4029" t="str">
            <v>Floresta</v>
          </cell>
          <cell r="E4029">
            <v>6774</v>
          </cell>
        </row>
        <row r="4030">
          <cell r="D4030" t="str">
            <v>Florestópolis</v>
          </cell>
          <cell r="E4030">
            <v>10548</v>
          </cell>
        </row>
        <row r="4031">
          <cell r="D4031" t="str">
            <v>Flórida</v>
          </cell>
          <cell r="E4031">
            <v>2689</v>
          </cell>
        </row>
        <row r="4032">
          <cell r="D4032" t="str">
            <v>Formosa do Oeste</v>
          </cell>
          <cell r="E4032">
            <v>6578</v>
          </cell>
        </row>
        <row r="4033">
          <cell r="D4033" t="str">
            <v>Foz do Iguaçu</v>
          </cell>
          <cell r="E4033">
            <v>258532</v>
          </cell>
        </row>
        <row r="4034">
          <cell r="D4034" t="str">
            <v>Francisco Alves</v>
          </cell>
          <cell r="E4034">
            <v>6046</v>
          </cell>
        </row>
        <row r="4035">
          <cell r="D4035" t="str">
            <v>Francisco Beltrão</v>
          </cell>
          <cell r="E4035">
            <v>91093</v>
          </cell>
        </row>
        <row r="4036">
          <cell r="D4036" t="str">
            <v>Foz do Jordão</v>
          </cell>
          <cell r="E4036">
            <v>4650</v>
          </cell>
        </row>
        <row r="4037">
          <cell r="D4037" t="str">
            <v>General Carneiro</v>
          </cell>
          <cell r="E4037">
            <v>13710</v>
          </cell>
        </row>
        <row r="4038">
          <cell r="D4038" t="str">
            <v>Godoy Moreira</v>
          </cell>
          <cell r="E4038">
            <v>2946</v>
          </cell>
        </row>
        <row r="4039">
          <cell r="D4039" t="str">
            <v>Goioerê</v>
          </cell>
          <cell r="E4039">
            <v>28884</v>
          </cell>
        </row>
        <row r="4040">
          <cell r="D4040" t="str">
            <v>Goioxim</v>
          </cell>
          <cell r="E4040">
            <v>7111</v>
          </cell>
        </row>
        <row r="4041">
          <cell r="D4041" t="str">
            <v>Grandes Rios</v>
          </cell>
          <cell r="E4041">
            <v>5618</v>
          </cell>
        </row>
        <row r="4042">
          <cell r="D4042" t="str">
            <v>Guaíra</v>
          </cell>
          <cell r="E4042">
            <v>33119</v>
          </cell>
        </row>
        <row r="4043">
          <cell r="D4043" t="str">
            <v>Guairaçá</v>
          </cell>
          <cell r="E4043">
            <v>6581</v>
          </cell>
        </row>
        <row r="4044">
          <cell r="D4044" t="str">
            <v>Guamiranga</v>
          </cell>
          <cell r="E4044">
            <v>8739</v>
          </cell>
        </row>
        <row r="4045">
          <cell r="D4045" t="str">
            <v>Guapirama</v>
          </cell>
          <cell r="E4045">
            <v>3802</v>
          </cell>
        </row>
        <row r="4046">
          <cell r="D4046" t="str">
            <v>Guaporema</v>
          </cell>
          <cell r="E4046">
            <v>2243</v>
          </cell>
        </row>
        <row r="4047">
          <cell r="D4047" t="str">
            <v>Guaraci</v>
          </cell>
          <cell r="E4047">
            <v>5502</v>
          </cell>
        </row>
        <row r="4048">
          <cell r="D4048" t="str">
            <v>Guaraniaçu</v>
          </cell>
          <cell r="E4048">
            <v>12472</v>
          </cell>
        </row>
        <row r="4049">
          <cell r="D4049" t="str">
            <v>Guarapuava</v>
          </cell>
          <cell r="E4049">
            <v>181504</v>
          </cell>
        </row>
        <row r="4050">
          <cell r="D4050" t="str">
            <v>Guaraqueçaba</v>
          </cell>
          <cell r="E4050">
            <v>7636</v>
          </cell>
        </row>
        <row r="4051">
          <cell r="D4051" t="str">
            <v>Guaratuba</v>
          </cell>
          <cell r="E4051">
            <v>37067</v>
          </cell>
        </row>
        <row r="4052">
          <cell r="D4052" t="str">
            <v>Honório Serpa</v>
          </cell>
          <cell r="E4052">
            <v>5211</v>
          </cell>
        </row>
        <row r="4053">
          <cell r="D4053" t="str">
            <v>Ibaiti</v>
          </cell>
          <cell r="E4053">
            <v>31364</v>
          </cell>
        </row>
        <row r="4054">
          <cell r="D4054" t="str">
            <v>Ibema</v>
          </cell>
          <cell r="E4054">
            <v>6352</v>
          </cell>
        </row>
        <row r="4055">
          <cell r="D4055" t="str">
            <v>Ibiporã</v>
          </cell>
          <cell r="E4055">
            <v>54558</v>
          </cell>
        </row>
        <row r="4056">
          <cell r="D4056" t="str">
            <v>Icaraíma</v>
          </cell>
          <cell r="E4056">
            <v>7904</v>
          </cell>
        </row>
        <row r="4057">
          <cell r="D4057" t="str">
            <v>Iguaraçu</v>
          </cell>
          <cell r="E4057">
            <v>4404</v>
          </cell>
        </row>
        <row r="4058">
          <cell r="D4058" t="str">
            <v>Iguatu</v>
          </cell>
          <cell r="E4058">
            <v>2256</v>
          </cell>
        </row>
        <row r="4059">
          <cell r="D4059" t="str">
            <v>Imbaú</v>
          </cell>
          <cell r="E4059">
            <v>13111</v>
          </cell>
        </row>
        <row r="4060">
          <cell r="D4060" t="str">
            <v>Imbituva</v>
          </cell>
          <cell r="E4060">
            <v>32564</v>
          </cell>
        </row>
        <row r="4061">
          <cell r="D4061" t="str">
            <v>Inácio Martins</v>
          </cell>
          <cell r="E4061">
            <v>11125</v>
          </cell>
        </row>
        <row r="4062">
          <cell r="D4062" t="str">
            <v>Inajá</v>
          </cell>
          <cell r="E4062">
            <v>3109</v>
          </cell>
        </row>
        <row r="4063">
          <cell r="D4063" t="str">
            <v>Indianópolis</v>
          </cell>
          <cell r="E4063">
            <v>4457</v>
          </cell>
        </row>
        <row r="4064">
          <cell r="D4064" t="str">
            <v>Ipiranga</v>
          </cell>
          <cell r="E4064">
            <v>15172</v>
          </cell>
        </row>
        <row r="4065">
          <cell r="D4065" t="str">
            <v>Iporã</v>
          </cell>
          <cell r="E4065">
            <v>13926</v>
          </cell>
        </row>
        <row r="4066">
          <cell r="D4066" t="str">
            <v>Iracema do Oeste</v>
          </cell>
          <cell r="E4066">
            <v>2288</v>
          </cell>
        </row>
        <row r="4067">
          <cell r="D4067" t="str">
            <v>Irati</v>
          </cell>
          <cell r="E4067">
            <v>60727</v>
          </cell>
        </row>
        <row r="4068">
          <cell r="D4068" t="str">
            <v>Iretama</v>
          </cell>
          <cell r="E4068">
            <v>10169</v>
          </cell>
        </row>
        <row r="4069">
          <cell r="D4069" t="str">
            <v>Itaguajé</v>
          </cell>
          <cell r="E4069">
            <v>4466</v>
          </cell>
        </row>
        <row r="4070">
          <cell r="D4070" t="str">
            <v>Itaipulândia</v>
          </cell>
          <cell r="E4070">
            <v>11176</v>
          </cell>
        </row>
        <row r="4071">
          <cell r="D4071" t="str">
            <v>Itambaracá</v>
          </cell>
          <cell r="E4071">
            <v>6582</v>
          </cell>
        </row>
        <row r="4072">
          <cell r="D4072" t="str">
            <v>Itambé</v>
          </cell>
          <cell r="E4072">
            <v>6108</v>
          </cell>
        </row>
        <row r="4073">
          <cell r="D4073" t="str">
            <v>Itapejara d'Oeste</v>
          </cell>
          <cell r="E4073">
            <v>11964</v>
          </cell>
        </row>
        <row r="4074">
          <cell r="D4074" t="str">
            <v>Itaperuçu</v>
          </cell>
          <cell r="E4074">
            <v>28634</v>
          </cell>
        </row>
        <row r="4075">
          <cell r="D4075" t="str">
            <v>Itaúna do Sul</v>
          </cell>
          <cell r="E4075">
            <v>2865</v>
          </cell>
        </row>
        <row r="4076">
          <cell r="D4076" t="str">
            <v>Ivaí</v>
          </cell>
          <cell r="E4076">
            <v>13879</v>
          </cell>
        </row>
        <row r="4077">
          <cell r="D4077" t="str">
            <v>Ivaiporã</v>
          </cell>
          <cell r="E4077">
            <v>31984</v>
          </cell>
        </row>
        <row r="4078">
          <cell r="D4078" t="str">
            <v>Ivaté</v>
          </cell>
          <cell r="E4078">
            <v>8185</v>
          </cell>
        </row>
        <row r="4079">
          <cell r="D4079" t="str">
            <v>Ivatuba</v>
          </cell>
          <cell r="E4079">
            <v>3259</v>
          </cell>
        </row>
        <row r="4080">
          <cell r="D4080" t="str">
            <v>Jaboti</v>
          </cell>
          <cell r="E4080">
            <v>5274</v>
          </cell>
        </row>
        <row r="4081">
          <cell r="D4081" t="str">
            <v>Jacarezinho</v>
          </cell>
          <cell r="E4081">
            <v>39378</v>
          </cell>
        </row>
        <row r="4082">
          <cell r="D4082" t="str">
            <v>Jaguapitã</v>
          </cell>
          <cell r="E4082">
            <v>13620</v>
          </cell>
        </row>
        <row r="4083">
          <cell r="D4083" t="str">
            <v>Jaguariaíva</v>
          </cell>
          <cell r="E4083">
            <v>34857</v>
          </cell>
        </row>
        <row r="4084">
          <cell r="D4084" t="str">
            <v>Jandaia do Sul</v>
          </cell>
          <cell r="E4084">
            <v>21176</v>
          </cell>
        </row>
        <row r="4085">
          <cell r="D4085" t="str">
            <v>Janiópolis</v>
          </cell>
          <cell r="E4085">
            <v>5245</v>
          </cell>
        </row>
        <row r="4086">
          <cell r="D4086" t="str">
            <v>Japira</v>
          </cell>
          <cell r="E4086">
            <v>4994</v>
          </cell>
        </row>
        <row r="4087">
          <cell r="D4087" t="str">
            <v>Japurá</v>
          </cell>
          <cell r="E4087">
            <v>9425</v>
          </cell>
        </row>
        <row r="4088">
          <cell r="D4088" t="str">
            <v>Jardim Alegre</v>
          </cell>
          <cell r="E4088">
            <v>11328</v>
          </cell>
        </row>
        <row r="4089">
          <cell r="D4089" t="str">
            <v>Jardim Olinda</v>
          </cell>
          <cell r="E4089">
            <v>1331</v>
          </cell>
        </row>
        <row r="4090">
          <cell r="D4090" t="str">
            <v>Jataizinho</v>
          </cell>
          <cell r="E4090">
            <v>12588</v>
          </cell>
        </row>
        <row r="4091">
          <cell r="D4091" t="str">
            <v>Jesuítas</v>
          </cell>
          <cell r="E4091">
            <v>8412</v>
          </cell>
        </row>
        <row r="4092">
          <cell r="D4092" t="str">
            <v>Joaquim Távora</v>
          </cell>
          <cell r="E4092">
            <v>11908</v>
          </cell>
        </row>
        <row r="4093">
          <cell r="D4093" t="str">
            <v>Jundiaí do Sul</v>
          </cell>
          <cell r="E4093">
            <v>3292</v>
          </cell>
        </row>
        <row r="4094">
          <cell r="D4094" t="str">
            <v>Juranda</v>
          </cell>
          <cell r="E4094">
            <v>7340</v>
          </cell>
        </row>
        <row r="4095">
          <cell r="D4095" t="str">
            <v>Jussara</v>
          </cell>
          <cell r="E4095">
            <v>7013</v>
          </cell>
        </row>
        <row r="4096">
          <cell r="D4096" t="str">
            <v>Kaloré</v>
          </cell>
          <cell r="E4096">
            <v>4100</v>
          </cell>
        </row>
        <row r="4097">
          <cell r="D4097" t="str">
            <v>Lapa</v>
          </cell>
          <cell r="E4097">
            <v>48163</v>
          </cell>
        </row>
        <row r="4098">
          <cell r="D4098" t="str">
            <v>Laranjal</v>
          </cell>
          <cell r="E4098">
            <v>5852</v>
          </cell>
        </row>
        <row r="4099">
          <cell r="D4099" t="str">
            <v>Laranjeiras do Sul</v>
          </cell>
          <cell r="E4099">
            <v>32073</v>
          </cell>
        </row>
        <row r="4100">
          <cell r="D4100" t="str">
            <v>Leópolis</v>
          </cell>
          <cell r="E4100">
            <v>3954</v>
          </cell>
        </row>
        <row r="4101">
          <cell r="D4101" t="str">
            <v>Lidianópolis</v>
          </cell>
          <cell r="E4101">
            <v>3310</v>
          </cell>
        </row>
        <row r="4102">
          <cell r="D4102" t="str">
            <v>Lindoeste</v>
          </cell>
          <cell r="E4102">
            <v>4676</v>
          </cell>
        </row>
        <row r="4103">
          <cell r="D4103" t="str">
            <v>Loanda</v>
          </cell>
          <cell r="E4103">
            <v>23086</v>
          </cell>
        </row>
        <row r="4104">
          <cell r="D4104" t="str">
            <v>Lobato</v>
          </cell>
          <cell r="E4104">
            <v>4787</v>
          </cell>
        </row>
        <row r="4105">
          <cell r="D4105" t="str">
            <v>Londrina</v>
          </cell>
          <cell r="E4105">
            <v>569733</v>
          </cell>
        </row>
        <row r="4106">
          <cell r="D4106" t="str">
            <v>Luiziana</v>
          </cell>
          <cell r="E4106">
            <v>7262</v>
          </cell>
        </row>
        <row r="4107">
          <cell r="D4107" t="str">
            <v>Lunardelli</v>
          </cell>
          <cell r="E4107">
            <v>4794</v>
          </cell>
        </row>
        <row r="4108">
          <cell r="D4108" t="str">
            <v>Lupionópolis</v>
          </cell>
          <cell r="E4108">
            <v>4920</v>
          </cell>
        </row>
        <row r="4109">
          <cell r="D4109" t="str">
            <v>Mallet</v>
          </cell>
          <cell r="E4109">
            <v>13630</v>
          </cell>
        </row>
        <row r="4110">
          <cell r="D4110" t="str">
            <v>Mamborê</v>
          </cell>
          <cell r="E4110">
            <v>13132</v>
          </cell>
        </row>
        <row r="4111">
          <cell r="D4111" t="str">
            <v>Mandaguaçu</v>
          </cell>
          <cell r="E4111">
            <v>22819</v>
          </cell>
        </row>
        <row r="4112">
          <cell r="D4112" t="str">
            <v>Mandaguari</v>
          </cell>
          <cell r="E4112">
            <v>34400</v>
          </cell>
        </row>
        <row r="4113">
          <cell r="D4113" t="str">
            <v>Mandirituba</v>
          </cell>
          <cell r="E4113">
            <v>26869</v>
          </cell>
        </row>
        <row r="4114">
          <cell r="D4114" t="str">
            <v>Manfrinópolis</v>
          </cell>
          <cell r="E4114">
            <v>2571</v>
          </cell>
        </row>
        <row r="4115">
          <cell r="D4115" t="str">
            <v>Mangueirinha</v>
          </cell>
          <cell r="E4115">
            <v>16714</v>
          </cell>
        </row>
        <row r="4116">
          <cell r="D4116" t="str">
            <v>Manoel Ribas</v>
          </cell>
          <cell r="E4116">
            <v>13502</v>
          </cell>
        </row>
        <row r="4117">
          <cell r="D4117" t="str">
            <v>Marechal Cândido Rondon</v>
          </cell>
          <cell r="E4117">
            <v>52944</v>
          </cell>
        </row>
        <row r="4118">
          <cell r="D4118" t="str">
            <v>Maria Helena</v>
          </cell>
          <cell r="E4118">
            <v>5677</v>
          </cell>
        </row>
        <row r="4119">
          <cell r="D4119" t="str">
            <v>Marialva</v>
          </cell>
          <cell r="E4119">
            <v>35496</v>
          </cell>
        </row>
        <row r="4120">
          <cell r="D4120" t="str">
            <v>Marilândia do Sul</v>
          </cell>
          <cell r="E4120">
            <v>8836</v>
          </cell>
        </row>
        <row r="4121">
          <cell r="D4121" t="str">
            <v>Marilena</v>
          </cell>
          <cell r="E4121">
            <v>7076</v>
          </cell>
        </row>
        <row r="4122">
          <cell r="D4122" t="str">
            <v>Mariluz</v>
          </cell>
          <cell r="E4122">
            <v>10345</v>
          </cell>
        </row>
        <row r="4123">
          <cell r="D4123" t="str">
            <v>Maringá</v>
          </cell>
          <cell r="E4123">
            <v>423666</v>
          </cell>
        </row>
        <row r="4124">
          <cell r="D4124" t="str">
            <v>Mariópolis</v>
          </cell>
          <cell r="E4124">
            <v>6610</v>
          </cell>
        </row>
        <row r="4125">
          <cell r="D4125" t="str">
            <v>Maripá</v>
          </cell>
          <cell r="E4125">
            <v>5603</v>
          </cell>
        </row>
        <row r="4126">
          <cell r="D4126" t="str">
            <v>Marmeleiro</v>
          </cell>
          <cell r="E4126">
            <v>14367</v>
          </cell>
        </row>
        <row r="4127">
          <cell r="D4127" t="str">
            <v>Marquinho</v>
          </cell>
          <cell r="E4127">
            <v>4405</v>
          </cell>
        </row>
        <row r="4128">
          <cell r="D4128" t="str">
            <v>Marumbi</v>
          </cell>
          <cell r="E4128">
            <v>4679</v>
          </cell>
        </row>
        <row r="4129">
          <cell r="D4129" t="str">
            <v>Matelândia</v>
          </cell>
          <cell r="E4129">
            <v>17943</v>
          </cell>
        </row>
        <row r="4130">
          <cell r="D4130" t="str">
            <v>Matinhos</v>
          </cell>
          <cell r="E4130">
            <v>34720</v>
          </cell>
        </row>
        <row r="4131">
          <cell r="D4131" t="str">
            <v>Mato Rico</v>
          </cell>
          <cell r="E4131">
            <v>3272</v>
          </cell>
        </row>
        <row r="4132">
          <cell r="D4132" t="str">
            <v>Mauá da Serra</v>
          </cell>
          <cell r="E4132">
            <v>10601</v>
          </cell>
        </row>
        <row r="4133">
          <cell r="D4133" t="str">
            <v>Medianeira</v>
          </cell>
          <cell r="E4133">
            <v>46198</v>
          </cell>
        </row>
        <row r="4134">
          <cell r="D4134" t="str">
            <v>Mercedes</v>
          </cell>
          <cell r="E4134">
            <v>5536</v>
          </cell>
        </row>
        <row r="4135">
          <cell r="D4135" t="str">
            <v>Mirador</v>
          </cell>
          <cell r="E4135">
            <v>2213</v>
          </cell>
        </row>
        <row r="4136">
          <cell r="D4136" t="str">
            <v>Miraselva</v>
          </cell>
          <cell r="E4136">
            <v>1806</v>
          </cell>
        </row>
        <row r="4137">
          <cell r="D4137" t="str">
            <v>Missal</v>
          </cell>
          <cell r="E4137">
            <v>10702</v>
          </cell>
        </row>
        <row r="4138">
          <cell r="D4138" t="str">
            <v>Moreira Sales</v>
          </cell>
          <cell r="E4138">
            <v>12121</v>
          </cell>
        </row>
        <row r="4139">
          <cell r="D4139" t="str">
            <v>Morretes</v>
          </cell>
          <cell r="E4139">
            <v>16406</v>
          </cell>
        </row>
        <row r="4140">
          <cell r="D4140" t="str">
            <v>Munhoz de Melo</v>
          </cell>
          <cell r="E4140">
            <v>3984</v>
          </cell>
        </row>
        <row r="4141">
          <cell r="D4141" t="str">
            <v>Nossa Senhora das Graças</v>
          </cell>
          <cell r="E4141">
            <v>4008</v>
          </cell>
        </row>
        <row r="4142">
          <cell r="D4142" t="str">
            <v>Nova Aliança do Ivaí</v>
          </cell>
          <cell r="E4142">
            <v>1543</v>
          </cell>
        </row>
        <row r="4143">
          <cell r="D4143" t="str">
            <v>Nova América da Colina</v>
          </cell>
          <cell r="E4143">
            <v>3445</v>
          </cell>
        </row>
        <row r="4144">
          <cell r="D4144" t="str">
            <v>Nova Aurora</v>
          </cell>
          <cell r="E4144">
            <v>10472</v>
          </cell>
        </row>
        <row r="4145">
          <cell r="D4145" t="str">
            <v>Nova Cantu</v>
          </cell>
          <cell r="E4145">
            <v>5302</v>
          </cell>
        </row>
        <row r="4146">
          <cell r="D4146" t="str">
            <v>Nova Esperança</v>
          </cell>
          <cell r="E4146">
            <v>27904</v>
          </cell>
        </row>
        <row r="4147">
          <cell r="D4147" t="str">
            <v>Nova Esperança do Sudoeste</v>
          </cell>
          <cell r="E4147">
            <v>5046</v>
          </cell>
        </row>
        <row r="4148">
          <cell r="D4148" t="str">
            <v>Nova Fátima</v>
          </cell>
          <cell r="E4148">
            <v>8153</v>
          </cell>
        </row>
        <row r="4149">
          <cell r="D4149" t="str">
            <v>Nova Laranjeiras</v>
          </cell>
          <cell r="E4149">
            <v>11554</v>
          </cell>
        </row>
        <row r="4150">
          <cell r="D4150" t="str">
            <v>Nova Londrina</v>
          </cell>
          <cell r="E4150">
            <v>13213</v>
          </cell>
        </row>
        <row r="4151">
          <cell r="D4151" t="str">
            <v>Nova Olímpia</v>
          </cell>
          <cell r="E4151">
            <v>5806</v>
          </cell>
        </row>
        <row r="4152">
          <cell r="D4152" t="str">
            <v>Nova Santa Bárbara</v>
          </cell>
          <cell r="E4152">
            <v>4249</v>
          </cell>
        </row>
        <row r="4153">
          <cell r="D4153" t="str">
            <v>Nova Santa Rosa</v>
          </cell>
          <cell r="E4153">
            <v>8219</v>
          </cell>
        </row>
        <row r="4154">
          <cell r="D4154" t="str">
            <v>Nova Prata do Iguaçu</v>
          </cell>
          <cell r="E4154">
            <v>10548</v>
          </cell>
        </row>
        <row r="4155">
          <cell r="D4155" t="str">
            <v>Nova Tebas</v>
          </cell>
          <cell r="E4155">
            <v>5649</v>
          </cell>
        </row>
        <row r="4156">
          <cell r="D4156" t="str">
            <v>Novo Itacolomi</v>
          </cell>
          <cell r="E4156">
            <v>2844</v>
          </cell>
        </row>
        <row r="4157">
          <cell r="D4157" t="str">
            <v>Ortigueira</v>
          </cell>
          <cell r="E4157">
            <v>22141</v>
          </cell>
        </row>
        <row r="4158">
          <cell r="D4158" t="str">
            <v>Ourizona</v>
          </cell>
          <cell r="E4158">
            <v>3428</v>
          </cell>
        </row>
        <row r="4159">
          <cell r="D4159" t="str">
            <v>Ouro Verde do Oeste</v>
          </cell>
          <cell r="E4159">
            <v>5996</v>
          </cell>
        </row>
        <row r="4160">
          <cell r="D4160" t="str">
            <v>Paiçandu</v>
          </cell>
          <cell r="E4160">
            <v>41281</v>
          </cell>
        </row>
        <row r="4161">
          <cell r="D4161" t="str">
            <v>Palmas</v>
          </cell>
          <cell r="E4161">
            <v>50986</v>
          </cell>
        </row>
        <row r="4162">
          <cell r="D4162" t="str">
            <v>Palmeira</v>
          </cell>
          <cell r="E4162">
            <v>33877</v>
          </cell>
        </row>
        <row r="4163">
          <cell r="D4163" t="str">
            <v>Palmital</v>
          </cell>
          <cell r="E4163">
            <v>13172</v>
          </cell>
        </row>
        <row r="4164">
          <cell r="D4164" t="str">
            <v>Palotina</v>
          </cell>
          <cell r="E4164">
            <v>31846</v>
          </cell>
        </row>
        <row r="4165">
          <cell r="D4165" t="str">
            <v>Paraíso do Norte</v>
          </cell>
          <cell r="E4165">
            <v>13830</v>
          </cell>
        </row>
        <row r="4166">
          <cell r="D4166" t="str">
            <v>Paranacity</v>
          </cell>
          <cell r="E4166">
            <v>11472</v>
          </cell>
        </row>
        <row r="4167">
          <cell r="D4167" t="str">
            <v>Paranaguá</v>
          </cell>
          <cell r="E4167">
            <v>154936</v>
          </cell>
        </row>
        <row r="4168">
          <cell r="D4168" t="str">
            <v>Paranapoema</v>
          </cell>
          <cell r="E4168">
            <v>3203</v>
          </cell>
        </row>
        <row r="4169">
          <cell r="D4169" t="str">
            <v>Paranavaí</v>
          </cell>
          <cell r="E4169">
            <v>88374</v>
          </cell>
        </row>
        <row r="4170">
          <cell r="D4170" t="str">
            <v>Pato Bragado</v>
          </cell>
          <cell r="E4170">
            <v>5610</v>
          </cell>
        </row>
        <row r="4171">
          <cell r="D4171" t="str">
            <v>Pato Branco</v>
          </cell>
          <cell r="E4171">
            <v>82881</v>
          </cell>
        </row>
        <row r="4172">
          <cell r="D4172" t="str">
            <v>Paula Freitas</v>
          </cell>
          <cell r="E4172">
            <v>5873</v>
          </cell>
        </row>
        <row r="4173">
          <cell r="D4173" t="str">
            <v>Paulo Frontin</v>
          </cell>
          <cell r="E4173">
            <v>7354</v>
          </cell>
        </row>
        <row r="4174">
          <cell r="D4174" t="str">
            <v>Peabiru</v>
          </cell>
          <cell r="E4174">
            <v>13996</v>
          </cell>
        </row>
        <row r="4175">
          <cell r="D4175" t="str">
            <v>Perobal</v>
          </cell>
          <cell r="E4175">
            <v>6127</v>
          </cell>
        </row>
        <row r="4176">
          <cell r="D4176" t="str">
            <v>Pérola</v>
          </cell>
          <cell r="E4176">
            <v>11234</v>
          </cell>
        </row>
        <row r="4177">
          <cell r="D4177" t="str">
            <v>Pérola d'Oeste</v>
          </cell>
          <cell r="E4177">
            <v>6347</v>
          </cell>
        </row>
        <row r="4178">
          <cell r="D4178" t="str">
            <v>Piên</v>
          </cell>
          <cell r="E4178">
            <v>12746</v>
          </cell>
        </row>
        <row r="4179">
          <cell r="D4179" t="str">
            <v>Pinhais</v>
          </cell>
          <cell r="E4179">
            <v>132157</v>
          </cell>
        </row>
        <row r="4180">
          <cell r="D4180" t="str">
            <v>Pinhalão</v>
          </cell>
          <cell r="E4180">
            <v>6326</v>
          </cell>
        </row>
        <row r="4181">
          <cell r="D4181" t="str">
            <v>Pinhal de São Bento</v>
          </cell>
          <cell r="E4181">
            <v>2731</v>
          </cell>
        </row>
        <row r="4182">
          <cell r="D4182" t="str">
            <v>Pinhão</v>
          </cell>
          <cell r="E4182">
            <v>32391</v>
          </cell>
        </row>
        <row r="4183">
          <cell r="D4183" t="str">
            <v>Piraí do Sul</v>
          </cell>
          <cell r="E4183">
            <v>25463</v>
          </cell>
        </row>
        <row r="4184">
          <cell r="D4184" t="str">
            <v>Piraquara</v>
          </cell>
          <cell r="E4184">
            <v>113036</v>
          </cell>
        </row>
        <row r="4185">
          <cell r="D4185" t="str">
            <v>Pitanga</v>
          </cell>
          <cell r="E4185">
            <v>30310</v>
          </cell>
        </row>
        <row r="4186">
          <cell r="D4186" t="str">
            <v>Pitangueiras</v>
          </cell>
          <cell r="E4186">
            <v>3224</v>
          </cell>
        </row>
        <row r="4187">
          <cell r="D4187" t="str">
            <v>Planaltina do Paraná</v>
          </cell>
          <cell r="E4187">
            <v>4263</v>
          </cell>
        </row>
        <row r="4188">
          <cell r="D4188" t="str">
            <v>Planalto</v>
          </cell>
          <cell r="E4188">
            <v>13479</v>
          </cell>
        </row>
        <row r="4189">
          <cell r="D4189" t="str">
            <v>Ponta Grossa</v>
          </cell>
          <cell r="E4189">
            <v>351736</v>
          </cell>
        </row>
        <row r="4190">
          <cell r="D4190" t="str">
            <v>Pontal do Paraná</v>
          </cell>
          <cell r="E4190">
            <v>27284</v>
          </cell>
        </row>
        <row r="4191">
          <cell r="D4191" t="str">
            <v>Porecatu</v>
          </cell>
          <cell r="E4191">
            <v>12914</v>
          </cell>
        </row>
        <row r="4192">
          <cell r="D4192" t="str">
            <v>Porto Amazonas</v>
          </cell>
          <cell r="E4192">
            <v>4848</v>
          </cell>
        </row>
        <row r="4193">
          <cell r="D4193" t="str">
            <v>Porto Barreiro</v>
          </cell>
          <cell r="E4193">
            <v>3237</v>
          </cell>
        </row>
        <row r="4194">
          <cell r="D4194" t="str">
            <v>Porto Rico</v>
          </cell>
          <cell r="E4194">
            <v>2559</v>
          </cell>
        </row>
        <row r="4195">
          <cell r="D4195" t="str">
            <v>Porto Vitória</v>
          </cell>
          <cell r="E4195">
            <v>4065</v>
          </cell>
        </row>
        <row r="4196">
          <cell r="D4196" t="str">
            <v>Prado Ferreira</v>
          </cell>
          <cell r="E4196">
            <v>3753</v>
          </cell>
        </row>
        <row r="4197">
          <cell r="D4197" t="str">
            <v>Pranchita</v>
          </cell>
          <cell r="E4197">
            <v>5157</v>
          </cell>
        </row>
        <row r="4198">
          <cell r="D4198" t="str">
            <v>Presidente Castelo Branco</v>
          </cell>
          <cell r="E4198">
            <v>5306</v>
          </cell>
        </row>
        <row r="4199">
          <cell r="D4199" t="str">
            <v>Primeiro de Maio</v>
          </cell>
          <cell r="E4199">
            <v>11123</v>
          </cell>
        </row>
        <row r="4200">
          <cell r="D4200" t="str">
            <v>Prudentópolis</v>
          </cell>
          <cell r="E4200">
            <v>52241</v>
          </cell>
        </row>
        <row r="4201">
          <cell r="D4201" t="str">
            <v>Quarto Centenário</v>
          </cell>
          <cell r="E4201">
            <v>4512</v>
          </cell>
        </row>
        <row r="4202">
          <cell r="D4202" t="str">
            <v>Quatiguá</v>
          </cell>
          <cell r="E4202">
            <v>7449</v>
          </cell>
        </row>
        <row r="4203">
          <cell r="D4203" t="str">
            <v>Quatro Barras</v>
          </cell>
          <cell r="E4203">
            <v>23559</v>
          </cell>
        </row>
        <row r="4204">
          <cell r="D4204" t="str">
            <v>Quatro Pontes</v>
          </cell>
          <cell r="E4204">
            <v>4015</v>
          </cell>
        </row>
        <row r="4205">
          <cell r="D4205" t="str">
            <v>Quedas do Iguaçu</v>
          </cell>
          <cell r="E4205">
            <v>34103</v>
          </cell>
        </row>
        <row r="4206">
          <cell r="D4206" t="str">
            <v>Querência do Norte</v>
          </cell>
          <cell r="E4206">
            <v>12206</v>
          </cell>
        </row>
        <row r="4207">
          <cell r="D4207" t="str">
            <v>Quinta do Sol</v>
          </cell>
          <cell r="E4207">
            <v>4573</v>
          </cell>
        </row>
        <row r="4208">
          <cell r="D4208" t="str">
            <v>Quitandinha</v>
          </cell>
          <cell r="E4208">
            <v>19049</v>
          </cell>
        </row>
        <row r="4209">
          <cell r="D4209" t="str">
            <v>Ramilândia</v>
          </cell>
          <cell r="E4209">
            <v>4451</v>
          </cell>
        </row>
        <row r="4210">
          <cell r="D4210" t="str">
            <v>Rancho Alegre</v>
          </cell>
          <cell r="E4210">
            <v>3808</v>
          </cell>
        </row>
        <row r="4211">
          <cell r="D4211" t="str">
            <v>Rancho Alegre D'Oeste</v>
          </cell>
          <cell r="E4211">
            <v>2655</v>
          </cell>
        </row>
        <row r="4212">
          <cell r="D4212" t="str">
            <v>Realeza</v>
          </cell>
          <cell r="E4212">
            <v>16922</v>
          </cell>
        </row>
        <row r="4213">
          <cell r="D4213" t="str">
            <v>Rebouças</v>
          </cell>
          <cell r="E4213">
            <v>14899</v>
          </cell>
        </row>
        <row r="4214">
          <cell r="D4214" t="str">
            <v>Renascença</v>
          </cell>
          <cell r="E4214">
            <v>6802</v>
          </cell>
        </row>
        <row r="4215">
          <cell r="D4215" t="str">
            <v>Reserva</v>
          </cell>
          <cell r="E4215">
            <v>26715</v>
          </cell>
        </row>
        <row r="4216">
          <cell r="D4216" t="str">
            <v>Reserva do Iguaçu</v>
          </cell>
          <cell r="E4216">
            <v>8010</v>
          </cell>
        </row>
        <row r="4217">
          <cell r="D4217" t="str">
            <v>Ribeirão Claro</v>
          </cell>
          <cell r="E4217">
            <v>10668</v>
          </cell>
        </row>
        <row r="4218">
          <cell r="D4218" t="str">
            <v>Ribeirão do Pinhal</v>
          </cell>
          <cell r="E4218">
            <v>13029</v>
          </cell>
        </row>
        <row r="4219">
          <cell r="D4219" t="str">
            <v>Rio Azul</v>
          </cell>
          <cell r="E4219">
            <v>15236</v>
          </cell>
        </row>
        <row r="4220">
          <cell r="D4220" t="str">
            <v>Rio Bom</v>
          </cell>
          <cell r="E4220">
            <v>3203</v>
          </cell>
        </row>
        <row r="4221">
          <cell r="D4221" t="str">
            <v>Rio Bonito do Iguaçu</v>
          </cell>
          <cell r="E4221">
            <v>13269</v>
          </cell>
        </row>
        <row r="4222">
          <cell r="D4222" t="str">
            <v>Rio Branco do Ivaí</v>
          </cell>
          <cell r="E4222">
            <v>4096</v>
          </cell>
        </row>
        <row r="4223">
          <cell r="D4223" t="str">
            <v>Rio Branco do Sul</v>
          </cell>
          <cell r="E4223">
            <v>32397</v>
          </cell>
        </row>
        <row r="4224">
          <cell r="D4224" t="str">
            <v>Rio Negro</v>
          </cell>
          <cell r="E4224">
            <v>34170</v>
          </cell>
        </row>
        <row r="4225">
          <cell r="D4225" t="str">
            <v>Rolândia</v>
          </cell>
          <cell r="E4225">
            <v>66580</v>
          </cell>
        </row>
        <row r="4226">
          <cell r="D4226" t="str">
            <v>Roncador</v>
          </cell>
          <cell r="E4226">
            <v>9849</v>
          </cell>
        </row>
        <row r="4227">
          <cell r="D4227" t="str">
            <v>Rondon</v>
          </cell>
          <cell r="E4227">
            <v>9579</v>
          </cell>
        </row>
        <row r="4228">
          <cell r="D4228" t="str">
            <v>Rosário do Ivaí</v>
          </cell>
          <cell r="E4228">
            <v>4786</v>
          </cell>
        </row>
        <row r="4229">
          <cell r="D4229" t="str">
            <v>Sabáudia</v>
          </cell>
          <cell r="E4229">
            <v>6827</v>
          </cell>
        </row>
        <row r="4230">
          <cell r="D4230" t="str">
            <v>Salgado Filho</v>
          </cell>
          <cell r="E4230">
            <v>3580</v>
          </cell>
        </row>
        <row r="4231">
          <cell r="D4231" t="str">
            <v>Salto do Itararé</v>
          </cell>
          <cell r="E4231">
            <v>4935</v>
          </cell>
        </row>
        <row r="4232">
          <cell r="D4232" t="str">
            <v>Salto do Lontra</v>
          </cell>
          <cell r="E4232">
            <v>14785</v>
          </cell>
        </row>
        <row r="4233">
          <cell r="D4233" t="str">
            <v>Santa Amélia</v>
          </cell>
          <cell r="E4233">
            <v>3324</v>
          </cell>
        </row>
        <row r="4234">
          <cell r="D4234" t="str">
            <v>Santa Cecília do Pavão</v>
          </cell>
          <cell r="E4234">
            <v>3334</v>
          </cell>
        </row>
        <row r="4235">
          <cell r="D4235" t="str">
            <v>Santa Cruz de Monte Castelo</v>
          </cell>
          <cell r="E4235">
            <v>7800</v>
          </cell>
        </row>
        <row r="4236">
          <cell r="D4236" t="str">
            <v>Santa Fé</v>
          </cell>
          <cell r="E4236">
            <v>12037</v>
          </cell>
        </row>
        <row r="4237">
          <cell r="D4237" t="str">
            <v>Santa Helena</v>
          </cell>
          <cell r="E4237">
            <v>26490</v>
          </cell>
        </row>
        <row r="4238">
          <cell r="D4238" t="str">
            <v>Santa Inês</v>
          </cell>
          <cell r="E4238">
            <v>1596</v>
          </cell>
        </row>
        <row r="4239">
          <cell r="D4239" t="str">
            <v>Santa Isabel do Ivaí</v>
          </cell>
          <cell r="E4239">
            <v>8562</v>
          </cell>
        </row>
        <row r="4240">
          <cell r="D4240" t="str">
            <v>Santa Izabel do Oeste</v>
          </cell>
          <cell r="E4240">
            <v>14659</v>
          </cell>
        </row>
        <row r="4241">
          <cell r="D4241" t="str">
            <v>Santa Lúcia</v>
          </cell>
          <cell r="E4241">
            <v>3813</v>
          </cell>
        </row>
        <row r="4242">
          <cell r="D4242" t="str">
            <v>Santa Maria do Oeste</v>
          </cell>
          <cell r="E4242">
            <v>9615</v>
          </cell>
        </row>
        <row r="4243">
          <cell r="D4243" t="str">
            <v>Santa Mariana</v>
          </cell>
          <cell r="E4243">
            <v>11724</v>
          </cell>
        </row>
        <row r="4244">
          <cell r="D4244" t="str">
            <v>Santa Mônica</v>
          </cell>
          <cell r="E4244">
            <v>3981</v>
          </cell>
        </row>
        <row r="4245">
          <cell r="D4245" t="str">
            <v>Santana do Itararé</v>
          </cell>
          <cell r="E4245">
            <v>4992</v>
          </cell>
        </row>
        <row r="4246">
          <cell r="D4246" t="str">
            <v>Santa Tereza do Oeste</v>
          </cell>
          <cell r="E4246" t="str">
            <v>10139 (18)</v>
          </cell>
        </row>
        <row r="4247">
          <cell r="D4247" t="str">
            <v>Santa Terezinha de Itaipu</v>
          </cell>
          <cell r="E4247">
            <v>23465</v>
          </cell>
        </row>
        <row r="4248">
          <cell r="D4248" t="str">
            <v>Santo Antônio da Platina</v>
          </cell>
          <cell r="E4248">
            <v>45993</v>
          </cell>
        </row>
        <row r="4249">
          <cell r="D4249" t="str">
            <v>Santo Antônio do Caiuá</v>
          </cell>
          <cell r="E4249">
            <v>2641</v>
          </cell>
        </row>
        <row r="4250">
          <cell r="D4250" t="str">
            <v>Santo Antônio do Paraíso</v>
          </cell>
          <cell r="E4250">
            <v>2106</v>
          </cell>
        </row>
        <row r="4251">
          <cell r="D4251" t="str">
            <v>Santo Antônio do Sudoeste</v>
          </cell>
          <cell r="E4251">
            <v>20166</v>
          </cell>
        </row>
        <row r="4252">
          <cell r="D4252" t="str">
            <v>Santo Inácio</v>
          </cell>
          <cell r="E4252">
            <v>5438</v>
          </cell>
        </row>
        <row r="4253">
          <cell r="D4253" t="str">
            <v>São Carlos do Ivaí</v>
          </cell>
          <cell r="E4253">
            <v>6878</v>
          </cell>
        </row>
        <row r="4254">
          <cell r="D4254" t="str">
            <v>São Jerônimo da Serra</v>
          </cell>
          <cell r="E4254">
            <v>11170</v>
          </cell>
        </row>
        <row r="4255">
          <cell r="D4255" t="str">
            <v>São João</v>
          </cell>
          <cell r="E4255">
            <v>10241</v>
          </cell>
        </row>
        <row r="4256">
          <cell r="D4256" t="str">
            <v>São João do Caiuá</v>
          </cell>
          <cell r="E4256">
            <v>5855</v>
          </cell>
        </row>
        <row r="4257">
          <cell r="D4257" t="str">
            <v>São João do Ivaí</v>
          </cell>
          <cell r="E4257">
            <v>10219</v>
          </cell>
        </row>
        <row r="4258">
          <cell r="D4258" t="str">
            <v>São João do Triunfo</v>
          </cell>
          <cell r="E4258">
            <v>15120</v>
          </cell>
        </row>
        <row r="4259">
          <cell r="D4259" t="str">
            <v>São Jorge d'Oeste</v>
          </cell>
          <cell r="E4259">
            <v>9050</v>
          </cell>
        </row>
        <row r="4260">
          <cell r="D4260" t="str">
            <v>São Jorge do Ivaí</v>
          </cell>
          <cell r="E4260">
            <v>5551</v>
          </cell>
        </row>
        <row r="4261">
          <cell r="D4261" t="str">
            <v>São Jorge do Patrocínio</v>
          </cell>
          <cell r="E4261">
            <v>5641</v>
          </cell>
        </row>
        <row r="4262">
          <cell r="D4262" t="str">
            <v>São José da Boa Vista</v>
          </cell>
          <cell r="E4262">
            <v>6206</v>
          </cell>
        </row>
        <row r="4263">
          <cell r="D4263" t="str">
            <v>São José das Palmeiras</v>
          </cell>
          <cell r="E4263">
            <v>3654</v>
          </cell>
        </row>
        <row r="4264">
          <cell r="D4264" t="str">
            <v>São José dos Pinhais</v>
          </cell>
          <cell r="E4264">
            <v>323340</v>
          </cell>
        </row>
        <row r="4265">
          <cell r="D4265" t="str">
            <v>São Manoel do Paraná</v>
          </cell>
          <cell r="E4265">
            <v>2160</v>
          </cell>
        </row>
        <row r="4266">
          <cell r="D4266" t="str">
            <v>São Mateus do Sul</v>
          </cell>
          <cell r="E4266">
            <v>46261</v>
          </cell>
        </row>
        <row r="4267">
          <cell r="D4267" t="str">
            <v>São Miguel do Iguaçu</v>
          </cell>
          <cell r="E4267">
            <v>27452</v>
          </cell>
        </row>
        <row r="4268">
          <cell r="D4268" t="str">
            <v>São Pedro do Iguaçu</v>
          </cell>
          <cell r="E4268">
            <v>5897</v>
          </cell>
        </row>
        <row r="4269">
          <cell r="D4269" t="str">
            <v>São Pedro do Ivaí</v>
          </cell>
          <cell r="E4269">
            <v>10981</v>
          </cell>
        </row>
        <row r="4270">
          <cell r="D4270" t="str">
            <v>São Pedro do Paraná</v>
          </cell>
          <cell r="E4270">
            <v>2313</v>
          </cell>
        </row>
        <row r="4271">
          <cell r="D4271" t="str">
            <v>São Sebastião da Amoreira</v>
          </cell>
          <cell r="E4271">
            <v>8853</v>
          </cell>
        </row>
        <row r="4272">
          <cell r="D4272" t="str">
            <v>São Tomé</v>
          </cell>
          <cell r="E4272">
            <v>5722</v>
          </cell>
        </row>
        <row r="4273">
          <cell r="D4273" t="str">
            <v>Sapopema</v>
          </cell>
          <cell r="E4273">
            <v>6736</v>
          </cell>
        </row>
        <row r="4274">
          <cell r="D4274" t="str">
            <v>Sarandi</v>
          </cell>
          <cell r="E4274">
            <v>96688</v>
          </cell>
        </row>
        <row r="4275">
          <cell r="D4275" t="str">
            <v>Saudade do Iguaçu</v>
          </cell>
          <cell r="E4275">
            <v>5500</v>
          </cell>
        </row>
        <row r="4276">
          <cell r="D4276" t="str">
            <v>Sengés</v>
          </cell>
          <cell r="E4276">
            <v>19327</v>
          </cell>
        </row>
        <row r="4277">
          <cell r="D4277" t="str">
            <v>Serranópolis do Iguaçu</v>
          </cell>
          <cell r="E4277">
            <v>4495</v>
          </cell>
        </row>
        <row r="4278">
          <cell r="D4278" t="str">
            <v>Sertaneja</v>
          </cell>
          <cell r="E4278">
            <v>5284</v>
          </cell>
        </row>
        <row r="4279">
          <cell r="D4279" t="str">
            <v>Sertanópolis</v>
          </cell>
          <cell r="E4279">
            <v>16369</v>
          </cell>
        </row>
        <row r="4280">
          <cell r="D4280" t="str">
            <v>Siqueira Campos</v>
          </cell>
          <cell r="E4280">
            <v>21016</v>
          </cell>
        </row>
        <row r="4281">
          <cell r="D4281" t="str">
            <v>Sulina</v>
          </cell>
          <cell r="E4281">
            <v>2981</v>
          </cell>
        </row>
        <row r="4282">
          <cell r="D4282" t="str">
            <v>Tamarana</v>
          </cell>
          <cell r="E4282">
            <v>14797</v>
          </cell>
        </row>
        <row r="4283">
          <cell r="D4283" t="str">
            <v>Tamboara</v>
          </cell>
          <cell r="E4283">
            <v>5120</v>
          </cell>
        </row>
        <row r="4284">
          <cell r="D4284" t="str">
            <v>Tapejara</v>
          </cell>
          <cell r="E4284">
            <v>16205</v>
          </cell>
        </row>
        <row r="4285">
          <cell r="D4285" t="str">
            <v>Tapira</v>
          </cell>
          <cell r="E4285">
            <v>5539</v>
          </cell>
        </row>
        <row r="4286">
          <cell r="D4286" t="str">
            <v>Teixeira Soares</v>
          </cell>
          <cell r="E4286">
            <v>12367</v>
          </cell>
        </row>
        <row r="4287">
          <cell r="D4287" t="str">
            <v>Telêmaco Borba</v>
          </cell>
          <cell r="E4287">
            <v>78974</v>
          </cell>
        </row>
        <row r="4288">
          <cell r="D4288" t="str">
            <v>Terra Boa</v>
          </cell>
          <cell r="E4288">
            <v>17094</v>
          </cell>
        </row>
        <row r="4289">
          <cell r="D4289" t="str">
            <v>Terra Rica</v>
          </cell>
          <cell r="E4289">
            <v>16789</v>
          </cell>
        </row>
        <row r="4290">
          <cell r="D4290" t="str">
            <v>Terra Roxa</v>
          </cell>
          <cell r="E4290">
            <v>17481</v>
          </cell>
        </row>
        <row r="4291">
          <cell r="D4291" t="str">
            <v>Tibagi</v>
          </cell>
          <cell r="E4291">
            <v>20522</v>
          </cell>
        </row>
        <row r="4292">
          <cell r="D4292" t="str">
            <v>Tijucas do Sul</v>
          </cell>
          <cell r="E4292">
            <v>16868</v>
          </cell>
        </row>
        <row r="4293">
          <cell r="D4293" t="str">
            <v>Toledo</v>
          </cell>
          <cell r="E4293">
            <v>140635</v>
          </cell>
        </row>
        <row r="4294">
          <cell r="D4294" t="str">
            <v>Tomazina</v>
          </cell>
          <cell r="E4294">
            <v>7918</v>
          </cell>
        </row>
        <row r="4295">
          <cell r="D4295" t="str">
            <v>Três Barras do Paraná</v>
          </cell>
          <cell r="E4295">
            <v>12040</v>
          </cell>
        </row>
        <row r="4296">
          <cell r="D4296" t="str">
            <v>Tunas do Paraná</v>
          </cell>
          <cell r="E4296">
            <v>8769</v>
          </cell>
        </row>
        <row r="4297">
          <cell r="D4297" t="str">
            <v>Tuneiras do Oeste</v>
          </cell>
          <cell r="E4297">
            <v>8566</v>
          </cell>
        </row>
        <row r="4298">
          <cell r="D4298" t="str">
            <v>Tupãssi</v>
          </cell>
          <cell r="E4298">
            <v>8124</v>
          </cell>
        </row>
        <row r="4299">
          <cell r="D4299" t="str">
            <v>Turvo</v>
          </cell>
          <cell r="E4299">
            <v>13215</v>
          </cell>
        </row>
        <row r="4300">
          <cell r="D4300" t="str">
            <v>Ubiratã</v>
          </cell>
          <cell r="E4300">
            <v>21013</v>
          </cell>
        </row>
        <row r="4301">
          <cell r="D4301" t="str">
            <v>Umuarama</v>
          </cell>
          <cell r="E4301">
            <v>111557</v>
          </cell>
        </row>
        <row r="4302">
          <cell r="D4302" t="str">
            <v>União da Vitória</v>
          </cell>
          <cell r="E4302">
            <v>57517</v>
          </cell>
        </row>
        <row r="4303">
          <cell r="D4303" t="str">
            <v>Uniflor</v>
          </cell>
          <cell r="E4303">
            <v>2605</v>
          </cell>
        </row>
        <row r="4304">
          <cell r="D4304" t="str">
            <v>Uraí</v>
          </cell>
          <cell r="E4304">
            <v>11314</v>
          </cell>
        </row>
        <row r="4305">
          <cell r="D4305" t="str">
            <v>Wenceslau Braz</v>
          </cell>
          <cell r="E4305">
            <v>19414</v>
          </cell>
        </row>
        <row r="4306">
          <cell r="D4306" t="str">
            <v>Ventania</v>
          </cell>
          <cell r="E4306">
            <v>11892</v>
          </cell>
        </row>
        <row r="4307">
          <cell r="D4307" t="str">
            <v>Vera Cruz do Oeste</v>
          </cell>
          <cell r="E4307">
            <v>8521</v>
          </cell>
        </row>
        <row r="4308">
          <cell r="D4308" t="str">
            <v>Verê</v>
          </cell>
          <cell r="E4308">
            <v>7257</v>
          </cell>
        </row>
        <row r="4309">
          <cell r="D4309" t="str">
            <v>Alto Paraíso</v>
          </cell>
          <cell r="E4309">
            <v>2741</v>
          </cell>
        </row>
        <row r="4310">
          <cell r="D4310" t="str">
            <v>Doutor Ulysses</v>
          </cell>
          <cell r="E4310">
            <v>5580</v>
          </cell>
        </row>
        <row r="4311">
          <cell r="D4311" t="str">
            <v>Virmond</v>
          </cell>
          <cell r="E4311">
            <v>4023</v>
          </cell>
        </row>
        <row r="4312">
          <cell r="D4312" t="str">
            <v>Vitorino</v>
          </cell>
          <cell r="E4312">
            <v>6838</v>
          </cell>
        </row>
        <row r="4313">
          <cell r="D4313" t="str">
            <v>Xambrê</v>
          </cell>
          <cell r="E4313">
            <v>5679</v>
          </cell>
        </row>
        <row r="4314">
          <cell r="D4314" t="str">
            <v>Abdon Batista</v>
          </cell>
          <cell r="E4314">
            <v>2563</v>
          </cell>
        </row>
        <row r="4315">
          <cell r="D4315" t="str">
            <v>Abelardo Luz</v>
          </cell>
          <cell r="E4315">
            <v>17904</v>
          </cell>
        </row>
        <row r="4316">
          <cell r="D4316" t="str">
            <v>Agrolândia</v>
          </cell>
          <cell r="E4316">
            <v>10864</v>
          </cell>
        </row>
        <row r="4317">
          <cell r="D4317" t="str">
            <v>Agronômica</v>
          </cell>
          <cell r="E4317">
            <v>5448</v>
          </cell>
        </row>
        <row r="4318">
          <cell r="D4318" t="str">
            <v>Água Doce</v>
          </cell>
          <cell r="E4318">
            <v>7145</v>
          </cell>
        </row>
        <row r="4319">
          <cell r="D4319" t="str">
            <v>Águas de Chapecó</v>
          </cell>
          <cell r="E4319">
            <v>6486</v>
          </cell>
        </row>
        <row r="4320">
          <cell r="D4320" t="str">
            <v>Águas Frias</v>
          </cell>
          <cell r="E4320">
            <v>2366</v>
          </cell>
        </row>
        <row r="4321">
          <cell r="D4321" t="str">
            <v>Águas Mornas</v>
          </cell>
          <cell r="E4321">
            <v>6469</v>
          </cell>
        </row>
        <row r="4322">
          <cell r="D4322" t="str">
            <v>Alfredo Wagner</v>
          </cell>
          <cell r="E4322">
            <v>10036</v>
          </cell>
        </row>
        <row r="4323">
          <cell r="D4323" t="str">
            <v>Alto Bela Vista</v>
          </cell>
          <cell r="E4323">
            <v>1937</v>
          </cell>
        </row>
        <row r="4324">
          <cell r="D4324" t="str">
            <v>Anchieta</v>
          </cell>
          <cell r="E4324">
            <v>5638</v>
          </cell>
        </row>
        <row r="4325">
          <cell r="D4325" t="str">
            <v>Angelina</v>
          </cell>
          <cell r="E4325">
            <v>4801</v>
          </cell>
        </row>
        <row r="4326">
          <cell r="D4326" t="str">
            <v>Anita Garibaldi</v>
          </cell>
          <cell r="E4326">
            <v>7133</v>
          </cell>
        </row>
        <row r="4327">
          <cell r="D4327" t="str">
            <v>Anitápolis</v>
          </cell>
          <cell r="E4327">
            <v>3232</v>
          </cell>
        </row>
        <row r="4328">
          <cell r="D4328" t="str">
            <v>Antônio Carlos</v>
          </cell>
          <cell r="E4328">
            <v>8513</v>
          </cell>
        </row>
        <row r="4329">
          <cell r="D4329" t="str">
            <v>Apiúna</v>
          </cell>
          <cell r="E4329">
            <v>10743</v>
          </cell>
        </row>
        <row r="4330">
          <cell r="D4330" t="str">
            <v>Arabutã</v>
          </cell>
          <cell r="E4330">
            <v>4267</v>
          </cell>
        </row>
        <row r="4331">
          <cell r="D4331" t="str">
            <v>Araquari</v>
          </cell>
          <cell r="E4331">
            <v>38129</v>
          </cell>
        </row>
        <row r="4332">
          <cell r="D4332" t="str">
            <v>Araranguá</v>
          </cell>
          <cell r="E4332">
            <v>68228</v>
          </cell>
        </row>
        <row r="4333">
          <cell r="D4333" t="str">
            <v>Armazém</v>
          </cell>
          <cell r="E4333">
            <v>8674</v>
          </cell>
        </row>
        <row r="4334">
          <cell r="D4334" t="str">
            <v>Arroio Trinta</v>
          </cell>
          <cell r="E4334">
            <v>3550</v>
          </cell>
        </row>
        <row r="4335">
          <cell r="D4335" t="str">
            <v>Arvoredo</v>
          </cell>
          <cell r="E4335">
            <v>2240</v>
          </cell>
        </row>
        <row r="4336">
          <cell r="D4336" t="str">
            <v>Ascurra</v>
          </cell>
          <cell r="E4336">
            <v>7934</v>
          </cell>
        </row>
        <row r="4337">
          <cell r="D4337" t="str">
            <v>Atalanta</v>
          </cell>
          <cell r="E4337">
            <v>3210</v>
          </cell>
        </row>
        <row r="4338">
          <cell r="D4338" t="str">
            <v>Aurora</v>
          </cell>
          <cell r="E4338">
            <v>5679</v>
          </cell>
        </row>
        <row r="4339">
          <cell r="D4339" t="str">
            <v>Balneário Arroio do Silva</v>
          </cell>
          <cell r="E4339">
            <v>13071</v>
          </cell>
        </row>
        <row r="4340">
          <cell r="D4340" t="str">
            <v>Balneário Camboriú</v>
          </cell>
          <cell r="E4340">
            <v>142295</v>
          </cell>
        </row>
        <row r="4341">
          <cell r="D4341" t="str">
            <v>Balneário Barra do Sul</v>
          </cell>
          <cell r="E4341">
            <v>10795</v>
          </cell>
        </row>
        <row r="4342">
          <cell r="D4342" t="str">
            <v>Balneário Gaivota</v>
          </cell>
          <cell r="E4342">
            <v>10979</v>
          </cell>
        </row>
        <row r="4343">
          <cell r="D4343" t="str">
            <v>Bandeirante</v>
          </cell>
          <cell r="E4343">
            <v>2678</v>
          </cell>
        </row>
        <row r="4344">
          <cell r="D4344" t="str">
            <v>Barra Bonita</v>
          </cell>
          <cell r="E4344">
            <v>1677</v>
          </cell>
        </row>
        <row r="4345">
          <cell r="D4345" t="str">
            <v>Barra Velha</v>
          </cell>
          <cell r="E4345">
            <v>29168</v>
          </cell>
        </row>
        <row r="4346">
          <cell r="D4346" t="str">
            <v>Bela Vista do Toldo</v>
          </cell>
          <cell r="E4346">
            <v>6337</v>
          </cell>
        </row>
        <row r="4347">
          <cell r="D4347" t="str">
            <v>Belmonte</v>
          </cell>
          <cell r="E4347">
            <v>2706</v>
          </cell>
        </row>
        <row r="4348">
          <cell r="D4348" t="str">
            <v>Benedito Novo</v>
          </cell>
          <cell r="E4348">
            <v>11652</v>
          </cell>
        </row>
        <row r="4349">
          <cell r="D4349" t="str">
            <v>Biguaçu</v>
          </cell>
          <cell r="E4349">
            <v>68481</v>
          </cell>
        </row>
        <row r="4350">
          <cell r="D4350" t="str">
            <v>Blumenau</v>
          </cell>
          <cell r="E4350">
            <v>357199</v>
          </cell>
        </row>
        <row r="4351">
          <cell r="D4351" t="str">
            <v>Bocaina do Sul</v>
          </cell>
          <cell r="E4351">
            <v>3474</v>
          </cell>
        </row>
        <row r="4352">
          <cell r="D4352" t="str">
            <v>Bombinhas</v>
          </cell>
          <cell r="E4352">
            <v>19769</v>
          </cell>
        </row>
        <row r="4353">
          <cell r="D4353" t="str">
            <v>Bom Jardim da Serra</v>
          </cell>
          <cell r="E4353">
            <v>4743</v>
          </cell>
        </row>
        <row r="4354">
          <cell r="D4354" t="str">
            <v>Bom Jesus</v>
          </cell>
          <cell r="E4354">
            <v>3010</v>
          </cell>
        </row>
        <row r="4355">
          <cell r="D4355" t="str">
            <v>Bom Jesus do Oeste</v>
          </cell>
          <cell r="E4355">
            <v>2142</v>
          </cell>
        </row>
        <row r="4356">
          <cell r="D4356" t="str">
            <v>Bom Retiro</v>
          </cell>
          <cell r="E4356">
            <v>9966</v>
          </cell>
        </row>
        <row r="4357">
          <cell r="D4357" t="str">
            <v>Botuverá</v>
          </cell>
          <cell r="E4357">
            <v>5246</v>
          </cell>
        </row>
        <row r="4358">
          <cell r="D4358" t="str">
            <v>Braço do Norte</v>
          </cell>
          <cell r="E4358">
            <v>33450</v>
          </cell>
        </row>
        <row r="4359">
          <cell r="D4359" t="str">
            <v>Braço do Trombudo</v>
          </cell>
          <cell r="E4359">
            <v>3743</v>
          </cell>
        </row>
        <row r="4360">
          <cell r="D4360" t="str">
            <v>Brunópolis</v>
          </cell>
          <cell r="E4360">
            <v>2420</v>
          </cell>
        </row>
        <row r="4361">
          <cell r="D4361" t="str">
            <v>Brusque</v>
          </cell>
          <cell r="E4361">
            <v>134723</v>
          </cell>
        </row>
        <row r="4362">
          <cell r="D4362" t="str">
            <v>Caçador</v>
          </cell>
          <cell r="E4362">
            <v>78595</v>
          </cell>
        </row>
        <row r="4363">
          <cell r="D4363" t="str">
            <v>Caibi</v>
          </cell>
          <cell r="E4363">
            <v>6148</v>
          </cell>
        </row>
        <row r="4364">
          <cell r="D4364" t="str">
            <v>Calmon</v>
          </cell>
          <cell r="E4364">
            <v>3346</v>
          </cell>
        </row>
        <row r="4365">
          <cell r="D4365" t="str">
            <v>Camboriú</v>
          </cell>
          <cell r="E4365">
            <v>82989</v>
          </cell>
        </row>
        <row r="4366">
          <cell r="D4366" t="str">
            <v>Capão Alto</v>
          </cell>
          <cell r="E4366">
            <v>2525</v>
          </cell>
        </row>
        <row r="4367">
          <cell r="D4367" t="str">
            <v>Campo Alegre</v>
          </cell>
          <cell r="E4367">
            <v>11978</v>
          </cell>
        </row>
        <row r="4368">
          <cell r="D4368" t="str">
            <v>Campo Belo do Sul</v>
          </cell>
          <cell r="E4368">
            <v>7016</v>
          </cell>
        </row>
        <row r="4369">
          <cell r="D4369" t="str">
            <v>Campo Erê</v>
          </cell>
          <cell r="E4369">
            <v>8526</v>
          </cell>
        </row>
        <row r="4370">
          <cell r="D4370" t="str">
            <v>Campos Novos</v>
          </cell>
          <cell r="E4370">
            <v>36244</v>
          </cell>
        </row>
        <row r="4371">
          <cell r="D4371" t="str">
            <v>Canelinha</v>
          </cell>
          <cell r="E4371">
            <v>12240</v>
          </cell>
        </row>
        <row r="4372">
          <cell r="D4372" t="str">
            <v>Canoinhas</v>
          </cell>
          <cell r="E4372">
            <v>54401</v>
          </cell>
        </row>
        <row r="4373">
          <cell r="D4373" t="str">
            <v>Capinzal</v>
          </cell>
          <cell r="E4373">
            <v>22848</v>
          </cell>
        </row>
        <row r="4374">
          <cell r="D4374" t="str">
            <v>Capivari de Baixo</v>
          </cell>
          <cell r="E4374">
            <v>24871</v>
          </cell>
        </row>
        <row r="4375">
          <cell r="D4375" t="str">
            <v>Catanduvas</v>
          </cell>
          <cell r="E4375">
            <v>10861</v>
          </cell>
        </row>
        <row r="4376">
          <cell r="D4376" t="str">
            <v>Caxambu do Sul</v>
          </cell>
          <cell r="E4376">
            <v>3642</v>
          </cell>
        </row>
        <row r="4377">
          <cell r="D4377" t="str">
            <v>Celso Ramos</v>
          </cell>
          <cell r="E4377">
            <v>2728</v>
          </cell>
        </row>
        <row r="4378">
          <cell r="D4378" t="str">
            <v>Cerro Negro</v>
          </cell>
          <cell r="E4378">
            <v>3124</v>
          </cell>
        </row>
        <row r="4379">
          <cell r="D4379" t="str">
            <v>Chapadão do Lageado</v>
          </cell>
          <cell r="E4379">
            <v>2988</v>
          </cell>
        </row>
        <row r="4380">
          <cell r="D4380" t="str">
            <v>Chapecó</v>
          </cell>
          <cell r="E4380">
            <v>220367</v>
          </cell>
        </row>
        <row r="4381">
          <cell r="D4381" t="str">
            <v>Cocal do Sul</v>
          </cell>
          <cell r="E4381">
            <v>16684</v>
          </cell>
        </row>
        <row r="4382">
          <cell r="D4382" t="str">
            <v>Concórdia</v>
          </cell>
          <cell r="E4382">
            <v>74641</v>
          </cell>
        </row>
        <row r="4383">
          <cell r="D4383" t="str">
            <v>Cordilheira Alta</v>
          </cell>
          <cell r="E4383">
            <v>4453</v>
          </cell>
        </row>
        <row r="4384">
          <cell r="D4384" t="str">
            <v>Coronel Freitas</v>
          </cell>
          <cell r="E4384">
            <v>9981</v>
          </cell>
        </row>
        <row r="4385">
          <cell r="D4385" t="str">
            <v>Coronel Martins</v>
          </cell>
          <cell r="E4385">
            <v>2549</v>
          </cell>
        </row>
        <row r="4386">
          <cell r="D4386" t="str">
            <v>Corupá</v>
          </cell>
          <cell r="E4386">
            <v>15909</v>
          </cell>
        </row>
        <row r="4387">
          <cell r="D4387" t="str">
            <v>Correia Pinto</v>
          </cell>
          <cell r="E4387">
            <v>12795</v>
          </cell>
        </row>
        <row r="4388">
          <cell r="D4388" t="str">
            <v>Criciúma</v>
          </cell>
          <cell r="E4388">
            <v>215186</v>
          </cell>
        </row>
        <row r="4389">
          <cell r="D4389" t="str">
            <v>Cunha Porã</v>
          </cell>
          <cell r="E4389">
            <v>11086</v>
          </cell>
        </row>
        <row r="4390">
          <cell r="D4390" t="str">
            <v>Cunhataí</v>
          </cell>
          <cell r="E4390">
            <v>1962</v>
          </cell>
        </row>
        <row r="4391">
          <cell r="D4391" t="str">
            <v>Curitibanos</v>
          </cell>
          <cell r="E4391">
            <v>39745</v>
          </cell>
        </row>
        <row r="4392">
          <cell r="D4392" t="str">
            <v>Descanso</v>
          </cell>
          <cell r="E4392">
            <v>8250</v>
          </cell>
        </row>
        <row r="4393">
          <cell r="D4393" t="str">
            <v>Dionísio Cerqueira</v>
          </cell>
          <cell r="E4393">
            <v>15498</v>
          </cell>
        </row>
        <row r="4394">
          <cell r="D4394" t="str">
            <v>Dona Emma</v>
          </cell>
          <cell r="E4394">
            <v>4146</v>
          </cell>
        </row>
        <row r="4395">
          <cell r="D4395" t="str">
            <v>Doutor Pedrinho</v>
          </cell>
          <cell r="E4395">
            <v>4064</v>
          </cell>
        </row>
        <row r="4396">
          <cell r="D4396" t="str">
            <v>Entre Rios</v>
          </cell>
          <cell r="E4396">
            <v>3203</v>
          </cell>
        </row>
        <row r="4397">
          <cell r="D4397" t="str">
            <v>Ermo</v>
          </cell>
          <cell r="E4397">
            <v>2063</v>
          </cell>
        </row>
        <row r="4398">
          <cell r="D4398" t="str">
            <v>Erval Velho</v>
          </cell>
          <cell r="E4398">
            <v>4412</v>
          </cell>
        </row>
        <row r="4399">
          <cell r="D4399" t="str">
            <v>Faxinal dos Guedes</v>
          </cell>
          <cell r="E4399">
            <v>10667</v>
          </cell>
        </row>
        <row r="4400">
          <cell r="D4400" t="str">
            <v>Flor do Sertão</v>
          </cell>
          <cell r="E4400">
            <v>1582</v>
          </cell>
        </row>
        <row r="4401">
          <cell r="D4401" t="str">
            <v>Florianópolis</v>
          </cell>
          <cell r="E4401">
            <v>500973</v>
          </cell>
        </row>
        <row r="4402">
          <cell r="D4402" t="str">
            <v>Formosa do Sul</v>
          </cell>
          <cell r="E4402">
            <v>2510</v>
          </cell>
        </row>
        <row r="4403">
          <cell r="D4403" t="str">
            <v>Forquilhinha</v>
          </cell>
          <cell r="E4403">
            <v>26793</v>
          </cell>
        </row>
        <row r="4404">
          <cell r="D4404" t="str">
            <v>Fraiburgo</v>
          </cell>
          <cell r="E4404">
            <v>36443</v>
          </cell>
        </row>
        <row r="4405">
          <cell r="D4405" t="str">
            <v>Frei Rogério</v>
          </cell>
          <cell r="E4405">
            <v>2023</v>
          </cell>
        </row>
        <row r="4406">
          <cell r="D4406" t="str">
            <v>Galvão</v>
          </cell>
          <cell r="E4406">
            <v>2873</v>
          </cell>
        </row>
        <row r="4407">
          <cell r="D4407" t="str">
            <v>Garopaba</v>
          </cell>
          <cell r="E4407">
            <v>23078</v>
          </cell>
        </row>
        <row r="4408">
          <cell r="D4408" t="str">
            <v>Garuva</v>
          </cell>
          <cell r="E4408">
            <v>18145</v>
          </cell>
        </row>
        <row r="4409">
          <cell r="D4409" t="str">
            <v>Gaspar</v>
          </cell>
          <cell r="E4409">
            <v>69639</v>
          </cell>
        </row>
        <row r="4410">
          <cell r="D4410" t="str">
            <v>Governador Celso Ramos</v>
          </cell>
          <cell r="E4410">
            <v>14471</v>
          </cell>
        </row>
        <row r="4411">
          <cell r="D4411" t="str">
            <v>Grão Pará</v>
          </cell>
          <cell r="E4411">
            <v>6569</v>
          </cell>
        </row>
        <row r="4412">
          <cell r="D4412" t="str">
            <v>Gravatal</v>
          </cell>
          <cell r="E4412">
            <v>11501</v>
          </cell>
        </row>
        <row r="4413">
          <cell r="D4413" t="str">
            <v>Guabiruba</v>
          </cell>
          <cell r="E4413">
            <v>23832</v>
          </cell>
        </row>
        <row r="4414">
          <cell r="D4414" t="str">
            <v>Guaraciaba</v>
          </cell>
          <cell r="E4414">
            <v>10090</v>
          </cell>
        </row>
        <row r="4415">
          <cell r="D4415" t="str">
            <v>Guaramirim</v>
          </cell>
          <cell r="E4415">
            <v>44819</v>
          </cell>
        </row>
        <row r="4416">
          <cell r="D4416" t="str">
            <v>Guarujá do Sul</v>
          </cell>
          <cell r="E4416">
            <v>5160</v>
          </cell>
        </row>
        <row r="4417">
          <cell r="D4417" t="str">
            <v>Guatambú</v>
          </cell>
          <cell r="E4417">
            <v>4704</v>
          </cell>
        </row>
        <row r="4418">
          <cell r="D4418" t="str">
            <v>Herval d'Oeste</v>
          </cell>
          <cell r="E4418">
            <v>22606</v>
          </cell>
        </row>
        <row r="4419">
          <cell r="D4419" t="str">
            <v>Ibiam</v>
          </cell>
          <cell r="E4419">
            <v>1957</v>
          </cell>
        </row>
        <row r="4420">
          <cell r="D4420" t="str">
            <v>Ibicaré</v>
          </cell>
          <cell r="E4420">
            <v>3202</v>
          </cell>
        </row>
        <row r="4421">
          <cell r="D4421" t="str">
            <v>Ibirama</v>
          </cell>
          <cell r="E4421">
            <v>18950</v>
          </cell>
        </row>
        <row r="4422">
          <cell r="D4422" t="str">
            <v>Içara</v>
          </cell>
          <cell r="E4422">
            <v>56421</v>
          </cell>
        </row>
        <row r="4423">
          <cell r="D4423" t="str">
            <v>Ilhota</v>
          </cell>
          <cell r="E4423">
            <v>14184</v>
          </cell>
        </row>
        <row r="4424">
          <cell r="D4424" t="str">
            <v>Imaruí</v>
          </cell>
          <cell r="E4424">
            <v>10135</v>
          </cell>
        </row>
        <row r="4425">
          <cell r="D4425" t="str">
            <v>Imbituba</v>
          </cell>
          <cell r="E4425">
            <v>44853</v>
          </cell>
        </row>
        <row r="4426">
          <cell r="D4426" t="str">
            <v>Imbuia</v>
          </cell>
          <cell r="E4426">
            <v>6197</v>
          </cell>
        </row>
        <row r="4427">
          <cell r="D4427" t="str">
            <v>Indaial</v>
          </cell>
          <cell r="E4427">
            <v>69425</v>
          </cell>
        </row>
        <row r="4428">
          <cell r="D4428" t="str">
            <v>Iomerê</v>
          </cell>
          <cell r="E4428">
            <v>2945</v>
          </cell>
        </row>
        <row r="4429">
          <cell r="D4429" t="str">
            <v>Ipira</v>
          </cell>
          <cell r="E4429">
            <v>4446</v>
          </cell>
        </row>
        <row r="4430">
          <cell r="D4430" t="str">
            <v>Iporã do Oeste</v>
          </cell>
          <cell r="E4430">
            <v>8996</v>
          </cell>
        </row>
        <row r="4431">
          <cell r="D4431" t="str">
            <v>Ipuaçu</v>
          </cell>
          <cell r="E4431">
            <v>7514</v>
          </cell>
        </row>
        <row r="4432">
          <cell r="D4432" t="str">
            <v>Ipumirim</v>
          </cell>
          <cell r="E4432">
            <v>7593</v>
          </cell>
        </row>
        <row r="4433">
          <cell r="D4433" t="str">
            <v>Iraceminha</v>
          </cell>
          <cell r="E4433">
            <v>3976</v>
          </cell>
        </row>
        <row r="4434">
          <cell r="D4434" t="str">
            <v>Irani</v>
          </cell>
          <cell r="E4434">
            <v>10419</v>
          </cell>
        </row>
        <row r="4435">
          <cell r="D4435" t="str">
            <v>Irati</v>
          </cell>
          <cell r="E4435">
            <v>1930</v>
          </cell>
        </row>
        <row r="4436">
          <cell r="D4436" t="str">
            <v>Irineópolis</v>
          </cell>
          <cell r="E4436">
            <v>11222</v>
          </cell>
        </row>
        <row r="4437">
          <cell r="D4437" t="str">
            <v>Itá</v>
          </cell>
          <cell r="E4437">
            <v>6169</v>
          </cell>
        </row>
        <row r="4438">
          <cell r="D4438" t="str">
            <v>Itaiópolis</v>
          </cell>
          <cell r="E4438">
            <v>21669</v>
          </cell>
        </row>
        <row r="4439">
          <cell r="D4439" t="str">
            <v>Itajaí</v>
          </cell>
          <cell r="E4439">
            <v>219536</v>
          </cell>
        </row>
        <row r="4440">
          <cell r="D4440" t="str">
            <v>Itapema</v>
          </cell>
          <cell r="E4440">
            <v>65312</v>
          </cell>
        </row>
        <row r="4441">
          <cell r="D4441" t="str">
            <v>Itapiranga</v>
          </cell>
          <cell r="E4441">
            <v>16872</v>
          </cell>
        </row>
        <row r="4442">
          <cell r="D4442" t="str">
            <v>Itapoá</v>
          </cell>
          <cell r="E4442">
            <v>20576</v>
          </cell>
        </row>
        <row r="4443">
          <cell r="D4443" t="str">
            <v>Ituporanga</v>
          </cell>
          <cell r="E4443">
            <v>25086</v>
          </cell>
        </row>
        <row r="4444">
          <cell r="D4444" t="str">
            <v>Jaborá</v>
          </cell>
          <cell r="E4444">
            <v>3936</v>
          </cell>
        </row>
        <row r="4445">
          <cell r="D4445" t="str">
            <v>Jacinto Machado</v>
          </cell>
          <cell r="E4445">
            <v>10416</v>
          </cell>
        </row>
        <row r="4446">
          <cell r="D4446" t="str">
            <v>Jaguaruna</v>
          </cell>
          <cell r="E4446">
            <v>20024</v>
          </cell>
        </row>
        <row r="4447">
          <cell r="D4447" t="str">
            <v>Jaraguá do Sul</v>
          </cell>
          <cell r="E4447">
            <v>177697</v>
          </cell>
        </row>
        <row r="4448">
          <cell r="D4448" t="str">
            <v>Jardinópolis</v>
          </cell>
          <cell r="E4448">
            <v>1570</v>
          </cell>
        </row>
        <row r="4449">
          <cell r="D4449" t="str">
            <v>Joaçaba</v>
          </cell>
          <cell r="E4449">
            <v>30118</v>
          </cell>
        </row>
        <row r="4450">
          <cell r="D4450" t="str">
            <v>Joinville</v>
          </cell>
          <cell r="E4450">
            <v>590466</v>
          </cell>
        </row>
        <row r="4451">
          <cell r="D4451" t="str">
            <v>José Boiteux</v>
          </cell>
          <cell r="E4451">
            <v>4997</v>
          </cell>
        </row>
        <row r="4452">
          <cell r="D4452" t="str">
            <v>Jupiá</v>
          </cell>
          <cell r="E4452">
            <v>2101</v>
          </cell>
        </row>
        <row r="4453">
          <cell r="D4453" t="str">
            <v>Lacerdópolis</v>
          </cell>
          <cell r="E4453">
            <v>2246</v>
          </cell>
        </row>
        <row r="4454">
          <cell r="D4454" t="str">
            <v>Lages</v>
          </cell>
          <cell r="E4454">
            <v>157544</v>
          </cell>
        </row>
        <row r="4455">
          <cell r="D4455" t="str">
            <v>Laguna</v>
          </cell>
          <cell r="E4455">
            <v>45814</v>
          </cell>
        </row>
        <row r="4456">
          <cell r="D4456" t="str">
            <v>Lajeado Grande</v>
          </cell>
          <cell r="E4456">
            <v>1427</v>
          </cell>
        </row>
        <row r="4457">
          <cell r="D4457" t="str">
            <v>Laurentino</v>
          </cell>
          <cell r="E4457">
            <v>6970</v>
          </cell>
        </row>
        <row r="4458">
          <cell r="D4458" t="str">
            <v>Lauro Muller</v>
          </cell>
          <cell r="E4458">
            <v>15244</v>
          </cell>
        </row>
        <row r="4459">
          <cell r="D4459" t="str">
            <v>Lebon Régis</v>
          </cell>
          <cell r="E4459">
            <v>12107</v>
          </cell>
        </row>
        <row r="4460">
          <cell r="D4460" t="str">
            <v>Leoberto Leal</v>
          </cell>
          <cell r="E4460">
            <v>3041</v>
          </cell>
        </row>
        <row r="4461">
          <cell r="D4461" t="str">
            <v>Lindóia do Sul</v>
          </cell>
          <cell r="E4461">
            <v>4563</v>
          </cell>
        </row>
        <row r="4462">
          <cell r="D4462" t="str">
            <v>Lontras</v>
          </cell>
          <cell r="E4462">
            <v>12130</v>
          </cell>
        </row>
        <row r="4463">
          <cell r="D4463" t="str">
            <v>Luiz Alves</v>
          </cell>
          <cell r="E4463">
            <v>12859</v>
          </cell>
        </row>
        <row r="4464">
          <cell r="D4464" t="str">
            <v>Luzerna</v>
          </cell>
          <cell r="E4464">
            <v>5685</v>
          </cell>
        </row>
        <row r="4465">
          <cell r="D4465" t="str">
            <v>Macieira</v>
          </cell>
          <cell r="E4465">
            <v>1775</v>
          </cell>
        </row>
        <row r="4466">
          <cell r="D4466" t="str">
            <v>Mafra</v>
          </cell>
          <cell r="E4466">
            <v>56292</v>
          </cell>
        </row>
        <row r="4467">
          <cell r="D4467" t="str">
            <v>Major Gercino</v>
          </cell>
          <cell r="E4467">
            <v>3442</v>
          </cell>
        </row>
        <row r="4468">
          <cell r="D4468" t="str">
            <v>Major Vieira</v>
          </cell>
          <cell r="E4468">
            <v>8103</v>
          </cell>
        </row>
        <row r="4469">
          <cell r="D4469" t="str">
            <v>Maracajá</v>
          </cell>
          <cell r="E4469">
            <v>7293</v>
          </cell>
        </row>
        <row r="4470">
          <cell r="D4470" t="str">
            <v>Maravilha</v>
          </cell>
          <cell r="E4470">
            <v>25762</v>
          </cell>
        </row>
        <row r="4471">
          <cell r="D4471" t="str">
            <v>Marema</v>
          </cell>
          <cell r="E4471">
            <v>1797</v>
          </cell>
        </row>
        <row r="4472">
          <cell r="D4472" t="str">
            <v>Massaranduba</v>
          </cell>
          <cell r="E4472">
            <v>16916</v>
          </cell>
        </row>
        <row r="4473">
          <cell r="D4473" t="str">
            <v>Matos Costa</v>
          </cell>
          <cell r="E4473">
            <v>2520</v>
          </cell>
        </row>
        <row r="4474">
          <cell r="D4474" t="str">
            <v>Meleiro</v>
          </cell>
          <cell r="E4474">
            <v>7015</v>
          </cell>
        </row>
        <row r="4475">
          <cell r="D4475" t="str">
            <v>Mirim Doce</v>
          </cell>
          <cell r="E4475">
            <v>2309</v>
          </cell>
        </row>
        <row r="4476">
          <cell r="D4476" t="str">
            <v>Modelo</v>
          </cell>
          <cell r="E4476">
            <v>4209</v>
          </cell>
        </row>
        <row r="4477">
          <cell r="D4477" t="str">
            <v>Mondaí</v>
          </cell>
          <cell r="E4477">
            <v>11742</v>
          </cell>
        </row>
        <row r="4478">
          <cell r="D4478" t="str">
            <v>Monte Carlo</v>
          </cell>
          <cell r="E4478">
            <v>9866</v>
          </cell>
        </row>
        <row r="4479">
          <cell r="D4479" t="str">
            <v>Monte Castelo</v>
          </cell>
          <cell r="E4479">
            <v>8275</v>
          </cell>
        </row>
        <row r="4480">
          <cell r="D4480" t="str">
            <v>Morro da Fumaça</v>
          </cell>
          <cell r="E4480">
            <v>17796</v>
          </cell>
        </row>
        <row r="4481">
          <cell r="D4481" t="str">
            <v>Morro Grande</v>
          </cell>
          <cell r="E4481">
            <v>2893</v>
          </cell>
        </row>
        <row r="4482">
          <cell r="D4482" t="str">
            <v>Navegantes</v>
          </cell>
          <cell r="E4482">
            <v>81475</v>
          </cell>
        </row>
        <row r="4483">
          <cell r="D4483" t="str">
            <v>Nova Erechim</v>
          </cell>
          <cell r="E4483">
            <v>5019</v>
          </cell>
        </row>
        <row r="4484">
          <cell r="D4484" t="str">
            <v>Nova Itaberaba</v>
          </cell>
          <cell r="E4484">
            <v>4331</v>
          </cell>
        </row>
        <row r="4485">
          <cell r="D4485" t="str">
            <v>Nova Trento</v>
          </cell>
          <cell r="E4485">
            <v>14549</v>
          </cell>
        </row>
        <row r="4486">
          <cell r="D4486" t="str">
            <v>Nova Veneza</v>
          </cell>
          <cell r="E4486">
            <v>15166</v>
          </cell>
        </row>
        <row r="4487">
          <cell r="D4487" t="str">
            <v>Novo Horizonte</v>
          </cell>
          <cell r="E4487">
            <v>2442</v>
          </cell>
        </row>
        <row r="4488">
          <cell r="D4488" t="str">
            <v>Orleans</v>
          </cell>
          <cell r="E4488">
            <v>22912</v>
          </cell>
        </row>
        <row r="4489">
          <cell r="D4489" t="str">
            <v>Otacílio Costa</v>
          </cell>
          <cell r="E4489">
            <v>18744</v>
          </cell>
        </row>
        <row r="4490">
          <cell r="D4490" t="str">
            <v>Ouro</v>
          </cell>
          <cell r="E4490">
            <v>7295</v>
          </cell>
        </row>
        <row r="4491">
          <cell r="D4491" t="str">
            <v>Ouro Verde</v>
          </cell>
          <cell r="E4491">
            <v>2217</v>
          </cell>
        </row>
        <row r="4492">
          <cell r="D4492" t="str">
            <v>Paial</v>
          </cell>
          <cell r="E4492">
            <v>1505</v>
          </cell>
        </row>
        <row r="4493">
          <cell r="D4493" t="str">
            <v>Painel</v>
          </cell>
          <cell r="E4493">
            <v>2359</v>
          </cell>
        </row>
        <row r="4494">
          <cell r="D4494" t="str">
            <v>Palhoça</v>
          </cell>
          <cell r="E4494">
            <v>171797</v>
          </cell>
        </row>
        <row r="4495">
          <cell r="D4495" t="str">
            <v>Palma Sola</v>
          </cell>
          <cell r="E4495">
            <v>7423</v>
          </cell>
        </row>
        <row r="4496">
          <cell r="D4496" t="str">
            <v>Palmeira</v>
          </cell>
          <cell r="E4496">
            <v>2627</v>
          </cell>
        </row>
        <row r="4497">
          <cell r="D4497" t="str">
            <v>Palmitos</v>
          </cell>
          <cell r="E4497">
            <v>16169</v>
          </cell>
        </row>
        <row r="4498">
          <cell r="D4498" t="str">
            <v>Papanduva</v>
          </cell>
          <cell r="E4498">
            <v>19320</v>
          </cell>
        </row>
        <row r="4499">
          <cell r="D4499" t="str">
            <v>Paraíso</v>
          </cell>
          <cell r="E4499">
            <v>3437</v>
          </cell>
        </row>
        <row r="4500">
          <cell r="D4500" t="str">
            <v>Passo de Torres</v>
          </cell>
          <cell r="E4500">
            <v>8823</v>
          </cell>
        </row>
        <row r="4501">
          <cell r="D4501" t="str">
            <v>Passos Maia</v>
          </cell>
          <cell r="E4501">
            <v>4147</v>
          </cell>
        </row>
        <row r="4502">
          <cell r="D4502" t="str">
            <v>Paulo Lopes</v>
          </cell>
          <cell r="E4502">
            <v>7494</v>
          </cell>
        </row>
        <row r="4503">
          <cell r="D4503" t="str">
            <v>Pedras Grandes</v>
          </cell>
          <cell r="E4503">
            <v>3976</v>
          </cell>
        </row>
        <row r="4504">
          <cell r="D4504" t="str">
            <v>Penha</v>
          </cell>
          <cell r="E4504">
            <v>32531</v>
          </cell>
        </row>
        <row r="4505">
          <cell r="D4505" t="str">
            <v>Peritiba</v>
          </cell>
          <cell r="E4505">
            <v>2787</v>
          </cell>
        </row>
        <row r="4506">
          <cell r="D4506" t="str">
            <v>Pescaria Brava</v>
          </cell>
          <cell r="E4506">
            <v>10091</v>
          </cell>
        </row>
        <row r="4507">
          <cell r="D4507" t="str">
            <v>Petrolândia</v>
          </cell>
          <cell r="E4507">
            <v>5937</v>
          </cell>
        </row>
        <row r="4508">
          <cell r="D4508" t="str">
            <v>Balneário Piçarras</v>
          </cell>
          <cell r="E4508">
            <v>23147</v>
          </cell>
        </row>
        <row r="4509">
          <cell r="D4509" t="str">
            <v>Pinhalzinho</v>
          </cell>
          <cell r="E4509">
            <v>20313</v>
          </cell>
        </row>
        <row r="4510">
          <cell r="D4510" t="str">
            <v>Pinheiro Preto</v>
          </cell>
          <cell r="E4510">
            <v>3555</v>
          </cell>
        </row>
        <row r="4511">
          <cell r="D4511" t="str">
            <v>Piratuba</v>
          </cell>
          <cell r="E4511">
            <v>3854</v>
          </cell>
        </row>
        <row r="4512">
          <cell r="D4512" t="str">
            <v>Planalto Alegre</v>
          </cell>
          <cell r="E4512">
            <v>2870</v>
          </cell>
        </row>
        <row r="4513">
          <cell r="D4513" t="str">
            <v>Pomerode</v>
          </cell>
          <cell r="E4513">
            <v>33447</v>
          </cell>
        </row>
        <row r="4514">
          <cell r="D4514" t="str">
            <v>Ponte Alta</v>
          </cell>
          <cell r="E4514">
            <v>4682</v>
          </cell>
        </row>
        <row r="4515">
          <cell r="D4515" t="str">
            <v>Ponte Alta do Norte</v>
          </cell>
          <cell r="E4515">
            <v>3414</v>
          </cell>
        </row>
        <row r="4516">
          <cell r="D4516" t="str">
            <v>Ponte Serrada</v>
          </cell>
          <cell r="E4516">
            <v>11593</v>
          </cell>
        </row>
        <row r="4517">
          <cell r="D4517" t="str">
            <v>Porto Belo</v>
          </cell>
          <cell r="E4517">
            <v>21388</v>
          </cell>
        </row>
        <row r="4518">
          <cell r="D4518" t="str">
            <v>Porto União</v>
          </cell>
          <cell r="E4518">
            <v>35398</v>
          </cell>
        </row>
        <row r="4519">
          <cell r="D4519" t="str">
            <v>Pouso Redondo</v>
          </cell>
          <cell r="E4519">
            <v>17453</v>
          </cell>
        </row>
        <row r="4520">
          <cell r="D4520" t="str">
            <v>Praia Grande</v>
          </cell>
          <cell r="E4520">
            <v>7319</v>
          </cell>
        </row>
        <row r="4521">
          <cell r="D4521" t="str">
            <v>Presidente Castello Branco</v>
          </cell>
          <cell r="E4521">
            <v>1568</v>
          </cell>
        </row>
        <row r="4522">
          <cell r="D4522" t="str">
            <v>Presidente Getúlio</v>
          </cell>
          <cell r="E4522">
            <v>17471</v>
          </cell>
        </row>
        <row r="4523">
          <cell r="D4523" t="str">
            <v>Presidente Nereu</v>
          </cell>
          <cell r="E4523">
            <v>2287</v>
          </cell>
        </row>
        <row r="4524">
          <cell r="D4524" t="str">
            <v>Princesa</v>
          </cell>
          <cell r="E4524">
            <v>2924</v>
          </cell>
        </row>
        <row r="4525">
          <cell r="D4525" t="str">
            <v>Quilombo</v>
          </cell>
          <cell r="E4525">
            <v>9887</v>
          </cell>
        </row>
        <row r="4526">
          <cell r="D4526" t="str">
            <v>Rancho Queimado</v>
          </cell>
          <cell r="E4526">
            <v>2878</v>
          </cell>
        </row>
        <row r="4527">
          <cell r="D4527" t="str">
            <v>Rio das Antas</v>
          </cell>
          <cell r="E4527">
            <v>6205</v>
          </cell>
        </row>
        <row r="4528">
          <cell r="D4528" t="str">
            <v>Rio do Campo</v>
          </cell>
          <cell r="E4528">
            <v>5940</v>
          </cell>
        </row>
        <row r="4529">
          <cell r="D4529" t="str">
            <v>Rio do Oeste</v>
          </cell>
          <cell r="E4529">
            <v>7489</v>
          </cell>
        </row>
        <row r="4530">
          <cell r="D4530" t="str">
            <v>Rio dos Cedros</v>
          </cell>
          <cell r="E4530">
            <v>11676</v>
          </cell>
        </row>
        <row r="4531">
          <cell r="D4531" t="str">
            <v>Rio do Sul</v>
          </cell>
          <cell r="E4531">
            <v>71061</v>
          </cell>
        </row>
        <row r="4532">
          <cell r="D4532" t="str">
            <v>Rio Fortuna</v>
          </cell>
          <cell r="E4532">
            <v>4611</v>
          </cell>
        </row>
        <row r="4533">
          <cell r="D4533" t="str">
            <v>Rio Negrinho</v>
          </cell>
          <cell r="E4533">
            <v>42302</v>
          </cell>
        </row>
        <row r="4534">
          <cell r="D4534" t="str">
            <v>Rio Rufino</v>
          </cell>
          <cell r="E4534">
            <v>2483</v>
          </cell>
        </row>
        <row r="4535">
          <cell r="D4535" t="str">
            <v>Riqueza</v>
          </cell>
          <cell r="E4535">
            <v>4598</v>
          </cell>
        </row>
        <row r="4536">
          <cell r="D4536" t="str">
            <v>Rodeio</v>
          </cell>
          <cell r="E4536">
            <v>11551</v>
          </cell>
        </row>
        <row r="4537">
          <cell r="D4537" t="str">
            <v>Romelândia</v>
          </cell>
          <cell r="E4537">
            <v>4786</v>
          </cell>
        </row>
        <row r="4538">
          <cell r="D4538" t="str">
            <v>Salete</v>
          </cell>
          <cell r="E4538">
            <v>7642</v>
          </cell>
        </row>
        <row r="4539">
          <cell r="D4539" t="str">
            <v>Saltinho</v>
          </cell>
          <cell r="E4539">
            <v>3781</v>
          </cell>
        </row>
        <row r="4540">
          <cell r="D4540" t="str">
            <v>Salto Veloso</v>
          </cell>
          <cell r="E4540">
            <v>4718</v>
          </cell>
        </row>
        <row r="4541">
          <cell r="D4541" t="str">
            <v>Sangão</v>
          </cell>
          <cell r="E4541">
            <v>12678</v>
          </cell>
        </row>
        <row r="4542">
          <cell r="D4542" t="str">
            <v>Santa Cecília</v>
          </cell>
          <cell r="E4542">
            <v>16830</v>
          </cell>
        </row>
        <row r="4543">
          <cell r="D4543" t="str">
            <v>Santa Helena</v>
          </cell>
          <cell r="E4543">
            <v>2223</v>
          </cell>
        </row>
        <row r="4544">
          <cell r="D4544" t="str">
            <v>Santa Rosa de Lima</v>
          </cell>
          <cell r="E4544">
            <v>2142</v>
          </cell>
        </row>
        <row r="4545">
          <cell r="D4545" t="str">
            <v>Santa Rosa do Sul</v>
          </cell>
          <cell r="E4545">
            <v>8358</v>
          </cell>
        </row>
        <row r="4546">
          <cell r="D4546" t="str">
            <v>Santa Terezinha</v>
          </cell>
          <cell r="E4546">
            <v>8787</v>
          </cell>
        </row>
        <row r="4547">
          <cell r="D4547" t="str">
            <v>Santa Terezinha do Progresso</v>
          </cell>
          <cell r="E4547">
            <v>2428</v>
          </cell>
        </row>
        <row r="4548">
          <cell r="D4548" t="str">
            <v>Santiago do Sul</v>
          </cell>
          <cell r="E4548">
            <v>1260</v>
          </cell>
        </row>
        <row r="4549">
          <cell r="D4549" t="str">
            <v>Santo Amaro da Imperatriz</v>
          </cell>
          <cell r="E4549">
            <v>23245</v>
          </cell>
        </row>
        <row r="4550">
          <cell r="D4550" t="str">
            <v>São Bernardino</v>
          </cell>
          <cell r="E4550">
            <v>2336</v>
          </cell>
        </row>
        <row r="4551">
          <cell r="D4551" t="str">
            <v>São Bento do Sul</v>
          </cell>
          <cell r="E4551">
            <v>84507</v>
          </cell>
        </row>
        <row r="4552">
          <cell r="D4552" t="str">
            <v>São Bonifácio</v>
          </cell>
          <cell r="E4552">
            <v>2838</v>
          </cell>
        </row>
        <row r="4553">
          <cell r="D4553" t="str">
            <v>São Carlos</v>
          </cell>
          <cell r="E4553">
            <v>11281</v>
          </cell>
        </row>
        <row r="4554">
          <cell r="D4554" t="str">
            <v>São Cristovão do Sul</v>
          </cell>
          <cell r="E4554">
            <v>5549</v>
          </cell>
        </row>
        <row r="4555">
          <cell r="D4555" t="str">
            <v>São Domingos</v>
          </cell>
          <cell r="E4555">
            <v>9445</v>
          </cell>
        </row>
        <row r="4556">
          <cell r="D4556" t="str">
            <v>São Francisco do Sul</v>
          </cell>
          <cell r="E4556">
            <v>52721</v>
          </cell>
        </row>
        <row r="4557">
          <cell r="D4557" t="str">
            <v>São João do Oeste</v>
          </cell>
          <cell r="E4557">
            <v>6381</v>
          </cell>
        </row>
        <row r="4558">
          <cell r="D4558" t="str">
            <v>São João Batista</v>
          </cell>
          <cell r="E4558">
            <v>37424</v>
          </cell>
        </row>
        <row r="4559">
          <cell r="D4559" t="str">
            <v>São João do Itaperiú</v>
          </cell>
          <cell r="E4559">
            <v>3733</v>
          </cell>
        </row>
        <row r="4560">
          <cell r="D4560" t="str">
            <v>São João do Sul</v>
          </cell>
          <cell r="E4560">
            <v>7297</v>
          </cell>
        </row>
        <row r="4561">
          <cell r="D4561" t="str">
            <v>São Joaquim</v>
          </cell>
          <cell r="E4561">
            <v>26952</v>
          </cell>
        </row>
        <row r="4562">
          <cell r="D4562" t="str">
            <v>São José</v>
          </cell>
          <cell r="E4562">
            <v>246586</v>
          </cell>
        </row>
        <row r="4563">
          <cell r="D4563" t="str">
            <v>São José do Cedro</v>
          </cell>
          <cell r="E4563">
            <v>13829</v>
          </cell>
        </row>
        <row r="4564">
          <cell r="D4564" t="str">
            <v>São José do Cerrito</v>
          </cell>
          <cell r="E4564">
            <v>8295</v>
          </cell>
        </row>
        <row r="4565">
          <cell r="D4565" t="str">
            <v>São Lourenço do Oeste</v>
          </cell>
          <cell r="E4565">
            <v>24076</v>
          </cell>
        </row>
        <row r="4566">
          <cell r="D4566" t="str">
            <v>São Ludgero</v>
          </cell>
          <cell r="E4566">
            <v>13410</v>
          </cell>
        </row>
        <row r="4567">
          <cell r="D4567" t="str">
            <v>São Martinho</v>
          </cell>
          <cell r="E4567">
            <v>3180</v>
          </cell>
        </row>
        <row r="4568">
          <cell r="D4568" t="str">
            <v>São Miguel da Boa Vista</v>
          </cell>
          <cell r="E4568">
            <v>1820</v>
          </cell>
        </row>
        <row r="4569">
          <cell r="D4569" t="str">
            <v>São Miguel do Oeste</v>
          </cell>
          <cell r="E4569">
            <v>40482</v>
          </cell>
        </row>
        <row r="4570">
          <cell r="D4570" t="str">
            <v>São Pedro de Alcântara</v>
          </cell>
          <cell r="E4570">
            <v>5823</v>
          </cell>
        </row>
        <row r="4571">
          <cell r="D4571" t="str">
            <v>Saudades</v>
          </cell>
          <cell r="E4571">
            <v>9745</v>
          </cell>
        </row>
        <row r="4572">
          <cell r="D4572" t="str">
            <v>Schroeder</v>
          </cell>
          <cell r="E4572">
            <v>21365</v>
          </cell>
        </row>
        <row r="4573">
          <cell r="D4573" t="str">
            <v>Seara</v>
          </cell>
          <cell r="E4573">
            <v>17541</v>
          </cell>
        </row>
        <row r="4574">
          <cell r="D4574" t="str">
            <v>Serra Alta</v>
          </cell>
          <cell r="E4574">
            <v>3263</v>
          </cell>
        </row>
        <row r="4575">
          <cell r="D4575" t="str">
            <v>Siderópolis</v>
          </cell>
          <cell r="E4575">
            <v>14007</v>
          </cell>
        </row>
        <row r="4576">
          <cell r="D4576" t="str">
            <v>Sombrio</v>
          </cell>
          <cell r="E4576">
            <v>30374</v>
          </cell>
        </row>
        <row r="4577">
          <cell r="D4577" t="str">
            <v>Sul Brasil</v>
          </cell>
          <cell r="E4577">
            <v>2461</v>
          </cell>
        </row>
        <row r="4578">
          <cell r="D4578" t="str">
            <v>Taió</v>
          </cell>
          <cell r="E4578">
            <v>18395</v>
          </cell>
        </row>
        <row r="4579">
          <cell r="D4579" t="str">
            <v>Tangará</v>
          </cell>
          <cell r="E4579">
            <v>8676</v>
          </cell>
        </row>
        <row r="4580">
          <cell r="D4580" t="str">
            <v>Tigrinhos</v>
          </cell>
          <cell r="E4580">
            <v>1633</v>
          </cell>
        </row>
        <row r="4581">
          <cell r="D4581" t="str">
            <v>Tijucas</v>
          </cell>
          <cell r="E4581">
            <v>38407</v>
          </cell>
        </row>
        <row r="4582">
          <cell r="D4582" t="str">
            <v>Timbé do Sul</v>
          </cell>
          <cell r="E4582">
            <v>5348</v>
          </cell>
        </row>
        <row r="4583">
          <cell r="D4583" t="str">
            <v>Timbó</v>
          </cell>
          <cell r="E4583">
            <v>44238</v>
          </cell>
        </row>
        <row r="4584">
          <cell r="D4584" t="str">
            <v>Timbó Grande</v>
          </cell>
          <cell r="E4584">
            <v>7877</v>
          </cell>
        </row>
        <row r="4585">
          <cell r="D4585" t="str">
            <v>Três Barras</v>
          </cell>
          <cell r="E4585">
            <v>19275</v>
          </cell>
        </row>
        <row r="4586">
          <cell r="D4586" t="str">
            <v>Treviso</v>
          </cell>
          <cell r="E4586">
            <v>3929</v>
          </cell>
        </row>
        <row r="4587">
          <cell r="D4587" t="str">
            <v>Treze de Maio</v>
          </cell>
          <cell r="E4587">
            <v>7081</v>
          </cell>
        </row>
        <row r="4588">
          <cell r="D4588" t="str">
            <v>Treze Tílias</v>
          </cell>
          <cell r="E4588">
            <v>7840</v>
          </cell>
        </row>
        <row r="4589">
          <cell r="D4589" t="str">
            <v>Trombudo Central</v>
          </cell>
          <cell r="E4589">
            <v>7360</v>
          </cell>
        </row>
        <row r="4590">
          <cell r="D4590" t="str">
            <v>Tubarão</v>
          </cell>
          <cell r="E4590">
            <v>105686</v>
          </cell>
        </row>
        <row r="4591">
          <cell r="D4591" t="str">
            <v>Tunápolis</v>
          </cell>
          <cell r="E4591">
            <v>4543</v>
          </cell>
        </row>
        <row r="4592">
          <cell r="D4592" t="str">
            <v>Turvo</v>
          </cell>
          <cell r="E4592">
            <v>12899</v>
          </cell>
        </row>
        <row r="4593">
          <cell r="D4593" t="str">
            <v>União do Oeste</v>
          </cell>
          <cell r="E4593">
            <v>2464</v>
          </cell>
        </row>
        <row r="4594">
          <cell r="D4594" t="str">
            <v>Urubici</v>
          </cell>
          <cell r="E4594">
            <v>11235</v>
          </cell>
        </row>
        <row r="4595">
          <cell r="D4595" t="str">
            <v>Urupema</v>
          </cell>
          <cell r="E4595">
            <v>2465</v>
          </cell>
        </row>
        <row r="4596">
          <cell r="D4596" t="str">
            <v>Urussanga</v>
          </cell>
          <cell r="E4596">
            <v>21268</v>
          </cell>
        </row>
        <row r="4597">
          <cell r="D4597" t="str">
            <v>Vargeão</v>
          </cell>
          <cell r="E4597">
            <v>3573</v>
          </cell>
        </row>
        <row r="4598">
          <cell r="D4598" t="str">
            <v>Vargem</v>
          </cell>
          <cell r="E4598">
            <v>2477</v>
          </cell>
        </row>
        <row r="4599">
          <cell r="D4599" t="str">
            <v>Vargem Bonita</v>
          </cell>
          <cell r="E4599">
            <v>4492</v>
          </cell>
        </row>
        <row r="4600">
          <cell r="D4600" t="str">
            <v>Vidal Ramos</v>
          </cell>
          <cell r="E4600">
            <v>6338</v>
          </cell>
        </row>
        <row r="4601">
          <cell r="D4601" t="str">
            <v>Videira</v>
          </cell>
          <cell r="E4601">
            <v>53065</v>
          </cell>
        </row>
        <row r="4602">
          <cell r="D4602" t="str">
            <v>Vitor Meireles</v>
          </cell>
          <cell r="E4602">
            <v>4979</v>
          </cell>
        </row>
        <row r="4603">
          <cell r="D4603" t="str">
            <v>Witmarsum</v>
          </cell>
          <cell r="E4603">
            <v>3965</v>
          </cell>
        </row>
        <row r="4604">
          <cell r="D4604" t="str">
            <v>Xanxerê</v>
          </cell>
          <cell r="E4604">
            <v>50982</v>
          </cell>
        </row>
        <row r="4605">
          <cell r="D4605" t="str">
            <v>Xavantina</v>
          </cell>
          <cell r="E4605">
            <v>3933</v>
          </cell>
        </row>
        <row r="4606">
          <cell r="D4606" t="str">
            <v>Xaxim</v>
          </cell>
          <cell r="E4606">
            <v>28706</v>
          </cell>
        </row>
        <row r="4607">
          <cell r="D4607" t="str">
            <v>Zortéa</v>
          </cell>
          <cell r="E4607">
            <v>3363</v>
          </cell>
        </row>
        <row r="4608">
          <cell r="D4608" t="str">
            <v>Balneário Rincão</v>
          </cell>
          <cell r="E4608">
            <v>12760</v>
          </cell>
        </row>
        <row r="4609">
          <cell r="D4609" t="str">
            <v>Aceguá</v>
          </cell>
          <cell r="E4609">
            <v>4901</v>
          </cell>
        </row>
        <row r="4610">
          <cell r="D4610" t="str">
            <v>Água Santa</v>
          </cell>
          <cell r="E4610">
            <v>3748</v>
          </cell>
        </row>
        <row r="4611">
          <cell r="D4611" t="str">
            <v>Agudo</v>
          </cell>
          <cell r="E4611">
            <v>16461</v>
          </cell>
        </row>
        <row r="4612">
          <cell r="D4612" t="str">
            <v>Ajuricaba</v>
          </cell>
          <cell r="E4612">
            <v>7024</v>
          </cell>
        </row>
        <row r="4613">
          <cell r="D4613" t="str">
            <v>Alecrim</v>
          </cell>
          <cell r="E4613">
            <v>5950</v>
          </cell>
        </row>
        <row r="4614">
          <cell r="D4614" t="str">
            <v>Alegrete</v>
          </cell>
          <cell r="E4614">
            <v>73589</v>
          </cell>
        </row>
        <row r="4615">
          <cell r="D4615" t="str">
            <v>Alegria</v>
          </cell>
          <cell r="E4615">
            <v>3464</v>
          </cell>
        </row>
        <row r="4616">
          <cell r="D4616" t="str">
            <v>Almirante Tamandaré do Sul</v>
          </cell>
          <cell r="E4616">
            <v>1964</v>
          </cell>
        </row>
        <row r="4617">
          <cell r="D4617" t="str">
            <v>Alpestre</v>
          </cell>
          <cell r="E4617">
            <v>6258</v>
          </cell>
        </row>
        <row r="4618">
          <cell r="D4618" t="str">
            <v>Alto Alegre</v>
          </cell>
          <cell r="E4618">
            <v>1638</v>
          </cell>
        </row>
        <row r="4619">
          <cell r="D4619" t="str">
            <v>Alto Feliz</v>
          </cell>
          <cell r="E4619">
            <v>3028</v>
          </cell>
        </row>
        <row r="4620">
          <cell r="D4620" t="str">
            <v>Alvorada</v>
          </cell>
          <cell r="E4620">
            <v>210305</v>
          </cell>
        </row>
        <row r="4621">
          <cell r="D4621" t="str">
            <v>Amaral Ferrador</v>
          </cell>
          <cell r="E4621">
            <v>7031</v>
          </cell>
        </row>
        <row r="4622">
          <cell r="D4622" t="str">
            <v>Ametista do Sul</v>
          </cell>
          <cell r="E4622">
            <v>7409</v>
          </cell>
        </row>
        <row r="4623">
          <cell r="D4623" t="str">
            <v>André da Rocha</v>
          </cell>
          <cell r="E4623">
            <v>1333</v>
          </cell>
        </row>
        <row r="4624">
          <cell r="D4624" t="str">
            <v>Anta Gorda</v>
          </cell>
          <cell r="E4624">
            <v>5981</v>
          </cell>
        </row>
        <row r="4625">
          <cell r="D4625" t="str">
            <v>Antônio Prado</v>
          </cell>
          <cell r="E4625">
            <v>13050</v>
          </cell>
        </row>
        <row r="4626">
          <cell r="D4626" t="str">
            <v>Arambaré</v>
          </cell>
          <cell r="E4626">
            <v>3581</v>
          </cell>
        </row>
        <row r="4627">
          <cell r="D4627" t="str">
            <v>Araricá</v>
          </cell>
          <cell r="E4627">
            <v>5698</v>
          </cell>
        </row>
        <row r="4628">
          <cell r="D4628" t="str">
            <v>Aratiba</v>
          </cell>
          <cell r="E4628">
            <v>6235</v>
          </cell>
        </row>
        <row r="4629">
          <cell r="D4629" t="str">
            <v>Arroio do Meio</v>
          </cell>
          <cell r="E4629">
            <v>20805</v>
          </cell>
        </row>
        <row r="4630">
          <cell r="D4630" t="str">
            <v>Arroio do Sal</v>
          </cell>
          <cell r="E4630">
            <v>10065</v>
          </cell>
        </row>
        <row r="4631">
          <cell r="D4631" t="str">
            <v>Arroio do Padre</v>
          </cell>
          <cell r="E4631">
            <v>2937</v>
          </cell>
        </row>
        <row r="4632">
          <cell r="D4632" t="str">
            <v>Arroio dos Ratos</v>
          </cell>
          <cell r="E4632">
            <v>14151</v>
          </cell>
        </row>
        <row r="4633">
          <cell r="D4633" t="str">
            <v>Arroio do Tigre</v>
          </cell>
          <cell r="E4633">
            <v>13373</v>
          </cell>
        </row>
        <row r="4634">
          <cell r="D4634" t="str">
            <v>Arroio Grande</v>
          </cell>
          <cell r="E4634">
            <v>18293</v>
          </cell>
        </row>
        <row r="4635">
          <cell r="D4635" t="str">
            <v>Arvorezinha</v>
          </cell>
          <cell r="E4635">
            <v>10424</v>
          </cell>
        </row>
        <row r="4636">
          <cell r="D4636" t="str">
            <v>Augusto Pestana</v>
          </cell>
          <cell r="E4636">
            <v>6661</v>
          </cell>
        </row>
        <row r="4637">
          <cell r="D4637" t="str">
            <v>Áurea</v>
          </cell>
          <cell r="E4637">
            <v>3554</v>
          </cell>
        </row>
        <row r="4638">
          <cell r="D4638" t="str">
            <v>Bagé</v>
          </cell>
          <cell r="E4638">
            <v>121143</v>
          </cell>
        </row>
        <row r="4639">
          <cell r="D4639" t="str">
            <v>Balneário Pinhal</v>
          </cell>
          <cell r="E4639">
            <v>14068</v>
          </cell>
        </row>
        <row r="4640">
          <cell r="D4640" t="str">
            <v>Barão</v>
          </cell>
          <cell r="E4640">
            <v>6171</v>
          </cell>
        </row>
        <row r="4641">
          <cell r="D4641" t="str">
            <v>Barão de Cotegipe</v>
          </cell>
          <cell r="E4641">
            <v>6623</v>
          </cell>
        </row>
        <row r="4642">
          <cell r="D4642" t="str">
            <v>Barão do Triunfo</v>
          </cell>
          <cell r="E4642">
            <v>7487</v>
          </cell>
        </row>
        <row r="4643">
          <cell r="D4643" t="str">
            <v>Barracão</v>
          </cell>
          <cell r="E4643">
            <v>5275</v>
          </cell>
        </row>
        <row r="4644">
          <cell r="D4644" t="str">
            <v>Barra do Guarita</v>
          </cell>
          <cell r="E4644">
            <v>3248</v>
          </cell>
        </row>
        <row r="4645">
          <cell r="D4645" t="str">
            <v>Barra do Quaraí</v>
          </cell>
          <cell r="E4645">
            <v>4215</v>
          </cell>
        </row>
        <row r="4646">
          <cell r="D4646" t="str">
            <v>Barra do Ribeiro</v>
          </cell>
          <cell r="E4646">
            <v>13491</v>
          </cell>
        </row>
        <row r="4647">
          <cell r="D4647" t="str">
            <v>Barra do Rio Azul</v>
          </cell>
          <cell r="E4647">
            <v>1690</v>
          </cell>
        </row>
        <row r="4648">
          <cell r="D4648" t="str">
            <v>Barra Funda</v>
          </cell>
          <cell r="E4648">
            <v>2539</v>
          </cell>
        </row>
        <row r="4649">
          <cell r="D4649" t="str">
            <v>Barros Cassal</v>
          </cell>
          <cell r="E4649">
            <v>11199</v>
          </cell>
        </row>
        <row r="4650">
          <cell r="D4650" t="str">
            <v>Benjamin Constant do Sul</v>
          </cell>
          <cell r="E4650">
            <v>1994</v>
          </cell>
        </row>
        <row r="4651">
          <cell r="D4651" t="str">
            <v>Bento Gonçalves</v>
          </cell>
          <cell r="E4651">
            <v>120454</v>
          </cell>
        </row>
        <row r="4652">
          <cell r="D4652" t="str">
            <v>Boa Vista das Missões</v>
          </cell>
          <cell r="E4652">
            <v>2098</v>
          </cell>
        </row>
        <row r="4653">
          <cell r="D4653" t="str">
            <v>Boa Vista do Buricá</v>
          </cell>
          <cell r="E4653">
            <v>6712</v>
          </cell>
        </row>
        <row r="4654">
          <cell r="D4654" t="str">
            <v>Boa Vista do Cadeado</v>
          </cell>
          <cell r="E4654">
            <v>2470</v>
          </cell>
        </row>
        <row r="4655">
          <cell r="D4655" t="str">
            <v>Boa Vista do Incra</v>
          </cell>
          <cell r="E4655">
            <v>2603</v>
          </cell>
        </row>
        <row r="4656">
          <cell r="D4656" t="str">
            <v>Boa Vista do Sul</v>
          </cell>
          <cell r="E4656">
            <v>2783</v>
          </cell>
        </row>
        <row r="4657">
          <cell r="D4657" t="str">
            <v>Bom Jesus</v>
          </cell>
          <cell r="E4657">
            <v>11349</v>
          </cell>
        </row>
        <row r="4658">
          <cell r="D4658" t="str">
            <v>Bom Princípio</v>
          </cell>
          <cell r="E4658">
            <v>14055</v>
          </cell>
        </row>
        <row r="4659">
          <cell r="D4659" t="str">
            <v>Bom Progresso</v>
          </cell>
          <cell r="E4659">
            <v>1942</v>
          </cell>
        </row>
        <row r="4660">
          <cell r="D4660" t="str">
            <v>Bom Retiro do Sul</v>
          </cell>
          <cell r="E4660">
            <v>12328</v>
          </cell>
        </row>
        <row r="4661">
          <cell r="D4661" t="str">
            <v>Boqueirão do Leão</v>
          </cell>
          <cell r="E4661">
            <v>7714</v>
          </cell>
        </row>
        <row r="4662">
          <cell r="D4662" t="str">
            <v>Bossoroca</v>
          </cell>
          <cell r="E4662">
            <v>6279</v>
          </cell>
        </row>
        <row r="4663">
          <cell r="D4663" t="str">
            <v>Bozano</v>
          </cell>
          <cell r="E4663">
            <v>2123</v>
          </cell>
        </row>
        <row r="4664">
          <cell r="D4664" t="str">
            <v>Braga</v>
          </cell>
          <cell r="E4664">
            <v>3353</v>
          </cell>
        </row>
        <row r="4665">
          <cell r="D4665" t="str">
            <v>Brochier</v>
          </cell>
          <cell r="E4665">
            <v>5074</v>
          </cell>
        </row>
        <row r="4666">
          <cell r="D4666" t="str">
            <v>Butiá</v>
          </cell>
          <cell r="E4666">
            <v>20941</v>
          </cell>
        </row>
        <row r="4667">
          <cell r="D4667" t="str">
            <v>Caçapava do Sul</v>
          </cell>
          <cell r="E4667">
            <v>33624</v>
          </cell>
        </row>
        <row r="4668">
          <cell r="D4668" t="str">
            <v>Cacequi</v>
          </cell>
          <cell r="E4668">
            <v>12561</v>
          </cell>
        </row>
        <row r="4669">
          <cell r="D4669" t="str">
            <v>Cachoeira do Sul</v>
          </cell>
          <cell r="E4669">
            <v>82201</v>
          </cell>
        </row>
        <row r="4670">
          <cell r="D4670" t="str">
            <v>Cachoeirinha</v>
          </cell>
          <cell r="E4670">
            <v>130293</v>
          </cell>
        </row>
        <row r="4671">
          <cell r="D4671" t="str">
            <v>Cacique Doble</v>
          </cell>
          <cell r="E4671">
            <v>5065</v>
          </cell>
        </row>
        <row r="4672">
          <cell r="D4672" t="str">
            <v>Caibaté</v>
          </cell>
          <cell r="E4672">
            <v>4846</v>
          </cell>
        </row>
        <row r="4673">
          <cell r="D4673" t="str">
            <v>Caiçara</v>
          </cell>
          <cell r="E4673">
            <v>4743</v>
          </cell>
        </row>
        <row r="4674">
          <cell r="D4674" t="str">
            <v>Camaquã</v>
          </cell>
          <cell r="E4674">
            <v>66261</v>
          </cell>
        </row>
        <row r="4675">
          <cell r="D4675" t="str">
            <v>Camargo</v>
          </cell>
          <cell r="E4675">
            <v>2733</v>
          </cell>
        </row>
        <row r="4676">
          <cell r="D4676" t="str">
            <v>Cambará do Sul</v>
          </cell>
          <cell r="E4676">
            <v>6431</v>
          </cell>
        </row>
        <row r="4677">
          <cell r="D4677" t="str">
            <v>Campestre da Serra</v>
          </cell>
          <cell r="E4677">
            <v>3388</v>
          </cell>
        </row>
        <row r="4678">
          <cell r="D4678" t="str">
            <v>Campina das Missões</v>
          </cell>
          <cell r="E4678">
            <v>5474</v>
          </cell>
        </row>
        <row r="4679">
          <cell r="D4679" t="str">
            <v>Campinas do Sul</v>
          </cell>
          <cell r="E4679">
            <v>5454</v>
          </cell>
        </row>
        <row r="4680">
          <cell r="D4680" t="str">
            <v>Campo Bom</v>
          </cell>
          <cell r="E4680">
            <v>66712</v>
          </cell>
        </row>
        <row r="4681">
          <cell r="D4681" t="str">
            <v>Campo Novo</v>
          </cell>
          <cell r="E4681">
            <v>4484</v>
          </cell>
        </row>
        <row r="4682">
          <cell r="D4682" t="str">
            <v>Campos Borges</v>
          </cell>
          <cell r="E4682">
            <v>3320</v>
          </cell>
        </row>
        <row r="4683">
          <cell r="D4683" t="str">
            <v>Candelária</v>
          </cell>
          <cell r="E4683">
            <v>31365</v>
          </cell>
        </row>
        <row r="4684">
          <cell r="D4684" t="str">
            <v>Cândido Godói</v>
          </cell>
          <cell r="E4684">
            <v>6198</v>
          </cell>
        </row>
        <row r="4685">
          <cell r="D4685" t="str">
            <v>Candiota</v>
          </cell>
          <cell r="E4685">
            <v>9584</v>
          </cell>
        </row>
        <row r="4686">
          <cell r="D4686" t="str">
            <v>Canela</v>
          </cell>
          <cell r="E4686">
            <v>44998</v>
          </cell>
        </row>
        <row r="4687">
          <cell r="D4687" t="str">
            <v>Canguçu</v>
          </cell>
          <cell r="E4687">
            <v>56045</v>
          </cell>
        </row>
        <row r="4688">
          <cell r="D4688" t="str">
            <v>Canoas</v>
          </cell>
          <cell r="E4688">
            <v>346616</v>
          </cell>
        </row>
        <row r="4689">
          <cell r="D4689" t="str">
            <v>Canudos do Vale</v>
          </cell>
          <cell r="E4689">
            <v>1716</v>
          </cell>
        </row>
        <row r="4690">
          <cell r="D4690" t="str">
            <v>Capão Bonito do Sul</v>
          </cell>
          <cell r="E4690">
            <v>1654</v>
          </cell>
        </row>
        <row r="4691">
          <cell r="D4691" t="str">
            <v>Capão da Canoa</v>
          </cell>
          <cell r="E4691">
            <v>53049</v>
          </cell>
        </row>
        <row r="4692">
          <cell r="D4692" t="str">
            <v>Capão do Cipó</v>
          </cell>
          <cell r="E4692">
            <v>3651</v>
          </cell>
        </row>
        <row r="4693">
          <cell r="D4693" t="str">
            <v>Capão do Leão</v>
          </cell>
          <cell r="E4693">
            <v>25354</v>
          </cell>
        </row>
        <row r="4694">
          <cell r="D4694" t="str">
            <v>Capivari do Sul</v>
          </cell>
          <cell r="E4694">
            <v>4660</v>
          </cell>
        </row>
        <row r="4695">
          <cell r="D4695" t="str">
            <v>Capela de Santana</v>
          </cell>
          <cell r="E4695">
            <v>11940</v>
          </cell>
        </row>
        <row r="4696">
          <cell r="D4696" t="str">
            <v>Capitão</v>
          </cell>
          <cell r="E4696">
            <v>2757</v>
          </cell>
        </row>
        <row r="4697">
          <cell r="D4697" t="str">
            <v>Carazinho</v>
          </cell>
          <cell r="E4697">
            <v>62110</v>
          </cell>
        </row>
        <row r="4698">
          <cell r="D4698" t="str">
            <v>Caraá</v>
          </cell>
          <cell r="E4698">
            <v>8270</v>
          </cell>
        </row>
        <row r="4699">
          <cell r="D4699" t="str">
            <v>Carlos Barbosa</v>
          </cell>
          <cell r="E4699">
            <v>29833</v>
          </cell>
        </row>
        <row r="4700">
          <cell r="D4700" t="str">
            <v>Carlos Gomes</v>
          </cell>
          <cell r="E4700">
            <v>1377</v>
          </cell>
        </row>
        <row r="4701">
          <cell r="D4701" t="str">
            <v>Casca</v>
          </cell>
          <cell r="E4701">
            <v>9031</v>
          </cell>
        </row>
        <row r="4702">
          <cell r="D4702" t="str">
            <v>Caseiros</v>
          </cell>
          <cell r="E4702">
            <v>3202</v>
          </cell>
        </row>
        <row r="4703">
          <cell r="D4703" t="str">
            <v>Catuípe</v>
          </cell>
          <cell r="E4703">
            <v>8774</v>
          </cell>
        </row>
        <row r="4704">
          <cell r="D4704" t="str">
            <v>Caxias do Sul</v>
          </cell>
          <cell r="E4704">
            <v>510906</v>
          </cell>
        </row>
        <row r="4705">
          <cell r="D4705" t="str">
            <v>Centenário</v>
          </cell>
          <cell r="E4705">
            <v>2891</v>
          </cell>
        </row>
        <row r="4706">
          <cell r="D4706" t="str">
            <v>Cerrito</v>
          </cell>
          <cell r="E4706">
            <v>6091</v>
          </cell>
        </row>
        <row r="4707">
          <cell r="D4707" t="str">
            <v>Cerro Branco</v>
          </cell>
          <cell r="E4707">
            <v>4691</v>
          </cell>
        </row>
        <row r="4708">
          <cell r="D4708" t="str">
            <v>Cerro Grande</v>
          </cell>
          <cell r="E4708">
            <v>2311</v>
          </cell>
        </row>
        <row r="4709">
          <cell r="D4709" t="str">
            <v>Cerro Grande do Sul</v>
          </cell>
          <cell r="E4709">
            <v>12239</v>
          </cell>
        </row>
        <row r="4710">
          <cell r="D4710" t="str">
            <v>Cerro Largo</v>
          </cell>
          <cell r="E4710">
            <v>14133</v>
          </cell>
        </row>
        <row r="4711">
          <cell r="D4711" t="str">
            <v>Chapada</v>
          </cell>
          <cell r="E4711">
            <v>9269</v>
          </cell>
        </row>
        <row r="4712">
          <cell r="D4712" t="str">
            <v>Charqueadas</v>
          </cell>
          <cell r="E4712">
            <v>40789</v>
          </cell>
        </row>
        <row r="4713">
          <cell r="D4713" t="str">
            <v>Charrua</v>
          </cell>
          <cell r="E4713">
            <v>3279</v>
          </cell>
        </row>
        <row r="4714">
          <cell r="D4714" t="str">
            <v>Chiapetta</v>
          </cell>
          <cell r="E4714">
            <v>3756</v>
          </cell>
        </row>
        <row r="4715">
          <cell r="D4715" t="str">
            <v>Chuí</v>
          </cell>
          <cell r="E4715">
            <v>6704</v>
          </cell>
        </row>
        <row r="4716">
          <cell r="D4716" t="str">
            <v>Chuvisca</v>
          </cell>
          <cell r="E4716">
            <v>5441</v>
          </cell>
        </row>
        <row r="4717">
          <cell r="D4717" t="str">
            <v>Cidreira</v>
          </cell>
          <cell r="E4717">
            <v>16254</v>
          </cell>
        </row>
        <row r="4718">
          <cell r="D4718" t="str">
            <v>Ciríaco</v>
          </cell>
          <cell r="E4718">
            <v>4747</v>
          </cell>
        </row>
        <row r="4719">
          <cell r="D4719" t="str">
            <v>Colinas</v>
          </cell>
          <cell r="E4719">
            <v>2438</v>
          </cell>
        </row>
        <row r="4720">
          <cell r="D4720" t="str">
            <v>Colorado</v>
          </cell>
          <cell r="E4720">
            <v>3175</v>
          </cell>
        </row>
        <row r="4721">
          <cell r="D4721" t="str">
            <v>Condor</v>
          </cell>
          <cell r="E4721">
            <v>6753</v>
          </cell>
        </row>
        <row r="4722">
          <cell r="D4722" t="str">
            <v>Constantina</v>
          </cell>
          <cell r="E4722">
            <v>9911</v>
          </cell>
        </row>
        <row r="4723">
          <cell r="D4723" t="str">
            <v>Coqueiro Baixo</v>
          </cell>
          <cell r="E4723">
            <v>1501</v>
          </cell>
        </row>
        <row r="4724">
          <cell r="D4724" t="str">
            <v>Coqueiros do Sul</v>
          </cell>
          <cell r="E4724">
            <v>2306</v>
          </cell>
        </row>
        <row r="4725">
          <cell r="D4725" t="str">
            <v>Coronel Barros</v>
          </cell>
          <cell r="E4725">
            <v>2519</v>
          </cell>
        </row>
        <row r="4726">
          <cell r="D4726" t="str">
            <v>Coronel Bicaco</v>
          </cell>
          <cell r="E4726">
            <v>7325</v>
          </cell>
        </row>
        <row r="4727">
          <cell r="D4727" t="str">
            <v>Coronel Pilar</v>
          </cell>
          <cell r="E4727">
            <v>1628</v>
          </cell>
        </row>
        <row r="4728">
          <cell r="D4728" t="str">
            <v>Cotiporã</v>
          </cell>
          <cell r="E4728">
            <v>3853</v>
          </cell>
        </row>
        <row r="4729">
          <cell r="D4729" t="str">
            <v>Coxilha</v>
          </cell>
          <cell r="E4729">
            <v>2756</v>
          </cell>
        </row>
        <row r="4730">
          <cell r="D4730" t="str">
            <v>Crissiumal</v>
          </cell>
          <cell r="E4730">
            <v>13448</v>
          </cell>
        </row>
        <row r="4731">
          <cell r="D4731" t="str">
            <v>Cristal</v>
          </cell>
          <cell r="E4731">
            <v>8009</v>
          </cell>
        </row>
        <row r="4732">
          <cell r="D4732" t="str">
            <v>Cristal do Sul</v>
          </cell>
          <cell r="E4732">
            <v>2847</v>
          </cell>
        </row>
        <row r="4733">
          <cell r="D4733" t="str">
            <v>Cruz Alta</v>
          </cell>
          <cell r="E4733">
            <v>60299</v>
          </cell>
        </row>
        <row r="4734">
          <cell r="D4734" t="str">
            <v>Cruzaltense</v>
          </cell>
          <cell r="E4734">
            <v>1833</v>
          </cell>
        </row>
        <row r="4735">
          <cell r="D4735" t="str">
            <v>Cruzeiro do Sul</v>
          </cell>
          <cell r="E4735">
            <v>12348</v>
          </cell>
        </row>
        <row r="4736">
          <cell r="D4736" t="str">
            <v>David Canabarro</v>
          </cell>
          <cell r="E4736">
            <v>4740</v>
          </cell>
        </row>
        <row r="4737">
          <cell r="D4737" t="str">
            <v>Derrubadas</v>
          </cell>
          <cell r="E4737">
            <v>2805</v>
          </cell>
        </row>
        <row r="4738">
          <cell r="D4738" t="str">
            <v>Dezesseis de Novembro</v>
          </cell>
          <cell r="E4738">
            <v>2427</v>
          </cell>
        </row>
        <row r="4739">
          <cell r="D4739" t="str">
            <v>Dilermando de Aguiar</v>
          </cell>
          <cell r="E4739">
            <v>3014</v>
          </cell>
        </row>
        <row r="4740">
          <cell r="D4740" t="str">
            <v>Dois Irmãos</v>
          </cell>
          <cell r="E4740">
            <v>32671</v>
          </cell>
        </row>
        <row r="4741">
          <cell r="D4741" t="str">
            <v>Dois Irmãos das Missões</v>
          </cell>
          <cell r="E4741">
            <v>2026</v>
          </cell>
        </row>
        <row r="4742">
          <cell r="D4742" t="str">
            <v>Dois Lajeados</v>
          </cell>
          <cell r="E4742">
            <v>3400</v>
          </cell>
        </row>
        <row r="4743">
          <cell r="D4743" t="str">
            <v>Dom Feliciano</v>
          </cell>
          <cell r="E4743">
            <v>15414</v>
          </cell>
        </row>
        <row r="4744">
          <cell r="D4744" t="str">
            <v>Dom Pedro de Alcântara</v>
          </cell>
          <cell r="E4744">
            <v>2534</v>
          </cell>
        </row>
        <row r="4745">
          <cell r="D4745" t="str">
            <v>Dom Pedrito</v>
          </cell>
          <cell r="E4745">
            <v>38461</v>
          </cell>
        </row>
        <row r="4746">
          <cell r="D4746" t="str">
            <v>Dona Francisca</v>
          </cell>
          <cell r="E4746">
            <v>3041</v>
          </cell>
        </row>
        <row r="4747">
          <cell r="D4747" t="str">
            <v>Doutor Maurício Cardoso</v>
          </cell>
          <cell r="E4747">
            <v>4549</v>
          </cell>
        </row>
        <row r="4748">
          <cell r="D4748" t="str">
            <v>Doutor Ricardo</v>
          </cell>
          <cell r="E4748">
            <v>1983</v>
          </cell>
        </row>
        <row r="4749">
          <cell r="D4749" t="str">
            <v>Eldorado do Sul</v>
          </cell>
          <cell r="E4749">
            <v>41285</v>
          </cell>
        </row>
        <row r="4750">
          <cell r="D4750" t="str">
            <v>Encantado</v>
          </cell>
          <cell r="E4750">
            <v>22706</v>
          </cell>
        </row>
        <row r="4751">
          <cell r="D4751" t="str">
            <v>Encruzilhada do Sul</v>
          </cell>
          <cell r="E4751">
            <v>25877</v>
          </cell>
        </row>
        <row r="4752">
          <cell r="D4752" t="str">
            <v>Engenho Velho</v>
          </cell>
          <cell r="E4752">
            <v>1034</v>
          </cell>
        </row>
        <row r="4753">
          <cell r="D4753" t="str">
            <v>Entre-Ijuís</v>
          </cell>
          <cell r="E4753">
            <v>8475</v>
          </cell>
        </row>
        <row r="4754">
          <cell r="D4754" t="str">
            <v>Entre Rios do Sul</v>
          </cell>
          <cell r="E4754">
            <v>2792</v>
          </cell>
        </row>
        <row r="4755">
          <cell r="D4755" t="str">
            <v>Erebango</v>
          </cell>
          <cell r="E4755">
            <v>2991</v>
          </cell>
        </row>
        <row r="4756">
          <cell r="D4756" t="str">
            <v>Erechim</v>
          </cell>
          <cell r="E4756">
            <v>105862</v>
          </cell>
        </row>
        <row r="4757">
          <cell r="D4757" t="str">
            <v>Ernestina</v>
          </cell>
          <cell r="E4757">
            <v>3168</v>
          </cell>
        </row>
        <row r="4758">
          <cell r="D4758" t="str">
            <v>Herval</v>
          </cell>
          <cell r="E4758">
            <v>6821</v>
          </cell>
        </row>
        <row r="4759">
          <cell r="D4759" t="str">
            <v>Erval Grande</v>
          </cell>
          <cell r="E4759">
            <v>4859</v>
          </cell>
        </row>
        <row r="4760">
          <cell r="D4760" t="str">
            <v>Erval Seco</v>
          </cell>
          <cell r="E4760">
            <v>6912</v>
          </cell>
        </row>
        <row r="4761">
          <cell r="D4761" t="str">
            <v>Esmeralda</v>
          </cell>
          <cell r="E4761">
            <v>3282</v>
          </cell>
        </row>
        <row r="4762">
          <cell r="D4762" t="str">
            <v>Esperança do Sul</v>
          </cell>
          <cell r="E4762">
            <v>2926</v>
          </cell>
        </row>
        <row r="4763">
          <cell r="D4763" t="str">
            <v>Espumoso</v>
          </cell>
          <cell r="E4763">
            <v>15588</v>
          </cell>
        </row>
        <row r="4764">
          <cell r="D4764" t="str">
            <v>Estação</v>
          </cell>
          <cell r="E4764">
            <v>5958</v>
          </cell>
        </row>
        <row r="4765">
          <cell r="D4765" t="str">
            <v>Estância Velha</v>
          </cell>
          <cell r="E4765">
            <v>50022</v>
          </cell>
        </row>
        <row r="4766">
          <cell r="D4766" t="str">
            <v>Esteio</v>
          </cell>
          <cell r="E4766">
            <v>83202</v>
          </cell>
        </row>
        <row r="4767">
          <cell r="D4767" t="str">
            <v>Estrela</v>
          </cell>
          <cell r="E4767">
            <v>34116</v>
          </cell>
        </row>
        <row r="4768">
          <cell r="D4768" t="str">
            <v>Estrela Velha</v>
          </cell>
          <cell r="E4768">
            <v>3655</v>
          </cell>
        </row>
        <row r="4769">
          <cell r="D4769" t="str">
            <v>Eugênio de Castro</v>
          </cell>
          <cell r="E4769">
            <v>2396</v>
          </cell>
        </row>
        <row r="4770">
          <cell r="D4770" t="str">
            <v>Fagundes Varela</v>
          </cell>
          <cell r="E4770">
            <v>2731</v>
          </cell>
        </row>
        <row r="4771">
          <cell r="D4771" t="str">
            <v>Farroupilha</v>
          </cell>
          <cell r="E4771">
            <v>72331</v>
          </cell>
        </row>
        <row r="4772">
          <cell r="D4772" t="str">
            <v>Faxinal do Soturno</v>
          </cell>
          <cell r="E4772">
            <v>6677</v>
          </cell>
        </row>
        <row r="4773">
          <cell r="D4773" t="str">
            <v>Faxinalzinho</v>
          </cell>
          <cell r="E4773">
            <v>2315</v>
          </cell>
        </row>
        <row r="4774">
          <cell r="D4774" t="str">
            <v>Fazenda Vilanova</v>
          </cell>
          <cell r="E4774">
            <v>4533</v>
          </cell>
        </row>
        <row r="4775">
          <cell r="D4775" t="str">
            <v>Feliz</v>
          </cell>
          <cell r="E4775">
            <v>13547</v>
          </cell>
        </row>
        <row r="4776">
          <cell r="D4776" t="str">
            <v>Flores da Cunha</v>
          </cell>
          <cell r="E4776">
            <v>30745</v>
          </cell>
        </row>
        <row r="4777">
          <cell r="D4777" t="str">
            <v>Floriano Peixoto</v>
          </cell>
          <cell r="E4777">
            <v>1766</v>
          </cell>
        </row>
        <row r="4778">
          <cell r="D4778" t="str">
            <v>Fontoura Xavier</v>
          </cell>
          <cell r="E4778">
            <v>10304</v>
          </cell>
        </row>
        <row r="4779">
          <cell r="D4779" t="str">
            <v>Formigueiro</v>
          </cell>
          <cell r="E4779">
            <v>6664</v>
          </cell>
        </row>
        <row r="4780">
          <cell r="D4780" t="str">
            <v>Forquetinha</v>
          </cell>
          <cell r="E4780">
            <v>2412</v>
          </cell>
        </row>
        <row r="4781">
          <cell r="D4781" t="str">
            <v>Fortaleza dos Valos</v>
          </cell>
          <cell r="E4781">
            <v>4320</v>
          </cell>
        </row>
        <row r="4782">
          <cell r="D4782" t="str">
            <v>Frederico Westphalen</v>
          </cell>
          <cell r="E4782">
            <v>31313</v>
          </cell>
        </row>
        <row r="4783">
          <cell r="D4783" t="str">
            <v>Garibaldi</v>
          </cell>
          <cell r="E4783">
            <v>35070</v>
          </cell>
        </row>
        <row r="4784">
          <cell r="D4784" t="str">
            <v>Garruchos</v>
          </cell>
          <cell r="E4784">
            <v>2924</v>
          </cell>
        </row>
        <row r="4785">
          <cell r="D4785" t="str">
            <v>Gaurama</v>
          </cell>
          <cell r="E4785">
            <v>5534</v>
          </cell>
        </row>
        <row r="4786">
          <cell r="D4786" t="str">
            <v>General Câmara</v>
          </cell>
          <cell r="E4786">
            <v>8385</v>
          </cell>
        </row>
        <row r="4787">
          <cell r="D4787" t="str">
            <v>Gentil</v>
          </cell>
          <cell r="E4787">
            <v>1634</v>
          </cell>
        </row>
        <row r="4788">
          <cell r="D4788" t="str">
            <v>Getúlio Vargas</v>
          </cell>
          <cell r="E4788">
            <v>16212</v>
          </cell>
        </row>
        <row r="4789">
          <cell r="D4789" t="str">
            <v>Giruá</v>
          </cell>
          <cell r="E4789">
            <v>16004</v>
          </cell>
        </row>
        <row r="4790">
          <cell r="D4790" t="str">
            <v>Glorinha</v>
          </cell>
          <cell r="E4790">
            <v>8098</v>
          </cell>
        </row>
        <row r="4791">
          <cell r="D4791" t="str">
            <v>Gramado</v>
          </cell>
          <cell r="E4791">
            <v>36232</v>
          </cell>
        </row>
        <row r="4792">
          <cell r="D4792" t="str">
            <v>Gramado dos Loureiros</v>
          </cell>
          <cell r="E4792">
            <v>2082</v>
          </cell>
        </row>
        <row r="4793">
          <cell r="D4793" t="str">
            <v>Gramado Xavier</v>
          </cell>
          <cell r="E4793">
            <v>4325</v>
          </cell>
        </row>
        <row r="4794">
          <cell r="D4794" t="str">
            <v>Gravataí</v>
          </cell>
          <cell r="E4794">
            <v>281519</v>
          </cell>
        </row>
        <row r="4795">
          <cell r="D4795" t="str">
            <v>Guabiju</v>
          </cell>
          <cell r="E4795">
            <v>1503</v>
          </cell>
        </row>
        <row r="4796">
          <cell r="D4796" t="str">
            <v>Guaíba</v>
          </cell>
          <cell r="E4796">
            <v>98143</v>
          </cell>
        </row>
        <row r="4797">
          <cell r="D4797" t="str">
            <v>Guaporé</v>
          </cell>
          <cell r="E4797">
            <v>25727</v>
          </cell>
        </row>
        <row r="4798">
          <cell r="D4798" t="str">
            <v>Guarani das Missões</v>
          </cell>
          <cell r="E4798">
            <v>7537</v>
          </cell>
        </row>
        <row r="4799">
          <cell r="D4799" t="str">
            <v>Harmonia</v>
          </cell>
          <cell r="E4799">
            <v>4866</v>
          </cell>
        </row>
        <row r="4800">
          <cell r="D4800" t="str">
            <v>Herveiras</v>
          </cell>
          <cell r="E4800">
            <v>3018</v>
          </cell>
        </row>
        <row r="4801">
          <cell r="D4801" t="str">
            <v>Horizontina</v>
          </cell>
          <cell r="E4801">
            <v>19329</v>
          </cell>
        </row>
        <row r="4802">
          <cell r="D4802" t="str">
            <v>Hulha Negra</v>
          </cell>
          <cell r="E4802">
            <v>6776</v>
          </cell>
        </row>
        <row r="4803">
          <cell r="D4803" t="str">
            <v>Humaitá</v>
          </cell>
          <cell r="E4803">
            <v>4762</v>
          </cell>
        </row>
        <row r="4804">
          <cell r="D4804" t="str">
            <v>Ibarama</v>
          </cell>
          <cell r="E4804">
            <v>4406</v>
          </cell>
        </row>
        <row r="4805">
          <cell r="D4805" t="str">
            <v>Ibiaçá</v>
          </cell>
          <cell r="E4805">
            <v>4709</v>
          </cell>
        </row>
        <row r="4806">
          <cell r="D4806" t="str">
            <v>Ibiraiaras</v>
          </cell>
          <cell r="E4806">
            <v>7262</v>
          </cell>
        </row>
        <row r="4807">
          <cell r="D4807" t="str">
            <v>Ibirapuitã</v>
          </cell>
          <cell r="E4807">
            <v>4013</v>
          </cell>
        </row>
        <row r="4808">
          <cell r="D4808" t="str">
            <v>Ibirubá</v>
          </cell>
          <cell r="E4808">
            <v>20350</v>
          </cell>
        </row>
        <row r="4809">
          <cell r="D4809" t="str">
            <v>Igrejinha</v>
          </cell>
          <cell r="E4809">
            <v>36899</v>
          </cell>
        </row>
        <row r="4810">
          <cell r="D4810" t="str">
            <v>Ijuí</v>
          </cell>
          <cell r="E4810">
            <v>83475</v>
          </cell>
        </row>
        <row r="4811">
          <cell r="D4811" t="str">
            <v>Ilópolis</v>
          </cell>
          <cell r="E4811">
            <v>4078</v>
          </cell>
        </row>
        <row r="4812">
          <cell r="D4812" t="str">
            <v>Imbé</v>
          </cell>
          <cell r="E4812">
            <v>22800</v>
          </cell>
        </row>
        <row r="4813">
          <cell r="D4813" t="str">
            <v>Imigrante</v>
          </cell>
          <cell r="E4813">
            <v>3120</v>
          </cell>
        </row>
        <row r="4814">
          <cell r="D4814" t="str">
            <v>Independência</v>
          </cell>
          <cell r="E4814">
            <v>6167</v>
          </cell>
        </row>
        <row r="4815">
          <cell r="D4815" t="str">
            <v>Inhacorá</v>
          </cell>
          <cell r="E4815">
            <v>2226</v>
          </cell>
        </row>
        <row r="4816">
          <cell r="D4816" t="str">
            <v>Ipê</v>
          </cell>
          <cell r="E4816">
            <v>6640</v>
          </cell>
        </row>
        <row r="4817">
          <cell r="D4817" t="str">
            <v>Ipiranga do Sul</v>
          </cell>
          <cell r="E4817">
            <v>1889</v>
          </cell>
        </row>
        <row r="4818">
          <cell r="D4818" t="str">
            <v>Iraí</v>
          </cell>
          <cell r="E4818">
            <v>7241</v>
          </cell>
        </row>
        <row r="4819">
          <cell r="D4819" t="str">
            <v>Itaara</v>
          </cell>
          <cell r="E4819">
            <v>5499</v>
          </cell>
        </row>
        <row r="4820">
          <cell r="D4820" t="str">
            <v>Itacurubi</v>
          </cell>
          <cell r="E4820">
            <v>3465</v>
          </cell>
        </row>
        <row r="4821">
          <cell r="D4821" t="str">
            <v>Itapuca</v>
          </cell>
          <cell r="E4821">
            <v>2094</v>
          </cell>
        </row>
        <row r="4822">
          <cell r="D4822" t="str">
            <v>Itaqui</v>
          </cell>
          <cell r="E4822">
            <v>37620</v>
          </cell>
        </row>
        <row r="4823">
          <cell r="D4823" t="str">
            <v>Itati</v>
          </cell>
          <cell r="E4823">
            <v>2419</v>
          </cell>
        </row>
        <row r="4824">
          <cell r="D4824" t="str">
            <v>Itatiba do Sul</v>
          </cell>
          <cell r="E4824">
            <v>3324</v>
          </cell>
        </row>
        <row r="4825">
          <cell r="D4825" t="str">
            <v>Ivorá</v>
          </cell>
          <cell r="E4825">
            <v>1910</v>
          </cell>
        </row>
        <row r="4826">
          <cell r="D4826" t="str">
            <v>Ivoti</v>
          </cell>
          <cell r="E4826">
            <v>24293</v>
          </cell>
        </row>
        <row r="4827">
          <cell r="D4827" t="str">
            <v>Jaboticaba</v>
          </cell>
          <cell r="E4827">
            <v>3810</v>
          </cell>
        </row>
        <row r="4828">
          <cell r="D4828" t="str">
            <v>Jacuizinho</v>
          </cell>
          <cell r="E4828">
            <v>2692</v>
          </cell>
        </row>
        <row r="4829">
          <cell r="D4829" t="str">
            <v>Jacutinga</v>
          </cell>
          <cell r="E4829">
            <v>3561</v>
          </cell>
        </row>
        <row r="4830">
          <cell r="D4830" t="str">
            <v>Jaguarão</v>
          </cell>
          <cell r="E4830">
            <v>26680</v>
          </cell>
        </row>
        <row r="4831">
          <cell r="D4831" t="str">
            <v>Jaguari</v>
          </cell>
          <cell r="E4831">
            <v>10848</v>
          </cell>
        </row>
        <row r="4832">
          <cell r="D4832" t="str">
            <v>Jaquirana</v>
          </cell>
          <cell r="E4832">
            <v>3716</v>
          </cell>
        </row>
        <row r="4833">
          <cell r="D4833" t="str">
            <v>Jari</v>
          </cell>
          <cell r="E4833">
            <v>3503</v>
          </cell>
        </row>
        <row r="4834">
          <cell r="D4834" t="str">
            <v>Jóia</v>
          </cell>
          <cell r="E4834">
            <v>8560</v>
          </cell>
        </row>
        <row r="4835">
          <cell r="D4835" t="str">
            <v>Júlio de Castilhos</v>
          </cell>
          <cell r="E4835">
            <v>19293</v>
          </cell>
        </row>
        <row r="4836">
          <cell r="D4836" t="str">
            <v>Lagoa Bonita do Sul</v>
          </cell>
          <cell r="E4836">
            <v>2903</v>
          </cell>
        </row>
        <row r="4837">
          <cell r="D4837" t="str">
            <v>Lagoão</v>
          </cell>
          <cell r="E4837">
            <v>6452</v>
          </cell>
        </row>
        <row r="4838">
          <cell r="D4838" t="str">
            <v>Lagoa dos Três Cantos</v>
          </cell>
          <cell r="E4838">
            <v>1609</v>
          </cell>
        </row>
        <row r="4839">
          <cell r="D4839" t="str">
            <v>Lagoa Vermelha</v>
          </cell>
          <cell r="E4839">
            <v>27807</v>
          </cell>
        </row>
        <row r="4840">
          <cell r="D4840" t="str">
            <v>Lajeado</v>
          </cell>
          <cell r="E4840">
            <v>84014</v>
          </cell>
        </row>
        <row r="4841">
          <cell r="D4841" t="str">
            <v>Lajeado do Bugre</v>
          </cell>
          <cell r="E4841">
            <v>2564</v>
          </cell>
        </row>
        <row r="4842">
          <cell r="D4842" t="str">
            <v>Lavras do Sul</v>
          </cell>
          <cell r="E4842">
            <v>7480</v>
          </cell>
        </row>
        <row r="4843">
          <cell r="D4843" t="str">
            <v>Liberato Salzano</v>
          </cell>
          <cell r="E4843">
            <v>5219</v>
          </cell>
        </row>
        <row r="4844">
          <cell r="D4844" t="str">
            <v>Lindolfo Collor</v>
          </cell>
          <cell r="E4844">
            <v>6054</v>
          </cell>
        </row>
        <row r="4845">
          <cell r="D4845" t="str">
            <v>Linha Nova</v>
          </cell>
          <cell r="E4845">
            <v>1714</v>
          </cell>
        </row>
        <row r="4846">
          <cell r="D4846" t="str">
            <v>Machadinho</v>
          </cell>
          <cell r="E4846">
            <v>5445</v>
          </cell>
        </row>
        <row r="4847">
          <cell r="D4847" t="str">
            <v>Maçambará</v>
          </cell>
          <cell r="E4847">
            <v>4587</v>
          </cell>
        </row>
        <row r="4848">
          <cell r="D4848" t="str">
            <v>Mampituba</v>
          </cell>
          <cell r="E4848">
            <v>2981</v>
          </cell>
        </row>
        <row r="4849">
          <cell r="D4849" t="str">
            <v>Manoel Viana</v>
          </cell>
          <cell r="E4849">
            <v>7299</v>
          </cell>
        </row>
        <row r="4850">
          <cell r="D4850" t="str">
            <v>Maquiné</v>
          </cell>
          <cell r="E4850">
            <v>6714</v>
          </cell>
        </row>
        <row r="4851">
          <cell r="D4851" t="str">
            <v>Maratá</v>
          </cell>
          <cell r="E4851">
            <v>2691</v>
          </cell>
        </row>
        <row r="4852">
          <cell r="D4852" t="str">
            <v>Marau</v>
          </cell>
          <cell r="E4852">
            <v>44161</v>
          </cell>
        </row>
        <row r="4853">
          <cell r="D4853" t="str">
            <v>Marcelino Ramos</v>
          </cell>
          <cell r="E4853">
            <v>4402</v>
          </cell>
        </row>
        <row r="4854">
          <cell r="D4854" t="str">
            <v>Mariana Pimentel</v>
          </cell>
          <cell r="E4854">
            <v>3885</v>
          </cell>
        </row>
        <row r="4855">
          <cell r="D4855" t="str">
            <v>Mariano Moro</v>
          </cell>
          <cell r="E4855">
            <v>2031</v>
          </cell>
        </row>
        <row r="4856">
          <cell r="D4856" t="str">
            <v>Marques de Souza</v>
          </cell>
          <cell r="E4856">
            <v>4009</v>
          </cell>
        </row>
        <row r="4857">
          <cell r="D4857" t="str">
            <v>Mata</v>
          </cell>
          <cell r="E4857">
            <v>4823</v>
          </cell>
        </row>
        <row r="4858">
          <cell r="D4858" t="str">
            <v>Mato Castelhano</v>
          </cell>
          <cell r="E4858">
            <v>2540</v>
          </cell>
        </row>
        <row r="4859">
          <cell r="D4859" t="str">
            <v>Mato Leitão</v>
          </cell>
          <cell r="E4859">
            <v>4515</v>
          </cell>
        </row>
        <row r="4860">
          <cell r="D4860" t="str">
            <v>Mato Queimado</v>
          </cell>
          <cell r="E4860">
            <v>1648</v>
          </cell>
        </row>
        <row r="4861">
          <cell r="D4861" t="str">
            <v>Maximiliano de Almeida</v>
          </cell>
          <cell r="E4861">
            <v>4377</v>
          </cell>
        </row>
        <row r="4862">
          <cell r="D4862" t="str">
            <v>Minas do Leão</v>
          </cell>
          <cell r="E4862">
            <v>8075</v>
          </cell>
        </row>
        <row r="4863">
          <cell r="D4863" t="str">
            <v>Miraguaí</v>
          </cell>
          <cell r="E4863">
            <v>4925</v>
          </cell>
        </row>
        <row r="4864">
          <cell r="D4864" t="str">
            <v>Montauri</v>
          </cell>
          <cell r="E4864">
            <v>1453</v>
          </cell>
        </row>
        <row r="4865">
          <cell r="D4865" t="str">
            <v>Monte Alegre dos Campos</v>
          </cell>
          <cell r="E4865">
            <v>3226</v>
          </cell>
        </row>
        <row r="4866">
          <cell r="D4866" t="str">
            <v>Monte Belo do Sul</v>
          </cell>
          <cell r="E4866">
            <v>2548</v>
          </cell>
        </row>
        <row r="4867">
          <cell r="D4867" t="str">
            <v>Montenegro</v>
          </cell>
          <cell r="E4867">
            <v>65264</v>
          </cell>
        </row>
        <row r="4868">
          <cell r="D4868" t="str">
            <v>Mormaço</v>
          </cell>
          <cell r="E4868">
            <v>3085</v>
          </cell>
        </row>
        <row r="4869">
          <cell r="D4869" t="str">
            <v>Morrinhos do Sul</v>
          </cell>
          <cell r="E4869">
            <v>2949</v>
          </cell>
        </row>
        <row r="4870">
          <cell r="D4870" t="str">
            <v>Morro Redondo</v>
          </cell>
          <cell r="E4870">
            <v>6568</v>
          </cell>
        </row>
        <row r="4871">
          <cell r="D4871" t="str">
            <v>Morro Reuter</v>
          </cell>
          <cell r="E4871">
            <v>6407</v>
          </cell>
        </row>
        <row r="4872">
          <cell r="D4872" t="str">
            <v>Mostardas</v>
          </cell>
          <cell r="E4872">
            <v>12804</v>
          </cell>
        </row>
        <row r="4873">
          <cell r="D4873" t="str">
            <v>Muçum</v>
          </cell>
          <cell r="E4873">
            <v>4954</v>
          </cell>
        </row>
        <row r="4874">
          <cell r="D4874" t="str">
            <v>Muitos Capões</v>
          </cell>
          <cell r="E4874">
            <v>3162</v>
          </cell>
        </row>
        <row r="4875">
          <cell r="D4875" t="str">
            <v>Muliterno</v>
          </cell>
          <cell r="E4875">
            <v>1893</v>
          </cell>
        </row>
        <row r="4876">
          <cell r="D4876" t="str">
            <v>Não-Me-Toque</v>
          </cell>
          <cell r="E4876">
            <v>17624</v>
          </cell>
        </row>
        <row r="4877">
          <cell r="D4877" t="str">
            <v>Nicolau Vergueiro</v>
          </cell>
          <cell r="E4877">
            <v>1682</v>
          </cell>
        </row>
        <row r="4878">
          <cell r="D4878" t="str">
            <v>Nonoai</v>
          </cell>
          <cell r="E4878">
            <v>11695</v>
          </cell>
        </row>
        <row r="4879">
          <cell r="D4879" t="str">
            <v>Nova Alvorada</v>
          </cell>
          <cell r="E4879">
            <v>3625</v>
          </cell>
        </row>
        <row r="4880">
          <cell r="D4880" t="str">
            <v>Nova Araçá</v>
          </cell>
          <cell r="E4880">
            <v>4759</v>
          </cell>
        </row>
        <row r="4881">
          <cell r="D4881" t="str">
            <v>Nova Bassano</v>
          </cell>
          <cell r="E4881">
            <v>9916</v>
          </cell>
        </row>
        <row r="4882">
          <cell r="D4882" t="str">
            <v>Nova Boa Vista</v>
          </cell>
          <cell r="E4882">
            <v>1775</v>
          </cell>
        </row>
        <row r="4883">
          <cell r="D4883" t="str">
            <v>Nova Bréscia</v>
          </cell>
          <cell r="E4883">
            <v>3330</v>
          </cell>
        </row>
        <row r="4884">
          <cell r="D4884" t="str">
            <v>Nova Candelária</v>
          </cell>
          <cell r="E4884">
            <v>2698</v>
          </cell>
        </row>
        <row r="4885">
          <cell r="D4885" t="str">
            <v>Nova Esperança do Sul</v>
          </cell>
          <cell r="E4885">
            <v>5352</v>
          </cell>
        </row>
        <row r="4886">
          <cell r="D4886" t="str">
            <v>Nova Hartz</v>
          </cell>
          <cell r="E4886">
            <v>21615</v>
          </cell>
        </row>
        <row r="4887">
          <cell r="D4887" t="str">
            <v>Nova Pádua</v>
          </cell>
          <cell r="E4887">
            <v>2553</v>
          </cell>
        </row>
        <row r="4888">
          <cell r="D4888" t="str">
            <v>Nova Palma</v>
          </cell>
          <cell r="E4888">
            <v>6512</v>
          </cell>
        </row>
        <row r="4889">
          <cell r="D4889" t="str">
            <v>Nova Petrópolis</v>
          </cell>
          <cell r="E4889">
            <v>21353</v>
          </cell>
        </row>
        <row r="4890">
          <cell r="D4890" t="str">
            <v>Nova Prata</v>
          </cell>
          <cell r="E4890">
            <v>27257</v>
          </cell>
        </row>
        <row r="4891">
          <cell r="D4891" t="str">
            <v>Nova Ramada</v>
          </cell>
          <cell r="E4891">
            <v>2242</v>
          </cell>
        </row>
        <row r="4892">
          <cell r="D4892" t="str">
            <v>Nova Roma do Sul</v>
          </cell>
          <cell r="E4892">
            <v>3689</v>
          </cell>
        </row>
        <row r="4893">
          <cell r="D4893" t="str">
            <v>Nova Santa Rita</v>
          </cell>
          <cell r="E4893">
            <v>29300</v>
          </cell>
        </row>
        <row r="4894">
          <cell r="D4894" t="str">
            <v>Novo Cabrais</v>
          </cell>
          <cell r="E4894">
            <v>4196</v>
          </cell>
        </row>
        <row r="4895">
          <cell r="D4895" t="str">
            <v>Novo Hamburgo</v>
          </cell>
          <cell r="E4895">
            <v>246748</v>
          </cell>
        </row>
        <row r="4896">
          <cell r="D4896" t="str">
            <v>Novo Machado</v>
          </cell>
          <cell r="E4896">
            <v>3323</v>
          </cell>
        </row>
        <row r="4897">
          <cell r="D4897" t="str">
            <v>Novo Tiradentes</v>
          </cell>
          <cell r="E4897">
            <v>2211</v>
          </cell>
        </row>
        <row r="4898">
          <cell r="D4898" t="str">
            <v>Novo Xingu</v>
          </cell>
          <cell r="E4898">
            <v>1719</v>
          </cell>
        </row>
        <row r="4899">
          <cell r="D4899" t="str">
            <v>Novo Barreiro</v>
          </cell>
          <cell r="E4899">
            <v>4164</v>
          </cell>
        </row>
        <row r="4900">
          <cell r="D4900" t="str">
            <v>Osório</v>
          </cell>
          <cell r="E4900">
            <v>45994</v>
          </cell>
        </row>
        <row r="4901">
          <cell r="D4901" t="str">
            <v>Paim Filho</v>
          </cell>
          <cell r="E4901">
            <v>3828</v>
          </cell>
        </row>
        <row r="4902">
          <cell r="D4902" t="str">
            <v>Palmares do Sul</v>
          </cell>
          <cell r="E4902">
            <v>11318</v>
          </cell>
        </row>
        <row r="4903">
          <cell r="D4903" t="str">
            <v>Palmeira das Missões</v>
          </cell>
          <cell r="E4903">
            <v>33303</v>
          </cell>
        </row>
        <row r="4904">
          <cell r="D4904" t="str">
            <v>Palmitinho</v>
          </cell>
          <cell r="E4904">
            <v>7057</v>
          </cell>
        </row>
        <row r="4905">
          <cell r="D4905" t="str">
            <v>Panambi</v>
          </cell>
          <cell r="E4905">
            <v>43667</v>
          </cell>
        </row>
        <row r="4906">
          <cell r="D4906" t="str">
            <v>Pantano Grande</v>
          </cell>
          <cell r="E4906">
            <v>9174</v>
          </cell>
        </row>
        <row r="4907">
          <cell r="D4907" t="str">
            <v>Paraí</v>
          </cell>
          <cell r="E4907">
            <v>7657</v>
          </cell>
        </row>
        <row r="4908">
          <cell r="D4908" t="str">
            <v>Paraíso do Sul</v>
          </cell>
          <cell r="E4908">
            <v>7611</v>
          </cell>
        </row>
        <row r="4909">
          <cell r="D4909" t="str">
            <v>Pareci Novo</v>
          </cell>
          <cell r="E4909">
            <v>3837</v>
          </cell>
        </row>
        <row r="4910">
          <cell r="D4910" t="str">
            <v>Parobé</v>
          </cell>
          <cell r="E4910">
            <v>58272</v>
          </cell>
        </row>
        <row r="4911">
          <cell r="D4911" t="str">
            <v>Passa Sete</v>
          </cell>
          <cell r="E4911">
            <v>5702</v>
          </cell>
        </row>
        <row r="4912">
          <cell r="D4912" t="str">
            <v>Passo do Sobrado</v>
          </cell>
          <cell r="E4912">
            <v>6535</v>
          </cell>
        </row>
        <row r="4913">
          <cell r="D4913" t="str">
            <v>Passo Fundo</v>
          </cell>
          <cell r="E4913">
            <v>203275</v>
          </cell>
        </row>
        <row r="4914">
          <cell r="D4914" t="str">
            <v>Paulo Bento</v>
          </cell>
          <cell r="E4914">
            <v>2293</v>
          </cell>
        </row>
        <row r="4915">
          <cell r="D4915" t="str">
            <v>Paverama</v>
          </cell>
          <cell r="E4915">
            <v>8487</v>
          </cell>
        </row>
        <row r="4916">
          <cell r="D4916" t="str">
            <v>Pedras Altas</v>
          </cell>
          <cell r="E4916">
            <v>1982</v>
          </cell>
        </row>
        <row r="4917">
          <cell r="D4917" t="str">
            <v>Pedro Osório</v>
          </cell>
          <cell r="E4917">
            <v>7730</v>
          </cell>
        </row>
        <row r="4918">
          <cell r="D4918" t="str">
            <v>Pejuçara</v>
          </cell>
          <cell r="E4918">
            <v>3874</v>
          </cell>
        </row>
        <row r="4919">
          <cell r="D4919" t="str">
            <v>Pelotas</v>
          </cell>
          <cell r="E4919">
            <v>342405</v>
          </cell>
        </row>
        <row r="4920">
          <cell r="D4920" t="str">
            <v>Picada Café</v>
          </cell>
          <cell r="E4920">
            <v>5742</v>
          </cell>
        </row>
        <row r="4921">
          <cell r="D4921" t="str">
            <v>Pinhal</v>
          </cell>
          <cell r="E4921">
            <v>2579</v>
          </cell>
        </row>
        <row r="4922">
          <cell r="D4922" t="str">
            <v>Pinhal da Serra</v>
          </cell>
          <cell r="E4922">
            <v>1941</v>
          </cell>
        </row>
        <row r="4923">
          <cell r="D4923" t="str">
            <v>Pinhal Grande</v>
          </cell>
          <cell r="E4923">
            <v>4350</v>
          </cell>
        </row>
        <row r="4924">
          <cell r="D4924" t="str">
            <v>Pinheirinho do Vale</v>
          </cell>
          <cell r="E4924">
            <v>4871</v>
          </cell>
        </row>
        <row r="4925">
          <cell r="D4925" t="str">
            <v>Pinheiro Machado</v>
          </cell>
          <cell r="E4925">
            <v>12271</v>
          </cell>
        </row>
        <row r="4926">
          <cell r="D4926" t="str">
            <v>Pinto Bandeira</v>
          </cell>
          <cell r="E4926">
            <v>3003</v>
          </cell>
        </row>
        <row r="4927">
          <cell r="D4927" t="str">
            <v>Pirapó</v>
          </cell>
          <cell r="E4927">
            <v>2304</v>
          </cell>
        </row>
        <row r="4928">
          <cell r="D4928" t="str">
            <v>Piratini</v>
          </cell>
          <cell r="E4928">
            <v>20663</v>
          </cell>
        </row>
        <row r="4929">
          <cell r="D4929" t="str">
            <v>Planalto</v>
          </cell>
          <cell r="E4929">
            <v>10084</v>
          </cell>
        </row>
        <row r="4930">
          <cell r="D4930" t="str">
            <v>Poço das Antas</v>
          </cell>
          <cell r="E4930">
            <v>2098</v>
          </cell>
        </row>
        <row r="4931">
          <cell r="D4931" t="str">
            <v>Pontão</v>
          </cell>
          <cell r="E4931">
            <v>3904</v>
          </cell>
        </row>
        <row r="4932">
          <cell r="D4932" t="str">
            <v>Ponte Preta</v>
          </cell>
          <cell r="E4932">
            <v>1547</v>
          </cell>
        </row>
        <row r="4933">
          <cell r="D4933" t="str">
            <v>Portão</v>
          </cell>
          <cell r="E4933">
            <v>37079</v>
          </cell>
        </row>
        <row r="4934">
          <cell r="D4934" t="str">
            <v>Porto Alegre</v>
          </cell>
          <cell r="E4934">
            <v>1483771</v>
          </cell>
        </row>
        <row r="4935">
          <cell r="D4935" t="str">
            <v>Porto Lucena</v>
          </cell>
          <cell r="E4935">
            <v>4678</v>
          </cell>
        </row>
        <row r="4936">
          <cell r="D4936" t="str">
            <v>Porto Mauá</v>
          </cell>
          <cell r="E4936">
            <v>2374</v>
          </cell>
        </row>
        <row r="4937">
          <cell r="D4937" t="str">
            <v>Porto Vera Cruz</v>
          </cell>
          <cell r="E4937">
            <v>1360</v>
          </cell>
        </row>
        <row r="4938">
          <cell r="D4938" t="str">
            <v>Porto Xavier</v>
          </cell>
          <cell r="E4938">
            <v>10246</v>
          </cell>
        </row>
        <row r="4939">
          <cell r="D4939" t="str">
            <v>Pouso Novo</v>
          </cell>
          <cell r="E4939">
            <v>1639</v>
          </cell>
        </row>
        <row r="4940">
          <cell r="D4940" t="str">
            <v>Presidente Lucena</v>
          </cell>
          <cell r="E4940">
            <v>2901</v>
          </cell>
        </row>
        <row r="4941">
          <cell r="D4941" t="str">
            <v>Progresso</v>
          </cell>
          <cell r="E4941">
            <v>6244</v>
          </cell>
        </row>
        <row r="4942">
          <cell r="D4942" t="str">
            <v>Protásio Alves</v>
          </cell>
          <cell r="E4942">
            <v>1947</v>
          </cell>
        </row>
        <row r="4943">
          <cell r="D4943" t="str">
            <v>Putinga</v>
          </cell>
          <cell r="E4943">
            <v>3919</v>
          </cell>
        </row>
        <row r="4944">
          <cell r="D4944" t="str">
            <v>Quaraí</v>
          </cell>
          <cell r="E4944">
            <v>22687</v>
          </cell>
        </row>
        <row r="4945">
          <cell r="D4945" t="str">
            <v>Quatro Irmãos</v>
          </cell>
          <cell r="E4945">
            <v>1849</v>
          </cell>
        </row>
        <row r="4946">
          <cell r="D4946" t="str">
            <v>Quevedos</v>
          </cell>
          <cell r="E4946">
            <v>2788</v>
          </cell>
        </row>
        <row r="4947">
          <cell r="D4947" t="str">
            <v>Quinze de Novembro</v>
          </cell>
          <cell r="E4947">
            <v>3796</v>
          </cell>
        </row>
        <row r="4948">
          <cell r="D4948" t="str">
            <v>Redentora</v>
          </cell>
          <cell r="E4948">
            <v>11549</v>
          </cell>
        </row>
        <row r="4949">
          <cell r="D4949" t="str">
            <v>Relvado</v>
          </cell>
          <cell r="E4949">
            <v>2090</v>
          </cell>
        </row>
        <row r="4950">
          <cell r="D4950" t="str">
            <v>Restinga Sêca</v>
          </cell>
          <cell r="E4950">
            <v>15789</v>
          </cell>
        </row>
        <row r="4951">
          <cell r="D4951" t="str">
            <v>Rio dos Índios</v>
          </cell>
          <cell r="E4951">
            <v>2752</v>
          </cell>
        </row>
        <row r="4952">
          <cell r="D4952" t="str">
            <v>Rio Grande</v>
          </cell>
          <cell r="E4952">
            <v>211005</v>
          </cell>
        </row>
        <row r="4953">
          <cell r="D4953" t="str">
            <v>Rio Pardo</v>
          </cell>
          <cell r="E4953">
            <v>38275</v>
          </cell>
        </row>
        <row r="4954">
          <cell r="D4954" t="str">
            <v>Riozinho</v>
          </cell>
          <cell r="E4954">
            <v>4653</v>
          </cell>
        </row>
        <row r="4955">
          <cell r="D4955" t="str">
            <v>Roca Sales</v>
          </cell>
          <cell r="E4955">
            <v>11393</v>
          </cell>
        </row>
        <row r="4956">
          <cell r="D4956" t="str">
            <v>Rodeio Bonito</v>
          </cell>
          <cell r="E4956">
            <v>5867</v>
          </cell>
        </row>
        <row r="4957">
          <cell r="D4957" t="str">
            <v>Rolador</v>
          </cell>
          <cell r="E4957">
            <v>2323</v>
          </cell>
        </row>
        <row r="4958">
          <cell r="D4958" t="str">
            <v>Rolante</v>
          </cell>
          <cell r="E4958">
            <v>21349</v>
          </cell>
        </row>
        <row r="4959">
          <cell r="D4959" t="str">
            <v>Ronda Alta</v>
          </cell>
          <cell r="E4959">
            <v>10601</v>
          </cell>
        </row>
        <row r="4960">
          <cell r="D4960" t="str">
            <v>Rondinha</v>
          </cell>
          <cell r="E4960">
            <v>5130</v>
          </cell>
        </row>
        <row r="4961">
          <cell r="D4961" t="str">
            <v>Roque Gonzales</v>
          </cell>
          <cell r="E4961">
            <v>6847</v>
          </cell>
        </row>
        <row r="4962">
          <cell r="D4962" t="str">
            <v>Rosário do Sul</v>
          </cell>
          <cell r="E4962">
            <v>39422</v>
          </cell>
        </row>
        <row r="4963">
          <cell r="D4963" t="str">
            <v>Sagrada Família</v>
          </cell>
          <cell r="E4963">
            <v>2609</v>
          </cell>
        </row>
        <row r="4964">
          <cell r="D4964" t="str">
            <v>Saldanha Marinho</v>
          </cell>
          <cell r="E4964">
            <v>2650</v>
          </cell>
        </row>
        <row r="4965">
          <cell r="D4965" t="str">
            <v>Salto do Jacuí</v>
          </cell>
          <cell r="E4965">
            <v>12449</v>
          </cell>
        </row>
        <row r="4966">
          <cell r="D4966" t="str">
            <v>Salvador das Missões</v>
          </cell>
          <cell r="E4966">
            <v>2733</v>
          </cell>
        </row>
        <row r="4967">
          <cell r="D4967" t="str">
            <v>Salvador do Sul</v>
          </cell>
          <cell r="E4967">
            <v>7799</v>
          </cell>
        </row>
        <row r="4968">
          <cell r="D4968" t="str">
            <v>Sananduva</v>
          </cell>
          <cell r="E4968">
            <v>16270</v>
          </cell>
        </row>
        <row r="4969">
          <cell r="D4969" t="str">
            <v>Santa Bárbara do Sul</v>
          </cell>
          <cell r="E4969">
            <v>7994</v>
          </cell>
        </row>
        <row r="4970">
          <cell r="D4970" t="str">
            <v>Santa Cecília do Sul</v>
          </cell>
          <cell r="E4970">
            <v>1639</v>
          </cell>
        </row>
        <row r="4971">
          <cell r="D4971" t="str">
            <v>Santa Clara do Sul</v>
          </cell>
          <cell r="E4971">
            <v>6603</v>
          </cell>
        </row>
        <row r="4972">
          <cell r="D4972" t="str">
            <v>Santa Cruz do Sul</v>
          </cell>
          <cell r="E4972">
            <v>130416</v>
          </cell>
        </row>
        <row r="4973">
          <cell r="D4973" t="str">
            <v>Santa Maria</v>
          </cell>
          <cell r="E4973">
            <v>282123</v>
          </cell>
        </row>
        <row r="4974">
          <cell r="D4974" t="str">
            <v>Santa Maria do Herval</v>
          </cell>
          <cell r="E4974">
            <v>6331</v>
          </cell>
        </row>
        <row r="4975">
          <cell r="D4975" t="str">
            <v>Santa Margarida do Sul</v>
          </cell>
          <cell r="E4975">
            <v>2562</v>
          </cell>
        </row>
        <row r="4976">
          <cell r="D4976" t="str">
            <v>Santana da Boa Vista</v>
          </cell>
          <cell r="E4976">
            <v>8098</v>
          </cell>
        </row>
        <row r="4977">
          <cell r="D4977" t="str">
            <v>Sant'Ana do Livramento</v>
          </cell>
          <cell r="E4977">
            <v>77027</v>
          </cell>
        </row>
        <row r="4978">
          <cell r="D4978" t="str">
            <v>Santa Rosa</v>
          </cell>
          <cell r="E4978">
            <v>73254</v>
          </cell>
        </row>
        <row r="4979">
          <cell r="D4979" t="str">
            <v>Santa Tereza</v>
          </cell>
          <cell r="E4979">
            <v>1729</v>
          </cell>
        </row>
        <row r="4980">
          <cell r="D4980" t="str">
            <v>Santa Vitória do Palmar</v>
          </cell>
          <cell r="E4980">
            <v>29676</v>
          </cell>
        </row>
        <row r="4981">
          <cell r="D4981" t="str">
            <v>Santiago</v>
          </cell>
          <cell r="E4981">
            <v>49425</v>
          </cell>
        </row>
        <row r="4982">
          <cell r="D4982" t="str">
            <v>Santo Ângelo</v>
          </cell>
          <cell r="E4982">
            <v>77593</v>
          </cell>
        </row>
        <row r="4983">
          <cell r="D4983" t="str">
            <v>Santo Antônio do Palma</v>
          </cell>
          <cell r="E4983">
            <v>2128</v>
          </cell>
        </row>
        <row r="4984">
          <cell r="D4984" t="str">
            <v>Santo Antônio da Patrulha</v>
          </cell>
          <cell r="E4984">
            <v>42894</v>
          </cell>
        </row>
        <row r="4985">
          <cell r="D4985" t="str">
            <v>Santo Antônio das Missões</v>
          </cell>
          <cell r="E4985">
            <v>10175</v>
          </cell>
        </row>
        <row r="4986">
          <cell r="D4986" t="str">
            <v>Santo Antônio do Planalto</v>
          </cell>
          <cell r="E4986">
            <v>2019</v>
          </cell>
        </row>
        <row r="4987">
          <cell r="D4987" t="str">
            <v>Santo Augusto</v>
          </cell>
          <cell r="E4987">
            <v>13885</v>
          </cell>
        </row>
        <row r="4988">
          <cell r="D4988" t="str">
            <v>Santo Cristo</v>
          </cell>
          <cell r="E4988">
            <v>14257</v>
          </cell>
        </row>
        <row r="4989">
          <cell r="D4989" t="str">
            <v>Santo Expedito do Sul</v>
          </cell>
          <cell r="E4989">
            <v>2324</v>
          </cell>
        </row>
        <row r="4990">
          <cell r="D4990" t="str">
            <v>São Borja</v>
          </cell>
          <cell r="E4990">
            <v>60282</v>
          </cell>
        </row>
        <row r="4991">
          <cell r="D4991" t="str">
            <v>São Domingos do Sul</v>
          </cell>
          <cell r="E4991">
            <v>3074</v>
          </cell>
        </row>
        <row r="4992">
          <cell r="D4992" t="str">
            <v>São Francisco de Assis</v>
          </cell>
          <cell r="E4992">
            <v>18335</v>
          </cell>
        </row>
        <row r="4993">
          <cell r="D4993" t="str">
            <v>São Francisco de Paula</v>
          </cell>
          <cell r="E4993">
            <v>21710</v>
          </cell>
        </row>
        <row r="4994">
          <cell r="D4994" t="str">
            <v>São Gabriel</v>
          </cell>
          <cell r="E4994">
            <v>62105</v>
          </cell>
        </row>
        <row r="4995">
          <cell r="D4995" t="str">
            <v>São Jerônimo</v>
          </cell>
          <cell r="E4995">
            <v>24248</v>
          </cell>
        </row>
        <row r="4996">
          <cell r="D4996" t="str">
            <v>São João da Urtiga</v>
          </cell>
          <cell r="E4996">
            <v>4657</v>
          </cell>
        </row>
        <row r="4997">
          <cell r="D4997" t="str">
            <v>São João do Polêsine</v>
          </cell>
          <cell r="E4997">
            <v>2552</v>
          </cell>
        </row>
        <row r="4998">
          <cell r="D4998" t="str">
            <v>São Jorge</v>
          </cell>
          <cell r="E4998">
            <v>2824</v>
          </cell>
        </row>
        <row r="4999">
          <cell r="D4999" t="str">
            <v>São José das Missões</v>
          </cell>
          <cell r="E4999">
            <v>2537</v>
          </cell>
        </row>
        <row r="5000">
          <cell r="D5000" t="str">
            <v>São José do Herval</v>
          </cell>
          <cell r="E5000">
            <v>1971</v>
          </cell>
        </row>
        <row r="5001">
          <cell r="D5001" t="str">
            <v>São José do Hortêncio</v>
          </cell>
          <cell r="E5001">
            <v>4804</v>
          </cell>
        </row>
        <row r="5002">
          <cell r="D5002" t="str">
            <v>São José do Inhacorá</v>
          </cell>
          <cell r="E5002">
            <v>2073</v>
          </cell>
        </row>
        <row r="5003">
          <cell r="D5003" t="str">
            <v>São José do Norte</v>
          </cell>
          <cell r="E5003">
            <v>27568</v>
          </cell>
        </row>
        <row r="5004">
          <cell r="D5004" t="str">
            <v>São José do Ouro</v>
          </cell>
          <cell r="E5004">
            <v>6933</v>
          </cell>
        </row>
        <row r="5005">
          <cell r="D5005" t="str">
            <v>São José do Sul</v>
          </cell>
          <cell r="E5005">
            <v>2408</v>
          </cell>
        </row>
        <row r="5006">
          <cell r="D5006" t="str">
            <v>São José dos Ausentes</v>
          </cell>
          <cell r="E5006">
            <v>3527</v>
          </cell>
        </row>
        <row r="5007">
          <cell r="D5007" t="str">
            <v>São Leopoldo</v>
          </cell>
          <cell r="E5007">
            <v>236835</v>
          </cell>
        </row>
        <row r="5008">
          <cell r="D5008" t="str">
            <v>São Lourenço do Sul</v>
          </cell>
          <cell r="E5008">
            <v>43582</v>
          </cell>
        </row>
        <row r="5009">
          <cell r="D5009" t="str">
            <v>São Luiz Gonzaga</v>
          </cell>
          <cell r="E5009">
            <v>33468</v>
          </cell>
        </row>
        <row r="5010">
          <cell r="D5010" t="str">
            <v>São Marcos</v>
          </cell>
          <cell r="E5010">
            <v>21556</v>
          </cell>
        </row>
        <row r="5011">
          <cell r="D5011" t="str">
            <v>São Martinho</v>
          </cell>
          <cell r="E5011">
            <v>5426</v>
          </cell>
        </row>
        <row r="5012">
          <cell r="D5012" t="str">
            <v>São Martinho da Serra</v>
          </cell>
          <cell r="E5012">
            <v>3234</v>
          </cell>
        </row>
        <row r="5013">
          <cell r="D5013" t="str">
            <v>São Miguel das Missões</v>
          </cell>
          <cell r="E5013">
            <v>7673</v>
          </cell>
        </row>
        <row r="5014">
          <cell r="D5014" t="str">
            <v>São Nicolau</v>
          </cell>
          <cell r="E5014">
            <v>5265</v>
          </cell>
        </row>
        <row r="5015">
          <cell r="D5015" t="str">
            <v>São Paulo das Missões</v>
          </cell>
          <cell r="E5015">
            <v>5790</v>
          </cell>
        </row>
        <row r="5016">
          <cell r="D5016" t="str">
            <v>São Pedro da Serra</v>
          </cell>
          <cell r="E5016">
            <v>3801</v>
          </cell>
        </row>
        <row r="5017">
          <cell r="D5017" t="str">
            <v>São Pedro das Missões</v>
          </cell>
          <cell r="E5017">
            <v>2009</v>
          </cell>
        </row>
        <row r="5018">
          <cell r="D5018" t="str">
            <v>São Pedro do Butiá</v>
          </cell>
          <cell r="E5018">
            <v>2947</v>
          </cell>
        </row>
        <row r="5019">
          <cell r="D5019" t="str">
            <v>São Pedro do Sul</v>
          </cell>
          <cell r="E5019">
            <v>16198</v>
          </cell>
        </row>
        <row r="5020">
          <cell r="D5020" t="str">
            <v>São Sebastião do Caí</v>
          </cell>
          <cell r="E5020">
            <v>25685</v>
          </cell>
        </row>
        <row r="5021">
          <cell r="D5021" t="str">
            <v>São Sepé</v>
          </cell>
          <cell r="E5021">
            <v>23621</v>
          </cell>
        </row>
        <row r="5022">
          <cell r="D5022" t="str">
            <v>São Valentim</v>
          </cell>
          <cell r="E5022">
            <v>3299</v>
          </cell>
        </row>
        <row r="5023">
          <cell r="D5023" t="str">
            <v>São Valentim do Sul</v>
          </cell>
          <cell r="E5023">
            <v>2242</v>
          </cell>
        </row>
        <row r="5024">
          <cell r="D5024" t="str">
            <v>São Valério do Sul</v>
          </cell>
          <cell r="E5024">
            <v>2727</v>
          </cell>
        </row>
        <row r="5025">
          <cell r="D5025" t="str">
            <v>São Vendelino</v>
          </cell>
          <cell r="E5025">
            <v>2243</v>
          </cell>
        </row>
        <row r="5026">
          <cell r="D5026" t="str">
            <v>São Vicente do Sul</v>
          </cell>
          <cell r="E5026">
            <v>8721</v>
          </cell>
        </row>
        <row r="5027">
          <cell r="D5027" t="str">
            <v>Sapiranga</v>
          </cell>
          <cell r="E5027">
            <v>81734</v>
          </cell>
        </row>
        <row r="5028">
          <cell r="D5028" t="str">
            <v>Sapucaia do Sul</v>
          </cell>
          <cell r="E5028">
            <v>141075</v>
          </cell>
        </row>
        <row r="5029">
          <cell r="D5029" t="str">
            <v>Sarandi</v>
          </cell>
          <cell r="E5029">
            <v>24489</v>
          </cell>
        </row>
        <row r="5030">
          <cell r="D5030" t="str">
            <v>Seberi</v>
          </cell>
          <cell r="E5030">
            <v>10750</v>
          </cell>
        </row>
        <row r="5031">
          <cell r="D5031" t="str">
            <v>Sede Nova</v>
          </cell>
          <cell r="E5031">
            <v>2907</v>
          </cell>
        </row>
        <row r="5032">
          <cell r="D5032" t="str">
            <v>Segredo</v>
          </cell>
          <cell r="E5032">
            <v>7421</v>
          </cell>
        </row>
        <row r="5033">
          <cell r="D5033" t="str">
            <v>Selbach</v>
          </cell>
          <cell r="E5033">
            <v>5100</v>
          </cell>
        </row>
        <row r="5034">
          <cell r="D5034" t="str">
            <v>Senador Salgado Filho</v>
          </cell>
          <cell r="E5034">
            <v>2779</v>
          </cell>
        </row>
        <row r="5035">
          <cell r="D5035" t="str">
            <v>Sentinela do Sul</v>
          </cell>
          <cell r="E5035">
            <v>5581</v>
          </cell>
        </row>
        <row r="5036">
          <cell r="D5036" t="str">
            <v>Serafina Corrêa</v>
          </cell>
          <cell r="E5036">
            <v>17502</v>
          </cell>
        </row>
        <row r="5037">
          <cell r="D5037" t="str">
            <v>Sério</v>
          </cell>
          <cell r="E5037">
            <v>1962</v>
          </cell>
        </row>
        <row r="5038">
          <cell r="D5038" t="str">
            <v>Sertão</v>
          </cell>
          <cell r="E5038">
            <v>5415</v>
          </cell>
        </row>
        <row r="5039">
          <cell r="D5039" t="str">
            <v>Sertão Santana</v>
          </cell>
          <cell r="E5039">
            <v>6486</v>
          </cell>
        </row>
        <row r="5040">
          <cell r="D5040" t="str">
            <v>Sete de Setembro</v>
          </cell>
          <cell r="E5040">
            <v>1970</v>
          </cell>
        </row>
        <row r="5041">
          <cell r="D5041" t="str">
            <v>Severiano de Almeida</v>
          </cell>
          <cell r="E5041">
            <v>3657</v>
          </cell>
        </row>
        <row r="5042">
          <cell r="D5042" t="str">
            <v>Silveira Martins</v>
          </cell>
          <cell r="E5042">
            <v>2384</v>
          </cell>
        </row>
        <row r="5043">
          <cell r="D5043" t="str">
            <v>Sinimbu</v>
          </cell>
          <cell r="E5043">
            <v>10172</v>
          </cell>
        </row>
        <row r="5044">
          <cell r="D5044" t="str">
            <v>Sobradinho</v>
          </cell>
          <cell r="E5044">
            <v>14967</v>
          </cell>
        </row>
        <row r="5045">
          <cell r="D5045" t="str">
            <v>Soledade</v>
          </cell>
          <cell r="E5045">
            <v>31002</v>
          </cell>
        </row>
        <row r="5046">
          <cell r="D5046" t="str">
            <v>Tabaí</v>
          </cell>
          <cell r="E5046">
            <v>4719</v>
          </cell>
        </row>
        <row r="5047">
          <cell r="D5047" t="str">
            <v>Tapejara</v>
          </cell>
          <cell r="E5047">
            <v>24111</v>
          </cell>
        </row>
        <row r="5048">
          <cell r="D5048" t="str">
            <v>Tapera</v>
          </cell>
          <cell r="E5048">
            <v>10584</v>
          </cell>
        </row>
        <row r="5049">
          <cell r="D5049" t="str">
            <v>Tapes</v>
          </cell>
          <cell r="E5049">
            <v>17300</v>
          </cell>
        </row>
        <row r="5050">
          <cell r="D5050" t="str">
            <v>Taquara</v>
          </cell>
          <cell r="E5050">
            <v>57466</v>
          </cell>
        </row>
        <row r="5051">
          <cell r="D5051" t="str">
            <v>Taquari</v>
          </cell>
          <cell r="E5051">
            <v>26862</v>
          </cell>
        </row>
        <row r="5052">
          <cell r="D5052" t="str">
            <v>Taquaruçu do Sul</v>
          </cell>
          <cell r="E5052">
            <v>3072</v>
          </cell>
        </row>
        <row r="5053">
          <cell r="D5053" t="str">
            <v>Tavares</v>
          </cell>
          <cell r="E5053">
            <v>5481</v>
          </cell>
        </row>
        <row r="5054">
          <cell r="D5054" t="str">
            <v>Tenente Portela</v>
          </cell>
          <cell r="E5054">
            <v>13485</v>
          </cell>
        </row>
        <row r="5055">
          <cell r="D5055" t="str">
            <v>Terra de Areia</v>
          </cell>
          <cell r="E5055">
            <v>11204</v>
          </cell>
        </row>
        <row r="5056">
          <cell r="D5056" t="str">
            <v>Teutônia</v>
          </cell>
          <cell r="E5056">
            <v>33232</v>
          </cell>
        </row>
        <row r="5057">
          <cell r="D5057" t="str">
            <v>Tio Hugo</v>
          </cell>
          <cell r="E5057">
            <v>3030</v>
          </cell>
        </row>
        <row r="5058">
          <cell r="D5058" t="str">
            <v>Tiradentes do Sul</v>
          </cell>
          <cell r="E5058">
            <v>5704</v>
          </cell>
        </row>
        <row r="5059">
          <cell r="D5059" t="str">
            <v>Toropi</v>
          </cell>
          <cell r="E5059">
            <v>2806</v>
          </cell>
        </row>
        <row r="5060">
          <cell r="D5060" t="str">
            <v>Torres</v>
          </cell>
          <cell r="E5060">
            <v>38732</v>
          </cell>
        </row>
        <row r="5061">
          <cell r="D5061" t="str">
            <v>Tramandaí</v>
          </cell>
          <cell r="E5061">
            <v>51715</v>
          </cell>
        </row>
        <row r="5062">
          <cell r="D5062" t="str">
            <v>Travesseiro</v>
          </cell>
          <cell r="E5062">
            <v>2336</v>
          </cell>
        </row>
        <row r="5063">
          <cell r="D5063" t="str">
            <v>Três Arroios</v>
          </cell>
          <cell r="E5063">
            <v>2668</v>
          </cell>
        </row>
        <row r="5064">
          <cell r="D5064" t="str">
            <v>Três Cachoeiras</v>
          </cell>
          <cell r="E5064">
            <v>11053</v>
          </cell>
        </row>
        <row r="5065">
          <cell r="D5065" t="str">
            <v>Três Coroas</v>
          </cell>
          <cell r="E5065">
            <v>28220</v>
          </cell>
        </row>
        <row r="5066">
          <cell r="D5066" t="str">
            <v>Três de Maio</v>
          </cell>
          <cell r="E5066">
            <v>23906</v>
          </cell>
        </row>
        <row r="5067">
          <cell r="D5067" t="str">
            <v>Três Forquilhas</v>
          </cell>
          <cell r="E5067">
            <v>2697</v>
          </cell>
        </row>
        <row r="5068">
          <cell r="D5068" t="str">
            <v>Três Palmeiras</v>
          </cell>
          <cell r="E5068">
            <v>4271</v>
          </cell>
        </row>
        <row r="5069">
          <cell r="D5069" t="str">
            <v>Três Passos</v>
          </cell>
          <cell r="E5069">
            <v>23906</v>
          </cell>
        </row>
        <row r="5070">
          <cell r="D5070" t="str">
            <v>Trindade do Sul</v>
          </cell>
          <cell r="E5070">
            <v>5802</v>
          </cell>
        </row>
        <row r="5071">
          <cell r="D5071" t="str">
            <v>Triunfo</v>
          </cell>
          <cell r="E5071">
            <v>29538</v>
          </cell>
        </row>
        <row r="5072">
          <cell r="D5072" t="str">
            <v>Tucunduva</v>
          </cell>
          <cell r="E5072">
            <v>5678</v>
          </cell>
        </row>
        <row r="5073">
          <cell r="D5073" t="str">
            <v>Tunas</v>
          </cell>
          <cell r="E5073">
            <v>4569</v>
          </cell>
        </row>
        <row r="5074">
          <cell r="D5074" t="str">
            <v>Tupanci do Sul</v>
          </cell>
          <cell r="E5074">
            <v>1472</v>
          </cell>
        </row>
        <row r="5075">
          <cell r="D5075" t="str">
            <v>Tupanciretã</v>
          </cell>
          <cell r="E5075">
            <v>23948</v>
          </cell>
        </row>
        <row r="5076">
          <cell r="D5076" t="str">
            <v>Tupandi</v>
          </cell>
          <cell r="E5076">
            <v>4855</v>
          </cell>
        </row>
        <row r="5077">
          <cell r="D5077" t="str">
            <v>Tuparendi</v>
          </cell>
          <cell r="E5077">
            <v>7893</v>
          </cell>
        </row>
        <row r="5078">
          <cell r="D5078" t="str">
            <v>Turuçu</v>
          </cell>
          <cell r="E5078">
            <v>3438</v>
          </cell>
        </row>
        <row r="5079">
          <cell r="D5079" t="str">
            <v>Ubiretama</v>
          </cell>
          <cell r="E5079">
            <v>2015</v>
          </cell>
        </row>
        <row r="5080">
          <cell r="D5080" t="str">
            <v>União da Serra</v>
          </cell>
          <cell r="E5080">
            <v>1154</v>
          </cell>
        </row>
        <row r="5081">
          <cell r="D5081" t="str">
            <v>Unistalda</v>
          </cell>
          <cell r="E5081">
            <v>2338</v>
          </cell>
        </row>
        <row r="5082">
          <cell r="D5082" t="str">
            <v>Uruguaiana</v>
          </cell>
          <cell r="E5082">
            <v>126970</v>
          </cell>
        </row>
        <row r="5083">
          <cell r="D5083" t="str">
            <v>Vacaria</v>
          </cell>
          <cell r="E5083">
            <v>66218</v>
          </cell>
        </row>
        <row r="5084">
          <cell r="D5084" t="str">
            <v>Vale Verde</v>
          </cell>
          <cell r="E5084">
            <v>3497</v>
          </cell>
        </row>
        <row r="5085">
          <cell r="D5085" t="str">
            <v>Vale do Sol</v>
          </cell>
          <cell r="E5085">
            <v>11781</v>
          </cell>
        </row>
        <row r="5086">
          <cell r="D5086" t="str">
            <v>Vale Real</v>
          </cell>
          <cell r="E5086">
            <v>5913</v>
          </cell>
        </row>
        <row r="5087">
          <cell r="D5087" t="str">
            <v>Vanini</v>
          </cell>
          <cell r="E5087">
            <v>2113</v>
          </cell>
        </row>
        <row r="5088">
          <cell r="D5088" t="str">
            <v>Venâncio Aires</v>
          </cell>
          <cell r="E5088">
            <v>71554</v>
          </cell>
        </row>
        <row r="5089">
          <cell r="D5089" t="str">
            <v>Vera Cruz</v>
          </cell>
          <cell r="E5089">
            <v>26863</v>
          </cell>
        </row>
        <row r="5090">
          <cell r="D5090" t="str">
            <v>Veranópolis</v>
          </cell>
          <cell r="E5090">
            <v>26241</v>
          </cell>
        </row>
        <row r="5091">
          <cell r="D5091" t="str">
            <v>Vespasiano Corrêa</v>
          </cell>
          <cell r="E5091">
            <v>1815</v>
          </cell>
        </row>
        <row r="5092">
          <cell r="D5092" t="str">
            <v>Viadutos</v>
          </cell>
          <cell r="E5092">
            <v>4756</v>
          </cell>
        </row>
        <row r="5093">
          <cell r="D5093" t="str">
            <v>Viamão</v>
          </cell>
          <cell r="E5093">
            <v>255224</v>
          </cell>
        </row>
        <row r="5094">
          <cell r="D5094" t="str">
            <v>Vicente Dutra</v>
          </cell>
          <cell r="E5094">
            <v>4670</v>
          </cell>
        </row>
        <row r="5095">
          <cell r="D5095" t="str">
            <v>Victor Graeff</v>
          </cell>
          <cell r="E5095">
            <v>2882</v>
          </cell>
        </row>
        <row r="5096">
          <cell r="D5096" t="str">
            <v>Vila Flores</v>
          </cell>
          <cell r="E5096">
            <v>3385</v>
          </cell>
        </row>
        <row r="5097">
          <cell r="D5097" t="str">
            <v>Vila Lângaro</v>
          </cell>
          <cell r="E5097">
            <v>2091</v>
          </cell>
        </row>
        <row r="5098">
          <cell r="D5098" t="str">
            <v>Vila Maria</v>
          </cell>
          <cell r="E5098">
            <v>4358</v>
          </cell>
        </row>
        <row r="5099">
          <cell r="D5099" t="str">
            <v>Vila Nova do Sul</v>
          </cell>
          <cell r="E5099">
            <v>4280</v>
          </cell>
        </row>
        <row r="5100">
          <cell r="D5100" t="str">
            <v>Vista Alegre</v>
          </cell>
          <cell r="E5100">
            <v>2752</v>
          </cell>
        </row>
        <row r="5101">
          <cell r="D5101" t="str">
            <v>Vista Alegre do Prata</v>
          </cell>
          <cell r="E5101">
            <v>1561</v>
          </cell>
        </row>
        <row r="5102">
          <cell r="D5102" t="str">
            <v>Vista Gaúcha</v>
          </cell>
          <cell r="E5102">
            <v>2851</v>
          </cell>
        </row>
        <row r="5103">
          <cell r="D5103" t="str">
            <v>Vitória das Missões</v>
          </cell>
          <cell r="E5103">
            <v>3133</v>
          </cell>
        </row>
        <row r="5104">
          <cell r="D5104" t="str">
            <v>Westfália</v>
          </cell>
          <cell r="E5104">
            <v>3014</v>
          </cell>
        </row>
        <row r="5105">
          <cell r="D5105" t="str">
            <v>Xangri-lá</v>
          </cell>
          <cell r="E5105">
            <v>16408</v>
          </cell>
        </row>
        <row r="5106">
          <cell r="D5106" t="str">
            <v>Água Clara</v>
          </cell>
          <cell r="E5106">
            <v>15522</v>
          </cell>
        </row>
        <row r="5107">
          <cell r="D5107" t="str">
            <v>Alcinópolis</v>
          </cell>
          <cell r="E5107">
            <v>5343</v>
          </cell>
        </row>
        <row r="5108">
          <cell r="D5108" t="str">
            <v>Amambai</v>
          </cell>
          <cell r="E5108">
            <v>39396</v>
          </cell>
        </row>
        <row r="5109">
          <cell r="D5109" t="str">
            <v>Anastácio</v>
          </cell>
          <cell r="E5109">
            <v>25135</v>
          </cell>
        </row>
        <row r="5110">
          <cell r="D5110" t="str">
            <v>Anaurilândia</v>
          </cell>
          <cell r="E5110">
            <v>9035</v>
          </cell>
        </row>
        <row r="5111">
          <cell r="D5111" t="str">
            <v>Angélica</v>
          </cell>
          <cell r="E5111">
            <v>10780</v>
          </cell>
        </row>
        <row r="5112">
          <cell r="D5112" t="str">
            <v>Antônio João</v>
          </cell>
          <cell r="E5112">
            <v>8956</v>
          </cell>
        </row>
        <row r="5113">
          <cell r="D5113" t="str">
            <v>Aparecida do Taboado</v>
          </cell>
          <cell r="E5113">
            <v>25745</v>
          </cell>
        </row>
        <row r="5114">
          <cell r="D5114" t="str">
            <v>Aquidauana</v>
          </cell>
          <cell r="E5114">
            <v>47871</v>
          </cell>
        </row>
        <row r="5115">
          <cell r="D5115" t="str">
            <v>Aral Moreira</v>
          </cell>
          <cell r="E5115">
            <v>12149</v>
          </cell>
        </row>
        <row r="5116">
          <cell r="D5116" t="str">
            <v>Bandeirantes</v>
          </cell>
          <cell r="E5116">
            <v>6788</v>
          </cell>
        </row>
        <row r="5117">
          <cell r="D5117" t="str">
            <v>Bataguassu</v>
          </cell>
          <cell r="E5117">
            <v>23024</v>
          </cell>
        </row>
        <row r="5118">
          <cell r="D5118" t="str">
            <v>Batayporã</v>
          </cell>
          <cell r="E5118">
            <v>11329</v>
          </cell>
        </row>
        <row r="5119">
          <cell r="D5119" t="str">
            <v>Bela Vista</v>
          </cell>
          <cell r="E5119">
            <v>24629</v>
          </cell>
        </row>
        <row r="5120">
          <cell r="D5120" t="str">
            <v>Bodoquena</v>
          </cell>
          <cell r="E5120">
            <v>7875</v>
          </cell>
        </row>
        <row r="5121">
          <cell r="D5121" t="str">
            <v>Bonito</v>
          </cell>
          <cell r="E5121">
            <v>21976</v>
          </cell>
        </row>
        <row r="5122">
          <cell r="D5122" t="str">
            <v>Brasilândia</v>
          </cell>
          <cell r="E5122">
            <v>11872</v>
          </cell>
        </row>
        <row r="5123">
          <cell r="D5123" t="str">
            <v>Caarapó</v>
          </cell>
          <cell r="E5123">
            <v>30174</v>
          </cell>
        </row>
        <row r="5124">
          <cell r="D5124" t="str">
            <v>Camapuã</v>
          </cell>
          <cell r="E5124">
            <v>13711</v>
          </cell>
        </row>
        <row r="5125">
          <cell r="D5125" t="str">
            <v>Campo Grande</v>
          </cell>
          <cell r="E5125">
            <v>895982</v>
          </cell>
        </row>
        <row r="5126">
          <cell r="D5126" t="str">
            <v>Caracol</v>
          </cell>
          <cell r="E5126">
            <v>6116</v>
          </cell>
        </row>
        <row r="5127">
          <cell r="D5127" t="str">
            <v>Cassilândia</v>
          </cell>
          <cell r="E5127">
            <v>21939</v>
          </cell>
        </row>
        <row r="5128">
          <cell r="D5128" t="str">
            <v>Chapadão do Sul</v>
          </cell>
          <cell r="E5128">
            <v>25218</v>
          </cell>
        </row>
        <row r="5129">
          <cell r="D5129" t="str">
            <v>Corguinho</v>
          </cell>
          <cell r="E5129">
            <v>5947</v>
          </cell>
        </row>
        <row r="5130">
          <cell r="D5130" t="str">
            <v>Coronel Sapucaia</v>
          </cell>
          <cell r="E5130">
            <v>15253</v>
          </cell>
        </row>
        <row r="5131">
          <cell r="D5131" t="str">
            <v>Corumbá</v>
          </cell>
          <cell r="E5131">
            <v>111435</v>
          </cell>
        </row>
        <row r="5132">
          <cell r="D5132" t="str">
            <v>Costa Rica</v>
          </cell>
          <cell r="E5132">
            <v>20823</v>
          </cell>
        </row>
        <row r="5133">
          <cell r="D5133" t="str">
            <v>Coxim</v>
          </cell>
          <cell r="E5133">
            <v>33543</v>
          </cell>
        </row>
        <row r="5134">
          <cell r="D5134" t="str">
            <v>Deodápolis</v>
          </cell>
          <cell r="E5134">
            <v>12924</v>
          </cell>
        </row>
        <row r="5135">
          <cell r="D5135" t="str">
            <v>Dois Irmãos do Buriti</v>
          </cell>
          <cell r="E5135">
            <v>11385</v>
          </cell>
        </row>
        <row r="5136">
          <cell r="D5136" t="str">
            <v>Douradina</v>
          </cell>
          <cell r="E5136">
            <v>5924</v>
          </cell>
        </row>
        <row r="5137">
          <cell r="D5137" t="str">
            <v>Dourados</v>
          </cell>
          <cell r="E5137">
            <v>222949</v>
          </cell>
        </row>
        <row r="5138">
          <cell r="D5138" t="str">
            <v>Eldorado</v>
          </cell>
          <cell r="E5138">
            <v>12353</v>
          </cell>
        </row>
        <row r="5139">
          <cell r="D5139" t="str">
            <v>Fátima do Sul</v>
          </cell>
          <cell r="E5139">
            <v>19189</v>
          </cell>
        </row>
        <row r="5140">
          <cell r="D5140" t="str">
            <v>Figueirão</v>
          </cell>
          <cell r="E5140">
            <v>3051</v>
          </cell>
        </row>
        <row r="5141">
          <cell r="D5141" t="str">
            <v>Glória de Dourados</v>
          </cell>
          <cell r="E5141">
            <v>9965</v>
          </cell>
        </row>
        <row r="5142">
          <cell r="D5142" t="str">
            <v>Guia Lopes da Laguna</v>
          </cell>
          <cell r="E5142">
            <v>9895</v>
          </cell>
        </row>
        <row r="5143">
          <cell r="D5143" t="str">
            <v>Iguatemi</v>
          </cell>
          <cell r="E5143">
            <v>16078</v>
          </cell>
        </row>
        <row r="5144">
          <cell r="D5144" t="str">
            <v>Inocência</v>
          </cell>
          <cell r="E5144">
            <v>7610</v>
          </cell>
        </row>
        <row r="5145">
          <cell r="D5145" t="str">
            <v>Itaporã</v>
          </cell>
          <cell r="E5145">
            <v>24839</v>
          </cell>
        </row>
        <row r="5146">
          <cell r="D5146" t="str">
            <v>Itaquiraí</v>
          </cell>
          <cell r="E5146">
            <v>21142</v>
          </cell>
        </row>
        <row r="5147">
          <cell r="D5147" t="str">
            <v>Ivinhema</v>
          </cell>
          <cell r="E5147">
            <v>23187</v>
          </cell>
        </row>
        <row r="5148">
          <cell r="D5148" t="str">
            <v>Japorã</v>
          </cell>
          <cell r="E5148">
            <v>9110</v>
          </cell>
        </row>
        <row r="5149">
          <cell r="D5149" t="str">
            <v>Jaraguari</v>
          </cell>
          <cell r="E5149">
            <v>7187</v>
          </cell>
        </row>
        <row r="5150">
          <cell r="D5150" t="str">
            <v>Jardim</v>
          </cell>
          <cell r="E5150">
            <v>26097</v>
          </cell>
        </row>
        <row r="5151">
          <cell r="D5151" t="str">
            <v>Jateí</v>
          </cell>
          <cell r="E5151">
            <v>4027</v>
          </cell>
        </row>
        <row r="5152">
          <cell r="D5152" t="str">
            <v>Juti</v>
          </cell>
          <cell r="E5152">
            <v>6712</v>
          </cell>
        </row>
        <row r="5153">
          <cell r="D5153" t="str">
            <v>Ladário</v>
          </cell>
          <cell r="E5153">
            <v>23331</v>
          </cell>
        </row>
        <row r="5154">
          <cell r="D5154" t="str">
            <v>Laguna Carapã</v>
          </cell>
          <cell r="E5154">
            <v>7341</v>
          </cell>
        </row>
        <row r="5155">
          <cell r="D5155" t="str">
            <v>Maracaju</v>
          </cell>
          <cell r="E5155">
            <v>47083</v>
          </cell>
        </row>
        <row r="5156">
          <cell r="D5156" t="str">
            <v>Miranda</v>
          </cell>
          <cell r="E5156">
            <v>28013</v>
          </cell>
        </row>
        <row r="5157">
          <cell r="D5157" t="str">
            <v>Mundo Novo</v>
          </cell>
          <cell r="E5157">
            <v>18366</v>
          </cell>
        </row>
        <row r="5158">
          <cell r="D5158" t="str">
            <v>Naviraí</v>
          </cell>
          <cell r="E5158">
            <v>54878</v>
          </cell>
        </row>
        <row r="5159">
          <cell r="D5159" t="str">
            <v>Nioaque</v>
          </cell>
          <cell r="E5159">
            <v>13930</v>
          </cell>
        </row>
        <row r="5160">
          <cell r="D5160" t="str">
            <v>Nova Alvorada do Sul</v>
          </cell>
          <cell r="E5160">
            <v>21882</v>
          </cell>
        </row>
        <row r="5161">
          <cell r="D5161" t="str">
            <v>Nova Andradina</v>
          </cell>
          <cell r="E5161">
            <v>54374</v>
          </cell>
        </row>
        <row r="5162">
          <cell r="D5162" t="str">
            <v>Novo Horizonte do Sul</v>
          </cell>
          <cell r="E5162">
            <v>3814</v>
          </cell>
        </row>
        <row r="5163">
          <cell r="D5163" t="str">
            <v>Paraíso das Águas</v>
          </cell>
          <cell r="E5163">
            <v>5555</v>
          </cell>
        </row>
        <row r="5164">
          <cell r="D5164" t="str">
            <v>Paranaíba</v>
          </cell>
          <cell r="E5164">
            <v>42148</v>
          </cell>
        </row>
        <row r="5165">
          <cell r="D5165" t="str">
            <v>Paranhos</v>
          </cell>
          <cell r="E5165">
            <v>14228</v>
          </cell>
        </row>
        <row r="5166">
          <cell r="D5166" t="str">
            <v>Pedro Gomes</v>
          </cell>
          <cell r="E5166">
            <v>7674</v>
          </cell>
        </row>
        <row r="5167">
          <cell r="D5167" t="str">
            <v>Ponta Porã</v>
          </cell>
          <cell r="E5167">
            <v>92526</v>
          </cell>
        </row>
        <row r="5168">
          <cell r="D5168" t="str">
            <v>Porto Murtinho</v>
          </cell>
          <cell r="E5168">
            <v>17131</v>
          </cell>
        </row>
        <row r="5169">
          <cell r="D5169" t="str">
            <v>Ribas do Rio Pardo</v>
          </cell>
          <cell r="E5169">
            <v>24615</v>
          </cell>
        </row>
        <row r="5170">
          <cell r="D5170" t="str">
            <v>Rio Brilhante</v>
          </cell>
          <cell r="E5170">
            <v>37514</v>
          </cell>
        </row>
        <row r="5171">
          <cell r="D5171" t="str">
            <v>Rio Negro</v>
          </cell>
          <cell r="E5171">
            <v>4831</v>
          </cell>
        </row>
        <row r="5172">
          <cell r="D5172" t="str">
            <v>Rio Verde de Mato Grosso</v>
          </cell>
          <cell r="E5172">
            <v>19746</v>
          </cell>
        </row>
        <row r="5173">
          <cell r="D5173" t="str">
            <v>Rochedo</v>
          </cell>
          <cell r="E5173">
            <v>5499</v>
          </cell>
        </row>
        <row r="5174">
          <cell r="D5174" t="str">
            <v>Santa Rita do Pardo</v>
          </cell>
          <cell r="E5174">
            <v>7851</v>
          </cell>
        </row>
        <row r="5175">
          <cell r="D5175" t="str">
            <v>São Gabriel do Oeste</v>
          </cell>
          <cell r="E5175">
            <v>26771</v>
          </cell>
        </row>
        <row r="5176">
          <cell r="D5176" t="str">
            <v>Sete Quedas</v>
          </cell>
          <cell r="E5176">
            <v>10791</v>
          </cell>
        </row>
        <row r="5177">
          <cell r="D5177" t="str">
            <v>Selvíria</v>
          </cell>
          <cell r="E5177">
            <v>6529</v>
          </cell>
        </row>
        <row r="5178">
          <cell r="D5178" t="str">
            <v>Sidrolândia</v>
          </cell>
          <cell r="E5178">
            <v>57665</v>
          </cell>
        </row>
        <row r="5179">
          <cell r="D5179" t="str">
            <v>Sonora</v>
          </cell>
          <cell r="E5179">
            <v>19274</v>
          </cell>
        </row>
        <row r="5180">
          <cell r="D5180" t="str">
            <v>Tacuru</v>
          </cell>
          <cell r="E5180">
            <v>11552</v>
          </cell>
        </row>
        <row r="5181">
          <cell r="D5181" t="str">
            <v>Taquarussu</v>
          </cell>
          <cell r="E5181">
            <v>3588</v>
          </cell>
        </row>
        <row r="5182">
          <cell r="D5182" t="str">
            <v>Terenos</v>
          </cell>
          <cell r="E5182">
            <v>21806</v>
          </cell>
        </row>
        <row r="5183">
          <cell r="D5183" t="str">
            <v>Três Lagoas</v>
          </cell>
          <cell r="E5183">
            <v>121388</v>
          </cell>
        </row>
        <row r="5184">
          <cell r="D5184" t="str">
            <v>Vicentina</v>
          </cell>
          <cell r="E5184">
            <v>6102</v>
          </cell>
        </row>
        <row r="5185">
          <cell r="D5185" t="str">
            <v>Acorizal</v>
          </cell>
          <cell r="E5185">
            <v>5399</v>
          </cell>
        </row>
        <row r="5186">
          <cell r="D5186" t="str">
            <v>Água Boa</v>
          </cell>
          <cell r="E5186">
            <v>25721</v>
          </cell>
        </row>
        <row r="5187">
          <cell r="D5187" t="str">
            <v>Alta Floresta</v>
          </cell>
          <cell r="E5187">
            <v>51782</v>
          </cell>
        </row>
        <row r="5188">
          <cell r="D5188" t="str">
            <v>Alto Araguaia</v>
          </cell>
          <cell r="E5188">
            <v>19044</v>
          </cell>
        </row>
        <row r="5189">
          <cell r="D5189" t="str">
            <v>Alto Boa Vista</v>
          </cell>
          <cell r="E5189">
            <v>6822</v>
          </cell>
        </row>
        <row r="5190">
          <cell r="D5190" t="str">
            <v>Alto Garças</v>
          </cell>
          <cell r="E5190">
            <v>12030</v>
          </cell>
        </row>
        <row r="5191">
          <cell r="D5191" t="str">
            <v>Alto Paraguai</v>
          </cell>
          <cell r="E5191">
            <v>11356</v>
          </cell>
        </row>
        <row r="5192">
          <cell r="D5192" t="str">
            <v>Alto Taquari</v>
          </cell>
          <cell r="E5192">
            <v>10847</v>
          </cell>
        </row>
        <row r="5193">
          <cell r="D5193" t="str">
            <v>Apiacás</v>
          </cell>
          <cell r="E5193">
            <v>10133</v>
          </cell>
        </row>
        <row r="5194">
          <cell r="D5194" t="str">
            <v>Araguaiana</v>
          </cell>
          <cell r="E5194">
            <v>3100</v>
          </cell>
        </row>
        <row r="5195">
          <cell r="D5195" t="str">
            <v>Araguainha</v>
          </cell>
          <cell r="E5195">
            <v>935</v>
          </cell>
        </row>
        <row r="5196">
          <cell r="D5196" t="str">
            <v>Araputanga</v>
          </cell>
          <cell r="E5196">
            <v>16822</v>
          </cell>
        </row>
        <row r="5197">
          <cell r="D5197" t="str">
            <v>Arenápolis</v>
          </cell>
          <cell r="E5197">
            <v>9607</v>
          </cell>
        </row>
        <row r="5198">
          <cell r="D5198" t="str">
            <v>Aripuanã</v>
          </cell>
          <cell r="E5198">
            <v>22354</v>
          </cell>
        </row>
        <row r="5199">
          <cell r="D5199" t="str">
            <v>Barão de Melgaço</v>
          </cell>
          <cell r="E5199">
            <v>8564</v>
          </cell>
        </row>
        <row r="5200">
          <cell r="D5200" t="str">
            <v>Barra do Bugres</v>
          </cell>
          <cell r="E5200">
            <v>34966</v>
          </cell>
        </row>
        <row r="5201">
          <cell r="D5201" t="str">
            <v>Barra do Garças</v>
          </cell>
          <cell r="E5201">
            <v>61012</v>
          </cell>
        </row>
        <row r="5202">
          <cell r="D5202" t="str">
            <v>Bom Jesus do Araguaia</v>
          </cell>
          <cell r="E5202">
            <v>6580</v>
          </cell>
        </row>
        <row r="5203">
          <cell r="D5203" t="str">
            <v>Brasnorte</v>
          </cell>
          <cell r="E5203">
            <v>19695</v>
          </cell>
        </row>
        <row r="5204">
          <cell r="D5204" t="str">
            <v>Cáceres</v>
          </cell>
          <cell r="E5204">
            <v>94376</v>
          </cell>
        </row>
        <row r="5205">
          <cell r="D5205" t="str">
            <v>Campinápolis</v>
          </cell>
          <cell r="E5205">
            <v>15980</v>
          </cell>
        </row>
        <row r="5206">
          <cell r="D5206" t="str">
            <v>Campo Novo do Parecis</v>
          </cell>
          <cell r="E5206">
            <v>35360</v>
          </cell>
        </row>
        <row r="5207">
          <cell r="D5207" t="str">
            <v>Campo Verde</v>
          </cell>
          <cell r="E5207">
            <v>44041</v>
          </cell>
        </row>
        <row r="5208">
          <cell r="D5208" t="str">
            <v>Campos de Júlio</v>
          </cell>
          <cell r="E5208">
            <v>6891</v>
          </cell>
        </row>
        <row r="5209">
          <cell r="D5209" t="str">
            <v>Canabrava do Norte</v>
          </cell>
          <cell r="E5209">
            <v>4743</v>
          </cell>
        </row>
        <row r="5210">
          <cell r="D5210" t="str">
            <v>Canarana</v>
          </cell>
          <cell r="E5210">
            <v>21579</v>
          </cell>
        </row>
        <row r="5211">
          <cell r="D5211" t="str">
            <v>Carlinda</v>
          </cell>
          <cell r="E5211">
            <v>10305</v>
          </cell>
        </row>
        <row r="5212">
          <cell r="D5212" t="str">
            <v>Castanheira</v>
          </cell>
          <cell r="E5212">
            <v>8729</v>
          </cell>
        </row>
        <row r="5213">
          <cell r="D5213" t="str">
            <v>Chapada dos Guimarães</v>
          </cell>
          <cell r="E5213">
            <v>19752</v>
          </cell>
        </row>
        <row r="5214">
          <cell r="D5214" t="str">
            <v>Cláudia</v>
          </cell>
          <cell r="E5214">
            <v>12149</v>
          </cell>
        </row>
        <row r="5215">
          <cell r="D5215" t="str">
            <v>Cocalinho</v>
          </cell>
          <cell r="E5215">
            <v>5700</v>
          </cell>
        </row>
        <row r="5216">
          <cell r="D5216" t="str">
            <v>Colíder</v>
          </cell>
          <cell r="E5216">
            <v>33438</v>
          </cell>
        </row>
        <row r="5217">
          <cell r="D5217" t="str">
            <v>Colniza</v>
          </cell>
          <cell r="E5217">
            <v>38582</v>
          </cell>
        </row>
        <row r="5218">
          <cell r="D5218" t="str">
            <v>Comodoro</v>
          </cell>
          <cell r="E5218">
            <v>20763</v>
          </cell>
        </row>
        <row r="5219">
          <cell r="D5219" t="str">
            <v>Confresa</v>
          </cell>
          <cell r="E5219">
            <v>30933</v>
          </cell>
        </row>
        <row r="5220">
          <cell r="D5220" t="str">
            <v>Conquista D'Oeste</v>
          </cell>
          <cell r="E5220">
            <v>4038</v>
          </cell>
        </row>
        <row r="5221">
          <cell r="D5221" t="str">
            <v>Cotriguaçu</v>
          </cell>
          <cell r="E5221">
            <v>19750</v>
          </cell>
        </row>
        <row r="5222">
          <cell r="D5222" t="str">
            <v>Cuiabá</v>
          </cell>
          <cell r="E5222">
            <v>612547</v>
          </cell>
        </row>
        <row r="5223">
          <cell r="D5223" t="str">
            <v>Curvelândia</v>
          </cell>
          <cell r="E5223">
            <v>5219</v>
          </cell>
        </row>
        <row r="5224">
          <cell r="D5224" t="str">
            <v>Denise</v>
          </cell>
          <cell r="E5224">
            <v>9462</v>
          </cell>
        </row>
        <row r="5225">
          <cell r="D5225" t="str">
            <v>Diamantino</v>
          </cell>
          <cell r="E5225">
            <v>22041</v>
          </cell>
        </row>
        <row r="5226">
          <cell r="D5226" t="str">
            <v>Dom Aquino</v>
          </cell>
          <cell r="E5226">
            <v>8178</v>
          </cell>
        </row>
        <row r="5227">
          <cell r="D5227" t="str">
            <v>Feliz Natal</v>
          </cell>
          <cell r="E5227">
            <v>14192</v>
          </cell>
        </row>
        <row r="5228">
          <cell r="D5228" t="str">
            <v>Figueirópolis D'Oeste</v>
          </cell>
          <cell r="E5228">
            <v>3494</v>
          </cell>
        </row>
        <row r="5229">
          <cell r="D5229" t="str">
            <v>Gaúcha do Norte</v>
          </cell>
          <cell r="E5229">
            <v>7648</v>
          </cell>
        </row>
        <row r="5230">
          <cell r="D5230" t="str">
            <v>General Carneiro</v>
          </cell>
          <cell r="E5230">
            <v>5540</v>
          </cell>
        </row>
        <row r="5231">
          <cell r="D5231" t="str">
            <v>Glória D'Oeste</v>
          </cell>
          <cell r="E5231">
            <v>3026</v>
          </cell>
        </row>
        <row r="5232">
          <cell r="D5232" t="str">
            <v>Guarantã do Norte</v>
          </cell>
          <cell r="E5232">
            <v>35816</v>
          </cell>
        </row>
        <row r="5233">
          <cell r="D5233" t="str">
            <v>Guiratinga</v>
          </cell>
          <cell r="E5233">
            <v>15141</v>
          </cell>
        </row>
        <row r="5234">
          <cell r="D5234" t="str">
            <v>Indiavaí</v>
          </cell>
          <cell r="E5234">
            <v>2752</v>
          </cell>
        </row>
        <row r="5235">
          <cell r="D5235" t="str">
            <v>Ipiranga do Norte</v>
          </cell>
          <cell r="E5235">
            <v>7667</v>
          </cell>
        </row>
        <row r="5236">
          <cell r="D5236" t="str">
            <v>Itanhangá</v>
          </cell>
          <cell r="E5236">
            <v>6737</v>
          </cell>
        </row>
        <row r="5237">
          <cell r="D5237" t="str">
            <v>Itaúba</v>
          </cell>
          <cell r="E5237">
            <v>3802</v>
          </cell>
        </row>
        <row r="5238">
          <cell r="D5238" t="str">
            <v>Itiquira</v>
          </cell>
          <cell r="E5238">
            <v>13345</v>
          </cell>
        </row>
        <row r="5239">
          <cell r="D5239" t="str">
            <v>Jaciara</v>
          </cell>
          <cell r="E5239">
            <v>27776</v>
          </cell>
        </row>
        <row r="5240">
          <cell r="D5240" t="str">
            <v>Jangada</v>
          </cell>
          <cell r="E5240">
            <v>8409</v>
          </cell>
        </row>
        <row r="5241">
          <cell r="D5241" t="str">
            <v>Jauru</v>
          </cell>
          <cell r="E5241">
            <v>8793</v>
          </cell>
        </row>
        <row r="5242">
          <cell r="D5242" t="str">
            <v>Juara</v>
          </cell>
          <cell r="E5242">
            <v>34974</v>
          </cell>
        </row>
        <row r="5243">
          <cell r="D5243" t="str">
            <v>Juína</v>
          </cell>
          <cell r="E5243">
            <v>40997</v>
          </cell>
        </row>
        <row r="5244">
          <cell r="D5244" t="str">
            <v>Juruena</v>
          </cell>
          <cell r="E5244">
            <v>15865</v>
          </cell>
        </row>
        <row r="5245">
          <cell r="D5245" t="str">
            <v>Juscimeira</v>
          </cell>
          <cell r="E5245">
            <v>11221</v>
          </cell>
        </row>
        <row r="5246">
          <cell r="D5246" t="str">
            <v>Lambari D'Oeste</v>
          </cell>
          <cell r="E5246">
            <v>6121</v>
          </cell>
        </row>
        <row r="5247">
          <cell r="D5247" t="str">
            <v>Lucas do Rio Verde</v>
          </cell>
          <cell r="E5247">
            <v>65534</v>
          </cell>
        </row>
        <row r="5248">
          <cell r="D5248" t="str">
            <v>Luciara</v>
          </cell>
          <cell r="E5248">
            <v>2077</v>
          </cell>
        </row>
        <row r="5249">
          <cell r="D5249" t="str">
            <v>Vila Bela da Santíssima Trindade</v>
          </cell>
          <cell r="E5249">
            <v>16128</v>
          </cell>
        </row>
        <row r="5250">
          <cell r="D5250" t="str">
            <v>Marcelândia</v>
          </cell>
          <cell r="E5250">
            <v>10499</v>
          </cell>
        </row>
        <row r="5251">
          <cell r="D5251" t="str">
            <v>Matupá</v>
          </cell>
          <cell r="E5251">
            <v>16566</v>
          </cell>
        </row>
        <row r="5252">
          <cell r="D5252" t="str">
            <v>Mirassol d'Oeste</v>
          </cell>
          <cell r="E5252">
            <v>27739</v>
          </cell>
        </row>
        <row r="5253">
          <cell r="D5253" t="str">
            <v>Nobres</v>
          </cell>
          <cell r="E5253">
            <v>15336</v>
          </cell>
        </row>
        <row r="5254">
          <cell r="D5254" t="str">
            <v>Nortelândia</v>
          </cell>
          <cell r="E5254">
            <v>5989</v>
          </cell>
        </row>
        <row r="5255">
          <cell r="D5255" t="str">
            <v>Nossa Senhora do Livramento</v>
          </cell>
          <cell r="E5255">
            <v>13216</v>
          </cell>
        </row>
        <row r="5256">
          <cell r="D5256" t="str">
            <v>Nova Bandeirantes</v>
          </cell>
          <cell r="E5256">
            <v>15288</v>
          </cell>
        </row>
        <row r="5257">
          <cell r="D5257" t="str">
            <v>Nova Nazaré</v>
          </cell>
          <cell r="E5257">
            <v>3849</v>
          </cell>
        </row>
        <row r="5258">
          <cell r="D5258" t="str">
            <v>Nova Lacerda</v>
          </cell>
          <cell r="E5258">
            <v>6640</v>
          </cell>
        </row>
        <row r="5259">
          <cell r="D5259" t="str">
            <v>Nova Santa Helena</v>
          </cell>
          <cell r="E5259">
            <v>3718</v>
          </cell>
        </row>
        <row r="5260">
          <cell r="D5260" t="str">
            <v>Nova Brasilândia</v>
          </cell>
          <cell r="E5260">
            <v>3829</v>
          </cell>
        </row>
        <row r="5261">
          <cell r="D5261" t="str">
            <v>Nova Canaã do Norte</v>
          </cell>
          <cell r="E5261">
            <v>12787</v>
          </cell>
        </row>
        <row r="5262">
          <cell r="D5262" t="str">
            <v>Nova Mutum</v>
          </cell>
          <cell r="E5262">
            <v>45378</v>
          </cell>
        </row>
        <row r="5263">
          <cell r="D5263" t="str">
            <v>Nova Olímpia</v>
          </cell>
          <cell r="E5263">
            <v>20301</v>
          </cell>
        </row>
        <row r="5264">
          <cell r="D5264" t="str">
            <v>Nova Ubiratã</v>
          </cell>
          <cell r="E5264">
            <v>11982</v>
          </cell>
        </row>
        <row r="5265">
          <cell r="D5265" t="str">
            <v>Nova Xavantina</v>
          </cell>
          <cell r="E5265">
            <v>21374</v>
          </cell>
        </row>
        <row r="5266">
          <cell r="D5266" t="str">
            <v>Novo Mundo</v>
          </cell>
          <cell r="E5266">
            <v>9178</v>
          </cell>
        </row>
        <row r="5267">
          <cell r="D5267" t="str">
            <v>Novo Horizonte do Norte</v>
          </cell>
          <cell r="E5267">
            <v>4004</v>
          </cell>
        </row>
        <row r="5268">
          <cell r="D5268" t="str">
            <v>Novo São Joaquim</v>
          </cell>
          <cell r="E5268">
            <v>5074</v>
          </cell>
        </row>
        <row r="5269">
          <cell r="D5269" t="str">
            <v>Paranaíta</v>
          </cell>
          <cell r="E5269">
            <v>11225</v>
          </cell>
        </row>
        <row r="5270">
          <cell r="D5270" t="str">
            <v>Paranatinga</v>
          </cell>
          <cell r="E5270">
            <v>22563</v>
          </cell>
        </row>
        <row r="5271">
          <cell r="D5271" t="str">
            <v>Novo Santo Antônio</v>
          </cell>
          <cell r="E5271">
            <v>2640</v>
          </cell>
        </row>
        <row r="5272">
          <cell r="D5272" t="str">
            <v>Pedra Preta</v>
          </cell>
          <cell r="E5272">
            <v>17626</v>
          </cell>
        </row>
        <row r="5273">
          <cell r="D5273" t="str">
            <v>Peixoto de Azevedo</v>
          </cell>
          <cell r="E5273">
            <v>34976</v>
          </cell>
        </row>
        <row r="5274">
          <cell r="D5274" t="str">
            <v>Planalto da Serra</v>
          </cell>
          <cell r="E5274">
            <v>2662</v>
          </cell>
        </row>
        <row r="5275">
          <cell r="D5275" t="str">
            <v>Poconé</v>
          </cell>
          <cell r="E5275">
            <v>32843</v>
          </cell>
        </row>
        <row r="5276">
          <cell r="D5276" t="str">
            <v>Pontal do Araguaia</v>
          </cell>
          <cell r="E5276">
            <v>6711</v>
          </cell>
        </row>
        <row r="5277">
          <cell r="D5277" t="str">
            <v>Ponte Branca</v>
          </cell>
          <cell r="E5277">
            <v>1576</v>
          </cell>
        </row>
        <row r="5278">
          <cell r="D5278" t="str">
            <v>Pontes e Lacerda</v>
          </cell>
          <cell r="E5278">
            <v>45436</v>
          </cell>
        </row>
        <row r="5279">
          <cell r="D5279" t="str">
            <v>Porto Alegre do Norte</v>
          </cell>
          <cell r="E5279">
            <v>12517</v>
          </cell>
        </row>
        <row r="5280">
          <cell r="D5280" t="str">
            <v>Porto dos Gaúchos</v>
          </cell>
          <cell r="E5280">
            <v>5410</v>
          </cell>
        </row>
        <row r="5281">
          <cell r="D5281" t="str">
            <v>Porto Esperidião</v>
          </cell>
          <cell r="E5281">
            <v>12017</v>
          </cell>
        </row>
        <row r="5282">
          <cell r="D5282" t="str">
            <v>Porto Estrela</v>
          </cell>
          <cell r="E5282">
            <v>2963</v>
          </cell>
        </row>
        <row r="5283">
          <cell r="D5283" t="str">
            <v>Poxoréu</v>
          </cell>
          <cell r="E5283">
            <v>16219</v>
          </cell>
        </row>
        <row r="5284">
          <cell r="D5284" t="str">
            <v>Primavera do Leste</v>
          </cell>
          <cell r="E5284">
            <v>62019</v>
          </cell>
        </row>
        <row r="5285">
          <cell r="D5285" t="str">
            <v>Querência</v>
          </cell>
          <cell r="E5285">
            <v>17479</v>
          </cell>
        </row>
        <row r="5286">
          <cell r="D5286" t="str">
            <v>São José dos Quatro Marcos</v>
          </cell>
          <cell r="E5286">
            <v>18906</v>
          </cell>
        </row>
        <row r="5287">
          <cell r="D5287" t="str">
            <v>Reserva do Cabaçal</v>
          </cell>
          <cell r="E5287">
            <v>2732</v>
          </cell>
        </row>
        <row r="5288">
          <cell r="D5288" t="str">
            <v>Ribeirão Cascalheira</v>
          </cell>
          <cell r="E5288">
            <v>10206</v>
          </cell>
        </row>
        <row r="5289">
          <cell r="D5289" t="str">
            <v>Ribeirãozinho</v>
          </cell>
          <cell r="E5289">
            <v>2405</v>
          </cell>
        </row>
        <row r="5290">
          <cell r="D5290" t="str">
            <v>Rio Branco</v>
          </cell>
          <cell r="E5290">
            <v>5156</v>
          </cell>
        </row>
        <row r="5291">
          <cell r="D5291" t="str">
            <v>Santa Carmem</v>
          </cell>
          <cell r="E5291">
            <v>4525</v>
          </cell>
        </row>
        <row r="5292">
          <cell r="D5292" t="str">
            <v>Santo Afonso</v>
          </cell>
          <cell r="E5292">
            <v>3146</v>
          </cell>
        </row>
        <row r="5293">
          <cell r="D5293" t="str">
            <v>São José do Povo</v>
          </cell>
          <cell r="E5293">
            <v>4063</v>
          </cell>
        </row>
        <row r="5294">
          <cell r="D5294" t="str">
            <v>São José do Rio Claro</v>
          </cell>
          <cell r="E5294">
            <v>20664</v>
          </cell>
        </row>
        <row r="5295">
          <cell r="D5295" t="str">
            <v>São José do Xingu</v>
          </cell>
          <cell r="E5295">
            <v>5595</v>
          </cell>
        </row>
        <row r="5296">
          <cell r="D5296" t="str">
            <v>São Pedro da Cipa</v>
          </cell>
          <cell r="E5296">
            <v>4727</v>
          </cell>
        </row>
        <row r="5297">
          <cell r="D5297" t="str">
            <v>Rondolândia</v>
          </cell>
          <cell r="E5297">
            <v>4001</v>
          </cell>
        </row>
        <row r="5298">
          <cell r="D5298" t="str">
            <v>Rondonópolis</v>
          </cell>
          <cell r="E5298">
            <v>232491</v>
          </cell>
        </row>
        <row r="5299">
          <cell r="D5299" t="str">
            <v>Rosário Oeste</v>
          </cell>
          <cell r="E5299">
            <v>17151</v>
          </cell>
        </row>
        <row r="5300">
          <cell r="D5300" t="str">
            <v>Santa Cruz do Xingu</v>
          </cell>
          <cell r="E5300">
            <v>2564</v>
          </cell>
        </row>
        <row r="5301">
          <cell r="D5301" t="str">
            <v>Salto do Céu</v>
          </cell>
          <cell r="E5301">
            <v>3365</v>
          </cell>
        </row>
        <row r="5302">
          <cell r="D5302" t="str">
            <v>Santa Rita do Trivelato</v>
          </cell>
          <cell r="E5302">
            <v>3429</v>
          </cell>
        </row>
        <row r="5303">
          <cell r="D5303" t="str">
            <v>Santa Terezinha</v>
          </cell>
          <cell r="E5303">
            <v>8371</v>
          </cell>
        </row>
        <row r="5304">
          <cell r="D5304" t="str">
            <v>Santo Antônio do Leste</v>
          </cell>
          <cell r="E5304">
            <v>5174</v>
          </cell>
        </row>
        <row r="5305">
          <cell r="D5305" t="str">
            <v>Santo Antônio do Leverger</v>
          </cell>
          <cell r="E5305">
            <v>16628</v>
          </cell>
        </row>
        <row r="5306">
          <cell r="D5306" t="str">
            <v>São Félix do Araguaia</v>
          </cell>
          <cell r="E5306">
            <v>11708</v>
          </cell>
        </row>
        <row r="5307">
          <cell r="D5307" t="str">
            <v>Sapezal</v>
          </cell>
          <cell r="E5307">
            <v>25881</v>
          </cell>
        </row>
        <row r="5308">
          <cell r="D5308" t="str">
            <v>Serra Nova Dourada</v>
          </cell>
          <cell r="E5308">
            <v>1650</v>
          </cell>
        </row>
        <row r="5309">
          <cell r="D5309" t="str">
            <v>Sinop</v>
          </cell>
          <cell r="E5309">
            <v>142996</v>
          </cell>
        </row>
        <row r="5310">
          <cell r="D5310" t="str">
            <v>Sorriso</v>
          </cell>
          <cell r="E5310">
            <v>90313</v>
          </cell>
        </row>
        <row r="5311">
          <cell r="D5311" t="str">
            <v>Tabaporã</v>
          </cell>
          <cell r="E5311">
            <v>9489</v>
          </cell>
        </row>
        <row r="5312">
          <cell r="D5312" t="str">
            <v>Tangará da Serra</v>
          </cell>
          <cell r="E5312">
            <v>103750</v>
          </cell>
        </row>
        <row r="5313">
          <cell r="D5313" t="str">
            <v>Tapurah</v>
          </cell>
          <cell r="E5313">
            <v>13705</v>
          </cell>
        </row>
        <row r="5314">
          <cell r="D5314" t="str">
            <v>Terra Nova do Norte</v>
          </cell>
          <cell r="E5314" t="str">
            <v>9667 (19)</v>
          </cell>
        </row>
        <row r="5315">
          <cell r="D5315" t="str">
            <v>Tesouro</v>
          </cell>
          <cell r="E5315">
            <v>3805</v>
          </cell>
        </row>
        <row r="5316">
          <cell r="D5316" t="str">
            <v>Torixoréu</v>
          </cell>
          <cell r="E5316">
            <v>3609</v>
          </cell>
        </row>
        <row r="5317">
          <cell r="D5317" t="str">
            <v>União do Sul</v>
          </cell>
          <cell r="E5317">
            <v>3525</v>
          </cell>
        </row>
        <row r="5318">
          <cell r="D5318" t="str">
            <v>Vale de São Domingos</v>
          </cell>
          <cell r="E5318">
            <v>3127</v>
          </cell>
        </row>
        <row r="5319">
          <cell r="D5319" t="str">
            <v>Várzea Grande</v>
          </cell>
          <cell r="E5319">
            <v>284971</v>
          </cell>
        </row>
        <row r="5320">
          <cell r="D5320" t="str">
            <v>Vera</v>
          </cell>
          <cell r="E5320">
            <v>11309</v>
          </cell>
        </row>
        <row r="5321">
          <cell r="D5321" t="str">
            <v>Vila Rica</v>
          </cell>
          <cell r="E5321">
            <v>26037</v>
          </cell>
        </row>
        <row r="5322">
          <cell r="D5322" t="str">
            <v>Nova Guarita</v>
          </cell>
          <cell r="E5322">
            <v>4519</v>
          </cell>
        </row>
        <row r="5323">
          <cell r="D5323" t="str">
            <v>Nova Marilândia</v>
          </cell>
          <cell r="E5323">
            <v>3278</v>
          </cell>
        </row>
        <row r="5324">
          <cell r="D5324" t="str">
            <v>Nova Maringá</v>
          </cell>
          <cell r="E5324">
            <v>8641</v>
          </cell>
        </row>
        <row r="5325">
          <cell r="D5325" t="str">
            <v>Nova Monte Verde</v>
          </cell>
          <cell r="E5325">
            <v>9178</v>
          </cell>
        </row>
        <row r="5326">
          <cell r="D5326" t="str">
            <v>Abadia de Goiás</v>
          </cell>
          <cell r="E5326">
            <v>8773</v>
          </cell>
        </row>
        <row r="5327">
          <cell r="D5327" t="str">
            <v>Abadiânia</v>
          </cell>
          <cell r="E5327">
            <v>20042</v>
          </cell>
        </row>
        <row r="5328">
          <cell r="D5328" t="str">
            <v>Acreúna</v>
          </cell>
          <cell r="E5328">
            <v>22366</v>
          </cell>
        </row>
        <row r="5329">
          <cell r="D5329" t="str">
            <v>Adelândia</v>
          </cell>
          <cell r="E5329">
            <v>2516</v>
          </cell>
        </row>
        <row r="5330">
          <cell r="D5330" t="str">
            <v>Água Fria de Goiás</v>
          </cell>
          <cell r="E5330">
            <v>5735</v>
          </cell>
        </row>
        <row r="5331">
          <cell r="D5331" t="str">
            <v>Água Limpa</v>
          </cell>
          <cell r="E5331">
            <v>1850</v>
          </cell>
        </row>
        <row r="5332">
          <cell r="D5332" t="str">
            <v>Águas Lindas de Goiás</v>
          </cell>
          <cell r="E5332">
            <v>212440</v>
          </cell>
        </row>
        <row r="5333">
          <cell r="D5333" t="str">
            <v>Alexânia</v>
          </cell>
          <cell r="E5333">
            <v>27653</v>
          </cell>
        </row>
        <row r="5334">
          <cell r="D5334" t="str">
            <v>Aloândia</v>
          </cell>
          <cell r="E5334">
            <v>1995</v>
          </cell>
        </row>
        <row r="5335">
          <cell r="D5335" t="str">
            <v>Alto Horizonte</v>
          </cell>
          <cell r="E5335">
            <v>6414</v>
          </cell>
        </row>
        <row r="5336">
          <cell r="D5336" t="str">
            <v>Alto Paraíso de Goiás</v>
          </cell>
          <cell r="E5336">
            <v>7624</v>
          </cell>
        </row>
        <row r="5337">
          <cell r="D5337" t="str">
            <v>Alvorada do Norte</v>
          </cell>
          <cell r="E5337">
            <v>8660</v>
          </cell>
        </row>
        <row r="5338">
          <cell r="D5338" t="str">
            <v>Amaralina</v>
          </cell>
          <cell r="E5338">
            <v>3812</v>
          </cell>
        </row>
        <row r="5339">
          <cell r="D5339" t="str">
            <v>Americano do Brasil</v>
          </cell>
          <cell r="E5339">
            <v>6111</v>
          </cell>
        </row>
        <row r="5340">
          <cell r="D5340" t="str">
            <v>Amorinópolis</v>
          </cell>
          <cell r="E5340">
            <v>3126</v>
          </cell>
        </row>
        <row r="5341">
          <cell r="D5341" t="str">
            <v>Anápolis</v>
          </cell>
          <cell r="E5341">
            <v>386923</v>
          </cell>
        </row>
        <row r="5342">
          <cell r="D5342" t="str">
            <v>Anhanguera</v>
          </cell>
          <cell r="E5342">
            <v>1149</v>
          </cell>
        </row>
        <row r="5343">
          <cell r="D5343" t="str">
            <v>Anicuns</v>
          </cell>
          <cell r="E5343">
            <v>21850</v>
          </cell>
        </row>
        <row r="5344">
          <cell r="D5344" t="str">
            <v>Aparecida de Goiânia</v>
          </cell>
          <cell r="E5344">
            <v>578179</v>
          </cell>
        </row>
        <row r="5345">
          <cell r="D5345" t="str">
            <v>Aparecida do Rio Doce</v>
          </cell>
          <cell r="E5345">
            <v>2474</v>
          </cell>
        </row>
        <row r="5346">
          <cell r="D5346" t="str">
            <v>Aporé</v>
          </cell>
          <cell r="E5346">
            <v>4198</v>
          </cell>
        </row>
        <row r="5347">
          <cell r="D5347" t="str">
            <v>Araçu</v>
          </cell>
          <cell r="E5347">
            <v>3522</v>
          </cell>
        </row>
        <row r="5348">
          <cell r="D5348" t="str">
            <v>Aragarças</v>
          </cell>
          <cell r="E5348">
            <v>20118</v>
          </cell>
        </row>
        <row r="5349">
          <cell r="D5349" t="str">
            <v>Aragoiânia</v>
          </cell>
          <cell r="E5349">
            <v>10308</v>
          </cell>
        </row>
        <row r="5350">
          <cell r="D5350" t="str">
            <v>Araguapaz</v>
          </cell>
          <cell r="E5350">
            <v>7770</v>
          </cell>
        </row>
        <row r="5351">
          <cell r="D5351" t="str">
            <v>Arenópolis</v>
          </cell>
          <cell r="E5351">
            <v>2612</v>
          </cell>
        </row>
        <row r="5352">
          <cell r="D5352" t="str">
            <v>Aruanã</v>
          </cell>
          <cell r="E5352">
            <v>9875</v>
          </cell>
        </row>
        <row r="5353">
          <cell r="D5353" t="str">
            <v>Aurilândia</v>
          </cell>
          <cell r="E5353">
            <v>3120</v>
          </cell>
        </row>
        <row r="5354">
          <cell r="D5354" t="str">
            <v>Avelinópolis</v>
          </cell>
          <cell r="E5354">
            <v>2417</v>
          </cell>
        </row>
        <row r="5355">
          <cell r="D5355" t="str">
            <v>Baliza</v>
          </cell>
          <cell r="E5355">
            <v>5138</v>
          </cell>
        </row>
        <row r="5356">
          <cell r="D5356" t="str">
            <v>Barro Alto</v>
          </cell>
          <cell r="E5356">
            <v>11167</v>
          </cell>
        </row>
        <row r="5357">
          <cell r="D5357" t="str">
            <v>Bela Vista de Goiás</v>
          </cell>
          <cell r="E5357">
            <v>29975</v>
          </cell>
        </row>
        <row r="5358">
          <cell r="D5358" t="str">
            <v>Bom Jardim de Goiás</v>
          </cell>
          <cell r="E5358">
            <v>8841</v>
          </cell>
        </row>
        <row r="5359">
          <cell r="D5359" t="str">
            <v>Bom Jesus de Goiás</v>
          </cell>
          <cell r="E5359">
            <v>25216</v>
          </cell>
        </row>
        <row r="5360">
          <cell r="D5360" t="str">
            <v>Bonfinópolis</v>
          </cell>
          <cell r="E5360">
            <v>9706</v>
          </cell>
        </row>
        <row r="5361">
          <cell r="D5361" t="str">
            <v>Bonópolis</v>
          </cell>
          <cell r="E5361">
            <v>4405</v>
          </cell>
        </row>
        <row r="5362">
          <cell r="D5362" t="str">
            <v>Brazabrantes</v>
          </cell>
          <cell r="E5362">
            <v>3703</v>
          </cell>
        </row>
        <row r="5363">
          <cell r="D5363" t="str">
            <v>Britânia</v>
          </cell>
          <cell r="E5363">
            <v>5779</v>
          </cell>
        </row>
        <row r="5364">
          <cell r="D5364" t="str">
            <v>Buriti Alegre</v>
          </cell>
          <cell r="E5364">
            <v>9459</v>
          </cell>
        </row>
        <row r="5365">
          <cell r="D5365" t="str">
            <v>Buriti de Goiás</v>
          </cell>
          <cell r="E5365">
            <v>2488</v>
          </cell>
        </row>
        <row r="5366">
          <cell r="D5366" t="str">
            <v>Buritinópolis</v>
          </cell>
          <cell r="E5366">
            <v>3292</v>
          </cell>
        </row>
        <row r="5367">
          <cell r="D5367" t="str">
            <v>Cabeceiras</v>
          </cell>
          <cell r="E5367">
            <v>7993</v>
          </cell>
        </row>
        <row r="5368">
          <cell r="D5368" t="str">
            <v>Cachoeira Alta</v>
          </cell>
          <cell r="E5368">
            <v>12484</v>
          </cell>
        </row>
        <row r="5369">
          <cell r="D5369" t="str">
            <v>Cachoeira de Goiás</v>
          </cell>
          <cell r="E5369">
            <v>1351</v>
          </cell>
        </row>
        <row r="5370">
          <cell r="D5370" t="str">
            <v>Cachoeira Dourada</v>
          </cell>
          <cell r="E5370">
            <v>8067</v>
          </cell>
        </row>
        <row r="5371">
          <cell r="D5371" t="str">
            <v>Caçu</v>
          </cell>
          <cell r="E5371">
            <v>16009</v>
          </cell>
        </row>
        <row r="5372">
          <cell r="D5372" t="str">
            <v>Caiapônia</v>
          </cell>
          <cell r="E5372">
            <v>18913</v>
          </cell>
        </row>
        <row r="5373">
          <cell r="D5373" t="str">
            <v>Caldas Novas</v>
          </cell>
          <cell r="E5373">
            <v>91162</v>
          </cell>
        </row>
        <row r="5374">
          <cell r="D5374" t="str">
            <v>Caldazinha</v>
          </cell>
          <cell r="E5374">
            <v>3804</v>
          </cell>
        </row>
        <row r="5375">
          <cell r="D5375" t="str">
            <v>Campestre de Goiás</v>
          </cell>
          <cell r="E5375">
            <v>3630</v>
          </cell>
        </row>
        <row r="5376">
          <cell r="D5376" t="str">
            <v>Campinaçu</v>
          </cell>
          <cell r="E5376">
            <v>3640</v>
          </cell>
        </row>
        <row r="5377">
          <cell r="D5377" t="str">
            <v>Campinorte</v>
          </cell>
          <cell r="E5377">
            <v>12626</v>
          </cell>
        </row>
        <row r="5378">
          <cell r="D5378" t="str">
            <v>Campo Alegre de Goiás</v>
          </cell>
          <cell r="E5378">
            <v>7589</v>
          </cell>
        </row>
        <row r="5379">
          <cell r="D5379" t="str">
            <v>Campo Limpo de Goiás</v>
          </cell>
          <cell r="E5379">
            <v>7789</v>
          </cell>
        </row>
        <row r="5380">
          <cell r="D5380" t="str">
            <v>Campos Belos</v>
          </cell>
          <cell r="E5380">
            <v>19887</v>
          </cell>
        </row>
        <row r="5381">
          <cell r="D5381" t="str">
            <v>Campos Verdes</v>
          </cell>
          <cell r="E5381">
            <v>2141</v>
          </cell>
        </row>
        <row r="5382">
          <cell r="D5382" t="str">
            <v>Carmo do Rio Verde</v>
          </cell>
          <cell r="E5382">
            <v>10082</v>
          </cell>
        </row>
        <row r="5383">
          <cell r="D5383" t="str">
            <v>Castelândia</v>
          </cell>
          <cell r="E5383">
            <v>3435</v>
          </cell>
        </row>
        <row r="5384">
          <cell r="D5384" t="str">
            <v>Catalão</v>
          </cell>
          <cell r="E5384">
            <v>108823</v>
          </cell>
        </row>
        <row r="5385">
          <cell r="D5385" t="str">
            <v>Caturaí</v>
          </cell>
          <cell r="E5385">
            <v>5070</v>
          </cell>
        </row>
        <row r="5386">
          <cell r="D5386" t="str">
            <v>Cavalcante</v>
          </cell>
          <cell r="E5386">
            <v>9709</v>
          </cell>
        </row>
        <row r="5387">
          <cell r="D5387" t="str">
            <v>Ceres</v>
          </cell>
          <cell r="E5387">
            <v>22191</v>
          </cell>
        </row>
        <row r="5388">
          <cell r="D5388" t="str">
            <v>Cezarina</v>
          </cell>
          <cell r="E5388">
            <v>8606</v>
          </cell>
        </row>
        <row r="5389">
          <cell r="D5389" t="str">
            <v>Chapadão do Céu</v>
          </cell>
          <cell r="E5389">
            <v>10167</v>
          </cell>
        </row>
        <row r="5390">
          <cell r="D5390" t="str">
            <v>Cidade Ocidental</v>
          </cell>
          <cell r="E5390">
            <v>71376</v>
          </cell>
        </row>
        <row r="5391">
          <cell r="D5391" t="str">
            <v>Cocalzinho de Goiás</v>
          </cell>
          <cell r="E5391">
            <v>20240</v>
          </cell>
        </row>
        <row r="5392">
          <cell r="D5392" t="str">
            <v>Colinas do Sul</v>
          </cell>
          <cell r="E5392">
            <v>3382</v>
          </cell>
        </row>
        <row r="5393">
          <cell r="D5393" t="str">
            <v>Córrego do Ouro</v>
          </cell>
          <cell r="E5393">
            <v>2327</v>
          </cell>
        </row>
        <row r="5394">
          <cell r="D5394" t="str">
            <v>Corumbá de Goiás</v>
          </cell>
          <cell r="E5394">
            <v>11110</v>
          </cell>
        </row>
        <row r="5395">
          <cell r="D5395" t="str">
            <v>Corumbaíba</v>
          </cell>
          <cell r="E5395">
            <v>9723</v>
          </cell>
        </row>
        <row r="5396">
          <cell r="D5396" t="str">
            <v>Cristalina</v>
          </cell>
          <cell r="E5396">
            <v>58997</v>
          </cell>
        </row>
        <row r="5397">
          <cell r="D5397" t="str">
            <v>Cristianópolis</v>
          </cell>
          <cell r="E5397">
            <v>2966</v>
          </cell>
        </row>
        <row r="5398">
          <cell r="D5398" t="str">
            <v>Crixás</v>
          </cell>
          <cell r="E5398">
            <v>16949</v>
          </cell>
        </row>
        <row r="5399">
          <cell r="D5399" t="str">
            <v>Cromínia</v>
          </cell>
          <cell r="E5399">
            <v>3486</v>
          </cell>
        </row>
        <row r="5400">
          <cell r="D5400" t="str">
            <v>Cumari</v>
          </cell>
          <cell r="E5400">
            <v>2854</v>
          </cell>
        </row>
        <row r="5401">
          <cell r="D5401" t="str">
            <v>Damianópolis</v>
          </cell>
          <cell r="E5401">
            <v>3311</v>
          </cell>
        </row>
        <row r="5402">
          <cell r="D5402" t="str">
            <v>Damolândia</v>
          </cell>
          <cell r="E5402">
            <v>2938</v>
          </cell>
        </row>
        <row r="5403">
          <cell r="D5403" t="str">
            <v>Davinópolis</v>
          </cell>
          <cell r="E5403">
            <v>2094</v>
          </cell>
        </row>
        <row r="5404">
          <cell r="D5404" t="str">
            <v>Diorama</v>
          </cell>
          <cell r="E5404">
            <v>2484</v>
          </cell>
        </row>
        <row r="5405">
          <cell r="D5405" t="str">
            <v>Doverlândia</v>
          </cell>
          <cell r="E5405">
            <v>7322</v>
          </cell>
        </row>
        <row r="5406">
          <cell r="D5406" t="str">
            <v>Edealina</v>
          </cell>
          <cell r="E5406">
            <v>3699</v>
          </cell>
        </row>
        <row r="5407">
          <cell r="D5407" t="str">
            <v>Edéia</v>
          </cell>
          <cell r="E5407">
            <v>12372</v>
          </cell>
        </row>
        <row r="5408">
          <cell r="D5408" t="str">
            <v>Estrela do Norte</v>
          </cell>
          <cell r="E5408">
            <v>3275</v>
          </cell>
        </row>
        <row r="5409">
          <cell r="D5409" t="str">
            <v>Faina</v>
          </cell>
          <cell r="E5409">
            <v>6627</v>
          </cell>
        </row>
        <row r="5410">
          <cell r="D5410" t="str">
            <v>Fazenda Nova</v>
          </cell>
          <cell r="E5410">
            <v>5637</v>
          </cell>
        </row>
        <row r="5411">
          <cell r="D5411" t="str">
            <v>Firminópolis</v>
          </cell>
          <cell r="E5411">
            <v>13292</v>
          </cell>
        </row>
        <row r="5412">
          <cell r="D5412" t="str">
            <v>Flores de Goiás</v>
          </cell>
          <cell r="E5412">
            <v>16557</v>
          </cell>
        </row>
        <row r="5413">
          <cell r="D5413" t="str">
            <v>Formosa</v>
          </cell>
          <cell r="E5413">
            <v>121617</v>
          </cell>
        </row>
        <row r="5414">
          <cell r="D5414" t="str">
            <v>Formoso</v>
          </cell>
          <cell r="E5414">
            <v>4248</v>
          </cell>
        </row>
        <row r="5415">
          <cell r="D5415" t="str">
            <v>Gameleira de Goiás</v>
          </cell>
          <cell r="E5415">
            <v>3818</v>
          </cell>
        </row>
        <row r="5416">
          <cell r="D5416" t="str">
            <v>Divinópolis de Goiás</v>
          </cell>
          <cell r="E5416">
            <v>4804</v>
          </cell>
        </row>
        <row r="5417">
          <cell r="D5417" t="str">
            <v>Goianápolis</v>
          </cell>
          <cell r="E5417">
            <v>11231</v>
          </cell>
        </row>
        <row r="5418">
          <cell r="D5418" t="str">
            <v>Goiandira</v>
          </cell>
          <cell r="E5418">
            <v>5600</v>
          </cell>
        </row>
        <row r="5419">
          <cell r="D5419" t="str">
            <v>Goianésia</v>
          </cell>
          <cell r="E5419">
            <v>70084</v>
          </cell>
        </row>
        <row r="5420">
          <cell r="D5420" t="str">
            <v>Goiânia</v>
          </cell>
          <cell r="E5420">
            <v>1516113</v>
          </cell>
        </row>
        <row r="5421">
          <cell r="D5421" t="str">
            <v>Goianira</v>
          </cell>
          <cell r="E5421">
            <v>44289</v>
          </cell>
        </row>
        <row r="5422">
          <cell r="D5422" t="str">
            <v>Goiás</v>
          </cell>
          <cell r="E5422">
            <v>22645</v>
          </cell>
        </row>
        <row r="5423">
          <cell r="D5423" t="str">
            <v>Goiatuba</v>
          </cell>
          <cell r="E5423">
            <v>34095</v>
          </cell>
        </row>
        <row r="5424">
          <cell r="D5424" t="str">
            <v>Gouvelândia</v>
          </cell>
          <cell r="E5424">
            <v>5898</v>
          </cell>
        </row>
        <row r="5425">
          <cell r="D5425" t="str">
            <v>Guapó</v>
          </cell>
          <cell r="E5425">
            <v>14209</v>
          </cell>
        </row>
        <row r="5426">
          <cell r="D5426" t="str">
            <v>Guaraíta</v>
          </cell>
          <cell r="E5426">
            <v>1996</v>
          </cell>
        </row>
        <row r="5427">
          <cell r="D5427" t="str">
            <v>Guarani de Goiás</v>
          </cell>
          <cell r="E5427">
            <v>3893</v>
          </cell>
        </row>
        <row r="5428">
          <cell r="D5428" t="str">
            <v>Guarinos</v>
          </cell>
          <cell r="E5428">
            <v>1794</v>
          </cell>
        </row>
        <row r="5429">
          <cell r="D5429" t="str">
            <v>Heitoraí</v>
          </cell>
          <cell r="E5429">
            <v>3724</v>
          </cell>
        </row>
        <row r="5430">
          <cell r="D5430" t="str">
            <v>Hidrolândia</v>
          </cell>
          <cell r="E5430">
            <v>21706</v>
          </cell>
        </row>
        <row r="5431">
          <cell r="D5431" t="str">
            <v>Hidrolina</v>
          </cell>
          <cell r="E5431">
            <v>3564</v>
          </cell>
        </row>
        <row r="5432">
          <cell r="D5432" t="str">
            <v>Iaciara</v>
          </cell>
          <cell r="E5432">
            <v>13947</v>
          </cell>
        </row>
        <row r="5433">
          <cell r="D5433" t="str">
            <v>Inaciolândia</v>
          </cell>
          <cell r="E5433">
            <v>6194</v>
          </cell>
        </row>
        <row r="5434">
          <cell r="D5434" t="str">
            <v>Indiara</v>
          </cell>
          <cell r="E5434">
            <v>15611</v>
          </cell>
        </row>
        <row r="5435">
          <cell r="D5435" t="str">
            <v>Inhumas</v>
          </cell>
          <cell r="E5435">
            <v>52866</v>
          </cell>
        </row>
        <row r="5436">
          <cell r="D5436" t="str">
            <v>Ipameri</v>
          </cell>
          <cell r="E5436">
            <v>26985</v>
          </cell>
        </row>
        <row r="5437">
          <cell r="D5437" t="str">
            <v>Ipiranga de Goiás</v>
          </cell>
          <cell r="E5437">
            <v>2893</v>
          </cell>
        </row>
        <row r="5438">
          <cell r="D5438" t="str">
            <v>Iporá</v>
          </cell>
          <cell r="E5438">
            <v>31531</v>
          </cell>
        </row>
        <row r="5439">
          <cell r="D5439" t="str">
            <v>Israelândia</v>
          </cell>
          <cell r="E5439">
            <v>2800</v>
          </cell>
        </row>
        <row r="5440">
          <cell r="D5440" t="str">
            <v>Itaberaí</v>
          </cell>
          <cell r="E5440">
            <v>42900</v>
          </cell>
        </row>
        <row r="5441">
          <cell r="D5441" t="str">
            <v>Itaguari</v>
          </cell>
          <cell r="E5441">
            <v>4676</v>
          </cell>
        </row>
        <row r="5442">
          <cell r="D5442" t="str">
            <v>Itaguaru</v>
          </cell>
          <cell r="E5442">
            <v>5237</v>
          </cell>
        </row>
        <row r="5443">
          <cell r="D5443" t="str">
            <v>Itajá</v>
          </cell>
          <cell r="E5443">
            <v>4539</v>
          </cell>
        </row>
        <row r="5444">
          <cell r="D5444" t="str">
            <v>Itapaci</v>
          </cell>
          <cell r="E5444">
            <v>22981</v>
          </cell>
        </row>
        <row r="5445">
          <cell r="D5445" t="str">
            <v>Itapirapuã</v>
          </cell>
          <cell r="E5445">
            <v>4997</v>
          </cell>
        </row>
        <row r="5446">
          <cell r="D5446" t="str">
            <v>Itapuranga</v>
          </cell>
          <cell r="E5446">
            <v>25768</v>
          </cell>
        </row>
        <row r="5447">
          <cell r="D5447" t="str">
            <v>Itarumã</v>
          </cell>
          <cell r="E5447">
            <v>7178</v>
          </cell>
        </row>
        <row r="5448">
          <cell r="D5448" t="str">
            <v>Itauçu</v>
          </cell>
          <cell r="E5448">
            <v>8938</v>
          </cell>
        </row>
        <row r="5449">
          <cell r="D5449" t="str">
            <v>Itumbiara</v>
          </cell>
          <cell r="E5449">
            <v>104742</v>
          </cell>
        </row>
        <row r="5450">
          <cell r="D5450" t="str">
            <v>Ivolândia</v>
          </cell>
          <cell r="E5450">
            <v>2370</v>
          </cell>
        </row>
        <row r="5451">
          <cell r="D5451" t="str">
            <v>Jandaia</v>
          </cell>
          <cell r="E5451">
            <v>6048</v>
          </cell>
        </row>
        <row r="5452">
          <cell r="D5452" t="str">
            <v>Jaraguá</v>
          </cell>
          <cell r="E5452">
            <v>50511</v>
          </cell>
        </row>
        <row r="5453">
          <cell r="D5453" t="str">
            <v>Jataí</v>
          </cell>
          <cell r="E5453">
            <v>100882</v>
          </cell>
        </row>
        <row r="5454">
          <cell r="D5454" t="str">
            <v>Jaupaci</v>
          </cell>
          <cell r="E5454">
            <v>2879</v>
          </cell>
        </row>
        <row r="5455">
          <cell r="D5455" t="str">
            <v>Jesúpolis</v>
          </cell>
          <cell r="E5455">
            <v>2490</v>
          </cell>
        </row>
        <row r="5456">
          <cell r="D5456" t="str">
            <v>Joviânia</v>
          </cell>
          <cell r="E5456">
            <v>7387</v>
          </cell>
        </row>
        <row r="5457">
          <cell r="D5457" t="str">
            <v>Jussara</v>
          </cell>
          <cell r="E5457">
            <v>18478</v>
          </cell>
        </row>
        <row r="5458">
          <cell r="D5458" t="str">
            <v>Lagoa Santa</v>
          </cell>
          <cell r="E5458">
            <v>1588</v>
          </cell>
        </row>
        <row r="5459">
          <cell r="D5459" t="str">
            <v>Leopoldo de Bulhões</v>
          </cell>
          <cell r="E5459">
            <v>7647</v>
          </cell>
        </row>
        <row r="5460">
          <cell r="D5460" t="str">
            <v>Luziânia</v>
          </cell>
          <cell r="E5460">
            <v>208299</v>
          </cell>
        </row>
        <row r="5461">
          <cell r="D5461" t="str">
            <v>Mairipotaba</v>
          </cell>
          <cell r="E5461">
            <v>2368</v>
          </cell>
        </row>
        <row r="5462">
          <cell r="D5462" t="str">
            <v>Mambaí</v>
          </cell>
          <cell r="E5462">
            <v>8882</v>
          </cell>
        </row>
        <row r="5463">
          <cell r="D5463" t="str">
            <v>Mara Rosa</v>
          </cell>
          <cell r="E5463">
            <v>9503</v>
          </cell>
        </row>
        <row r="5464">
          <cell r="D5464" t="str">
            <v>Marzagão</v>
          </cell>
          <cell r="E5464">
            <v>2236</v>
          </cell>
        </row>
        <row r="5465">
          <cell r="D5465" t="str">
            <v>Matrinchã</v>
          </cell>
          <cell r="E5465">
            <v>4351</v>
          </cell>
        </row>
        <row r="5466">
          <cell r="D5466" t="str">
            <v>Maurilândia</v>
          </cell>
          <cell r="E5466">
            <v>14080</v>
          </cell>
        </row>
        <row r="5467">
          <cell r="D5467" t="str">
            <v>Mimoso de Goiás</v>
          </cell>
          <cell r="E5467">
            <v>2597</v>
          </cell>
        </row>
        <row r="5468">
          <cell r="D5468" t="str">
            <v>Minaçu</v>
          </cell>
          <cell r="E5468">
            <v>29070</v>
          </cell>
        </row>
        <row r="5469">
          <cell r="D5469" t="str">
            <v>Mineiros</v>
          </cell>
          <cell r="E5469">
            <v>66801</v>
          </cell>
        </row>
        <row r="5470">
          <cell r="D5470" t="str">
            <v>Moiporá</v>
          </cell>
          <cell r="E5470">
            <v>1529</v>
          </cell>
        </row>
        <row r="5471">
          <cell r="D5471" t="str">
            <v>Monte Alegre de Goiás</v>
          </cell>
          <cell r="E5471">
            <v>8606</v>
          </cell>
        </row>
        <row r="5472">
          <cell r="D5472" t="str">
            <v>Montes Claros de Goiás</v>
          </cell>
          <cell r="E5472">
            <v>8055</v>
          </cell>
        </row>
        <row r="5473">
          <cell r="D5473" t="str">
            <v>Montividiu</v>
          </cell>
          <cell r="E5473">
            <v>13396</v>
          </cell>
        </row>
        <row r="5474">
          <cell r="D5474" t="str">
            <v>Montividiu do Norte</v>
          </cell>
          <cell r="E5474">
            <v>4479</v>
          </cell>
        </row>
        <row r="5475">
          <cell r="D5475" t="str">
            <v>Morrinhos</v>
          </cell>
          <cell r="E5475">
            <v>46136</v>
          </cell>
        </row>
        <row r="5476">
          <cell r="D5476" t="str">
            <v>Morro Agudo de Goiás</v>
          </cell>
          <cell r="E5476">
            <v>2248</v>
          </cell>
        </row>
        <row r="5477">
          <cell r="D5477" t="str">
            <v>Mossâmedes</v>
          </cell>
          <cell r="E5477">
            <v>4290</v>
          </cell>
        </row>
        <row r="5478">
          <cell r="D5478" t="str">
            <v>Mozarlândia</v>
          </cell>
          <cell r="E5478">
            <v>15659</v>
          </cell>
        </row>
        <row r="5479">
          <cell r="D5479" t="str">
            <v>Mundo Novo</v>
          </cell>
          <cell r="E5479">
            <v>4887</v>
          </cell>
        </row>
        <row r="5480">
          <cell r="D5480" t="str">
            <v>Mutunópolis</v>
          </cell>
          <cell r="E5480">
            <v>3778</v>
          </cell>
        </row>
        <row r="5481">
          <cell r="D5481" t="str">
            <v>Nazário</v>
          </cell>
          <cell r="E5481">
            <v>9142</v>
          </cell>
        </row>
        <row r="5482">
          <cell r="D5482" t="str">
            <v>Nerópolis</v>
          </cell>
          <cell r="E5482">
            <v>29850</v>
          </cell>
        </row>
        <row r="5483">
          <cell r="D5483" t="str">
            <v>Niquelândia</v>
          </cell>
          <cell r="E5483">
            <v>46388</v>
          </cell>
        </row>
        <row r="5484">
          <cell r="D5484" t="str">
            <v>Nova América</v>
          </cell>
          <cell r="E5484">
            <v>2352</v>
          </cell>
        </row>
        <row r="5485">
          <cell r="D5485" t="str">
            <v>Nova Aurora</v>
          </cell>
          <cell r="E5485">
            <v>2210</v>
          </cell>
        </row>
        <row r="5486">
          <cell r="D5486" t="str">
            <v>Nova Crixás</v>
          </cell>
          <cell r="E5486">
            <v>12869</v>
          </cell>
        </row>
        <row r="5487">
          <cell r="D5487" t="str">
            <v>Nova Glória</v>
          </cell>
          <cell r="E5487">
            <v>8164</v>
          </cell>
        </row>
        <row r="5488">
          <cell r="D5488" t="str">
            <v>Nova Iguaçu de Goiás</v>
          </cell>
          <cell r="E5488">
            <v>2929</v>
          </cell>
        </row>
        <row r="5489">
          <cell r="D5489" t="str">
            <v>Nova Roma</v>
          </cell>
          <cell r="E5489">
            <v>3264</v>
          </cell>
        </row>
        <row r="5490">
          <cell r="D5490" t="str">
            <v>Nova Veneza</v>
          </cell>
          <cell r="E5490">
            <v>9853</v>
          </cell>
        </row>
        <row r="5491">
          <cell r="D5491" t="str">
            <v>Novo Brasil</v>
          </cell>
          <cell r="E5491">
            <v>2913</v>
          </cell>
        </row>
        <row r="5492">
          <cell r="D5492" t="str">
            <v>Novo Gama</v>
          </cell>
          <cell r="E5492">
            <v>115711</v>
          </cell>
        </row>
        <row r="5493">
          <cell r="D5493" t="str">
            <v>Novo Planalto</v>
          </cell>
          <cell r="E5493">
            <v>4495</v>
          </cell>
        </row>
        <row r="5494">
          <cell r="D5494" t="str">
            <v>Orizona</v>
          </cell>
          <cell r="E5494">
            <v>15615</v>
          </cell>
        </row>
        <row r="5495">
          <cell r="D5495" t="str">
            <v>Ouro Verde de Goiás</v>
          </cell>
          <cell r="E5495">
            <v>3759</v>
          </cell>
        </row>
        <row r="5496">
          <cell r="D5496" t="str">
            <v>Ouvidor</v>
          </cell>
          <cell r="E5496">
            <v>6667</v>
          </cell>
        </row>
        <row r="5497">
          <cell r="D5497" t="str">
            <v>Padre Bernardo</v>
          </cell>
          <cell r="E5497">
            <v>33835</v>
          </cell>
        </row>
        <row r="5498">
          <cell r="D5498" t="str">
            <v>Palestina de Goiás</v>
          </cell>
          <cell r="E5498">
            <v>3464</v>
          </cell>
        </row>
        <row r="5499">
          <cell r="D5499" t="str">
            <v>Palmeiras de Goiás</v>
          </cell>
          <cell r="E5499">
            <v>28858</v>
          </cell>
        </row>
        <row r="5500">
          <cell r="D5500" t="str">
            <v>Palmelo</v>
          </cell>
          <cell r="E5500">
            <v>2381</v>
          </cell>
        </row>
        <row r="5501">
          <cell r="D5501" t="str">
            <v>Palminópolis</v>
          </cell>
          <cell r="E5501">
            <v>3585</v>
          </cell>
        </row>
        <row r="5502">
          <cell r="D5502" t="str">
            <v>Panamá</v>
          </cell>
          <cell r="E5502">
            <v>2615</v>
          </cell>
        </row>
        <row r="5503">
          <cell r="D5503" t="str">
            <v>Paranaiguara</v>
          </cell>
          <cell r="E5503">
            <v>10057</v>
          </cell>
        </row>
        <row r="5504">
          <cell r="D5504" t="str">
            <v>Paraúna</v>
          </cell>
          <cell r="E5504">
            <v>10988</v>
          </cell>
        </row>
        <row r="5505">
          <cell r="D5505" t="str">
            <v>Perolândia</v>
          </cell>
          <cell r="E5505">
            <v>3129</v>
          </cell>
        </row>
        <row r="5506">
          <cell r="D5506" t="str">
            <v>Petrolina de Goiás</v>
          </cell>
          <cell r="E5506">
            <v>10281</v>
          </cell>
        </row>
        <row r="5507">
          <cell r="D5507" t="str">
            <v>Pilar de Goiás</v>
          </cell>
          <cell r="E5507">
            <v>2253</v>
          </cell>
        </row>
        <row r="5508">
          <cell r="D5508" t="str">
            <v>Piracanjuba</v>
          </cell>
          <cell r="E5508">
            <v>24524</v>
          </cell>
        </row>
        <row r="5509">
          <cell r="D5509" t="str">
            <v>Piranhas</v>
          </cell>
          <cell r="E5509">
            <v>10385</v>
          </cell>
        </row>
        <row r="5510">
          <cell r="D5510" t="str">
            <v>Pirenópolis</v>
          </cell>
          <cell r="E5510">
            <v>24908</v>
          </cell>
        </row>
        <row r="5511">
          <cell r="D5511" t="str">
            <v>Pires do Rio</v>
          </cell>
          <cell r="E5511">
            <v>31458</v>
          </cell>
        </row>
        <row r="5512">
          <cell r="D5512" t="str">
            <v>Planaltina</v>
          </cell>
          <cell r="E5512">
            <v>89918</v>
          </cell>
        </row>
        <row r="5513">
          <cell r="D5513" t="str">
            <v>Pontalina</v>
          </cell>
          <cell r="E5513">
            <v>17819</v>
          </cell>
        </row>
        <row r="5514">
          <cell r="D5514" t="str">
            <v>Porangatu</v>
          </cell>
          <cell r="E5514">
            <v>45394</v>
          </cell>
        </row>
        <row r="5515">
          <cell r="D5515" t="str">
            <v>Porteirão</v>
          </cell>
          <cell r="E5515">
            <v>3881</v>
          </cell>
        </row>
        <row r="5516">
          <cell r="D5516" t="str">
            <v>Portelândia</v>
          </cell>
          <cell r="E5516">
            <v>4011</v>
          </cell>
        </row>
        <row r="5517">
          <cell r="D5517" t="str">
            <v>Posse</v>
          </cell>
          <cell r="E5517">
            <v>36900</v>
          </cell>
        </row>
        <row r="5518">
          <cell r="D5518" t="str">
            <v>Professor Jamil</v>
          </cell>
          <cell r="E5518">
            <v>3223</v>
          </cell>
        </row>
        <row r="5519">
          <cell r="D5519" t="str">
            <v>Quirinópolis</v>
          </cell>
          <cell r="E5519">
            <v>50065</v>
          </cell>
        </row>
        <row r="5520">
          <cell r="D5520" t="str">
            <v>Rialma</v>
          </cell>
          <cell r="E5520">
            <v>10918</v>
          </cell>
        </row>
        <row r="5521">
          <cell r="D5521" t="str">
            <v>Rianápolis</v>
          </cell>
          <cell r="E5521">
            <v>4801</v>
          </cell>
        </row>
        <row r="5522">
          <cell r="D5522" t="str">
            <v>Rio Quente</v>
          </cell>
          <cell r="E5522">
            <v>4493</v>
          </cell>
        </row>
        <row r="5523">
          <cell r="D5523" t="str">
            <v>Rio Verde</v>
          </cell>
          <cell r="E5523">
            <v>235647</v>
          </cell>
        </row>
        <row r="5524">
          <cell r="D5524" t="str">
            <v>Rubiataba</v>
          </cell>
          <cell r="E5524">
            <v>19882</v>
          </cell>
        </row>
        <row r="5525">
          <cell r="D5525" t="str">
            <v>Sanclerlândia</v>
          </cell>
          <cell r="E5525">
            <v>7637</v>
          </cell>
        </row>
        <row r="5526">
          <cell r="D5526" t="str">
            <v>Santa Bárbara de Goiás</v>
          </cell>
          <cell r="E5526">
            <v>6560</v>
          </cell>
        </row>
        <row r="5527">
          <cell r="D5527" t="str">
            <v>Santa Cruz de Goiás</v>
          </cell>
          <cell r="E5527">
            <v>2855</v>
          </cell>
        </row>
        <row r="5528">
          <cell r="D5528" t="str">
            <v>Santa Fé de Goiás</v>
          </cell>
          <cell r="E5528">
            <v>5459</v>
          </cell>
        </row>
        <row r="5529">
          <cell r="D5529" t="str">
            <v>Santa Helena de Goiás</v>
          </cell>
          <cell r="E5529">
            <v>38648</v>
          </cell>
        </row>
        <row r="5530">
          <cell r="D5530" t="str">
            <v>Santa Isabel</v>
          </cell>
          <cell r="E5530">
            <v>3809</v>
          </cell>
        </row>
        <row r="5531">
          <cell r="D5531" t="str">
            <v>Santa Rita do Araguaia</v>
          </cell>
          <cell r="E5531">
            <v>8756</v>
          </cell>
        </row>
        <row r="5532">
          <cell r="D5532" t="str">
            <v>Santa Rita do Novo Destino</v>
          </cell>
          <cell r="E5532">
            <v>3343</v>
          </cell>
        </row>
        <row r="5533">
          <cell r="D5533" t="str">
            <v>Santa Rosa de Goiás</v>
          </cell>
          <cell r="E5533">
            <v>2319</v>
          </cell>
        </row>
        <row r="5534">
          <cell r="D5534" t="str">
            <v>Santa Tereza de Goiás</v>
          </cell>
          <cell r="E5534">
            <v>3355</v>
          </cell>
        </row>
        <row r="5535">
          <cell r="D5535" t="str">
            <v>Santa Terezinha de Goiás</v>
          </cell>
          <cell r="E5535">
            <v>8744</v>
          </cell>
        </row>
        <row r="5536">
          <cell r="D5536" t="str">
            <v>Santo Antônio da Barra</v>
          </cell>
          <cell r="E5536">
            <v>4821</v>
          </cell>
        </row>
        <row r="5537">
          <cell r="D5537" t="str">
            <v>Santo Antônio de Goiás</v>
          </cell>
          <cell r="E5537">
            <v>6283</v>
          </cell>
        </row>
        <row r="5538">
          <cell r="D5538" t="str">
            <v>Santo Antônio do Descoberto</v>
          </cell>
          <cell r="E5538">
            <v>74744</v>
          </cell>
        </row>
        <row r="5539">
          <cell r="D5539" t="str">
            <v>São Domingos</v>
          </cell>
          <cell r="E5539">
            <v>12949</v>
          </cell>
        </row>
        <row r="5540">
          <cell r="D5540" t="str">
            <v>São Francisco de Goiás</v>
          </cell>
          <cell r="E5540">
            <v>6264</v>
          </cell>
        </row>
        <row r="5541">
          <cell r="D5541" t="str">
            <v>São João d'Aliança</v>
          </cell>
          <cell r="E5541">
            <v>13740</v>
          </cell>
        </row>
        <row r="5542">
          <cell r="D5542" t="str">
            <v>São João da Paraúna</v>
          </cell>
          <cell r="E5542">
            <v>1381</v>
          </cell>
        </row>
        <row r="5543">
          <cell r="D5543" t="str">
            <v>São Luís de Montes Belos</v>
          </cell>
          <cell r="E5543">
            <v>33817</v>
          </cell>
        </row>
        <row r="5544">
          <cell r="D5544" t="str">
            <v>São Luiz do Norte</v>
          </cell>
          <cell r="E5544">
            <v>5167</v>
          </cell>
        </row>
        <row r="5545">
          <cell r="D5545" t="str">
            <v>São Miguel do Araguaia</v>
          </cell>
          <cell r="E5545">
            <v>21993</v>
          </cell>
        </row>
        <row r="5546">
          <cell r="D5546" t="str">
            <v>São Miguel do Passa Quatro</v>
          </cell>
          <cell r="E5546">
            <v>4057</v>
          </cell>
        </row>
        <row r="5547">
          <cell r="D5547" t="str">
            <v>São Patrício</v>
          </cell>
          <cell r="E5547">
            <v>2036</v>
          </cell>
        </row>
        <row r="5548">
          <cell r="D5548" t="str">
            <v>São Simão</v>
          </cell>
          <cell r="E5548">
            <v>20645</v>
          </cell>
        </row>
        <row r="5549">
          <cell r="D5549" t="str">
            <v>Senador Canedo</v>
          </cell>
          <cell r="E5549">
            <v>115371</v>
          </cell>
        </row>
        <row r="5550">
          <cell r="D5550" t="str">
            <v>Serranópolis</v>
          </cell>
          <cell r="E5550">
            <v>8544</v>
          </cell>
        </row>
        <row r="5551">
          <cell r="D5551" t="str">
            <v>Silvânia</v>
          </cell>
          <cell r="E5551">
            <v>20695</v>
          </cell>
        </row>
        <row r="5552">
          <cell r="D5552" t="str">
            <v>Simolândia</v>
          </cell>
          <cell r="E5552">
            <v>6856</v>
          </cell>
        </row>
        <row r="5553">
          <cell r="D5553" t="str">
            <v>Sítio d'Abadia</v>
          </cell>
          <cell r="E5553">
            <v>2989</v>
          </cell>
        </row>
        <row r="5554">
          <cell r="D5554" t="str">
            <v>Taquaral de Goiás</v>
          </cell>
          <cell r="E5554">
            <v>3529</v>
          </cell>
        </row>
        <row r="5555">
          <cell r="D5555" t="str">
            <v>Teresina de Goiás</v>
          </cell>
          <cell r="E5555">
            <v>3458</v>
          </cell>
        </row>
        <row r="5556">
          <cell r="D5556" t="str">
            <v>Terezópolis de Goiás</v>
          </cell>
          <cell r="E5556">
            <v>8043</v>
          </cell>
        </row>
        <row r="5557">
          <cell r="D5557" t="str">
            <v>Três Ranchos</v>
          </cell>
          <cell r="E5557">
            <v>2833</v>
          </cell>
        </row>
        <row r="5558">
          <cell r="D5558" t="str">
            <v>Trindade</v>
          </cell>
          <cell r="E5558">
            <v>127599</v>
          </cell>
        </row>
        <row r="5559">
          <cell r="D5559" t="str">
            <v>Trombas</v>
          </cell>
          <cell r="E5559">
            <v>3500</v>
          </cell>
        </row>
        <row r="5560">
          <cell r="D5560" t="str">
            <v>Turvânia</v>
          </cell>
          <cell r="E5560">
            <v>4598</v>
          </cell>
        </row>
        <row r="5561">
          <cell r="D5561" t="str">
            <v>Turvelândia</v>
          </cell>
          <cell r="E5561">
            <v>5281</v>
          </cell>
        </row>
        <row r="5562">
          <cell r="D5562" t="str">
            <v>Uirapuru</v>
          </cell>
          <cell r="E5562">
            <v>2854</v>
          </cell>
        </row>
        <row r="5563">
          <cell r="D5563" t="str">
            <v>Uruaçu</v>
          </cell>
          <cell r="E5563">
            <v>40532</v>
          </cell>
        </row>
        <row r="5564">
          <cell r="D5564" t="str">
            <v>Uruana</v>
          </cell>
          <cell r="E5564">
            <v>13843</v>
          </cell>
        </row>
        <row r="5565">
          <cell r="D5565" t="str">
            <v>Urutaí</v>
          </cell>
          <cell r="E5565">
            <v>3072</v>
          </cell>
        </row>
        <row r="5566">
          <cell r="D5566" t="str">
            <v>Valparaíso de Goiás</v>
          </cell>
          <cell r="E5566">
            <v>168468</v>
          </cell>
        </row>
        <row r="5567">
          <cell r="D5567" t="str">
            <v>Varjão</v>
          </cell>
          <cell r="E5567">
            <v>3827</v>
          </cell>
        </row>
        <row r="5568">
          <cell r="D5568" t="str">
            <v>Vianópolis</v>
          </cell>
          <cell r="E5568">
            <v>13863</v>
          </cell>
        </row>
        <row r="5569">
          <cell r="D5569" t="str">
            <v>Vicentinópolis</v>
          </cell>
          <cell r="E5569">
            <v>8743</v>
          </cell>
        </row>
        <row r="5570">
          <cell r="D5570" t="str">
            <v>Vila Boa</v>
          </cell>
          <cell r="E5570">
            <v>6171</v>
          </cell>
        </row>
        <row r="5571">
          <cell r="D5571" t="str">
            <v>Vila Propício</v>
          </cell>
          <cell r="E5571">
            <v>5821</v>
          </cell>
        </row>
        <row r="5572">
          <cell r="D5572" t="str">
            <v>Brasília</v>
          </cell>
          <cell r="E5572">
            <v>3015268</v>
          </cell>
        </row>
        <row r="5573">
          <cell r="D5573"/>
          <cell r="E5573"/>
        </row>
      </sheetData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Andreza Gomes Aguilar" id="{48F0E9F6-7697-4179-B539-CA862F067828}" userId="S::andreza@pontte.onmicrosoft.com::39a7e44c-a6a5-46c5-b42b-c87ac587f28a" providerId="AD"/>
</personList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24" dT="2021-05-18T14:52:05.17" personId="{48F0E9F6-7697-4179-B539-CA862F067828}" id="{A81F7E9F-C001-4847-8174-2F54EF000BDA}">
    <text>LTV máximo:
Imóveis residenciais: 80%
Imóveis comerciais: 70%</text>
  </threadedComment>
  <threadedComment ref="C32" dT="2021-11-04T16:52:40.06" personId="{48F0E9F6-7697-4179-B539-CA862F067828}" id="{338C51C9-F6ED-4530-B1E8-008D46506BBA}">
    <text>33% participação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16" dT="2021-11-08T18:50:58.08" personId="{48F0E9F6-7697-4179-B539-CA862F067828}" id="{5EAAB6B3-FC08-4CF8-ABD0-C127DF152F45}">
    <text>TED-Impostos Trib Taxas
756 4149 29480249000123 CASA PLENO IMO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M4" dT="2021-11-04T14:39:59.50" personId="{48F0E9F6-7697-4179-B539-CA862F067828}" id="{038556C5-11DA-4C0C-B64F-F132CA3780CD}">
    <text>CCV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app.pipefy.com/open-cards/456804238" TargetMode="Externa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Relationship Id="rId4" Type="http://schemas.microsoft.com/office/2017/10/relationships/threadedComment" Target="../threadedComments/threadedComment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3.vml"/><Relationship Id="rId3" Type="http://schemas.openxmlformats.org/officeDocument/2006/relationships/hyperlink" Target="https://www.vivareal.com.br/imovel/cobertura-2-quartos-castelo-bairros-belo-horizonte-com-garagem-112m2-venda-RS400000-id-2551884302/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https://www.vivareal.com.br/imovel/apartamento-2-quartos-santa-terezinha-bairros-belo-horizonte-com-garagem-130m2-venda-RS390000-id-2537034220/" TargetMode="External"/><Relationship Id="rId1" Type="http://schemas.openxmlformats.org/officeDocument/2006/relationships/hyperlink" Target="https://www.vivareal.com.br/imovel/apartamento-2-quartos-santa-terezinha-bairros-belo-horizonte-com-garagem-110m2-venda-RS380000-id-2522934898/" TargetMode="External"/><Relationship Id="rId6" Type="http://schemas.openxmlformats.org/officeDocument/2006/relationships/printerSettings" Target="../printerSettings/printerSettings7.bin"/><Relationship Id="rId5" Type="http://schemas.openxmlformats.org/officeDocument/2006/relationships/hyperlink" Target="https://www.vivareal.com.br/imovel/cobertura-2-quartos-santa-terezinha-bairros-belo-horizonte-com-garagem-144m2-venda-RS600000-id-2510796326/" TargetMode="External"/><Relationship Id="rId10" Type="http://schemas.microsoft.com/office/2017/10/relationships/threadedComment" Target="../threadedComments/threadedComment3.xml"/><Relationship Id="rId4" Type="http://schemas.openxmlformats.org/officeDocument/2006/relationships/hyperlink" Target="https://www.vivareal.com.br/imovel/cobertura-2-quartos-santa-terezinha-bairros-belo-horizonte-com-garagem-120m2-venda-RS520000-id-2549379452/" TargetMode="External"/><Relationship Id="rId9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A4AFF-9403-44BF-8092-8D74DA773368}">
  <sheetPr codeName="Planilha1"/>
  <dimension ref="A2:E34"/>
  <sheetViews>
    <sheetView workbookViewId="0">
      <selection activeCell="C36" sqref="C36"/>
    </sheetView>
  </sheetViews>
  <sheetFormatPr defaultColWidth="8.77734375" defaultRowHeight="14.4"/>
  <cols>
    <col min="1" max="1" width="11.77734375" bestFit="1" customWidth="1"/>
    <col min="2" max="2" width="12" bestFit="1" customWidth="1"/>
    <col min="3" max="3" width="9.44140625" bestFit="1" customWidth="1"/>
    <col min="4" max="5" width="10.44140625" bestFit="1" customWidth="1"/>
  </cols>
  <sheetData>
    <row r="2" spans="1:5">
      <c r="A2" t="s">
        <v>264</v>
      </c>
      <c r="B2" s="202">
        <v>500</v>
      </c>
    </row>
    <row r="3" spans="1:5">
      <c r="A3" t="s">
        <v>386</v>
      </c>
      <c r="B3">
        <v>10</v>
      </c>
    </row>
    <row r="4" spans="1:5">
      <c r="A4" t="s">
        <v>385</v>
      </c>
      <c r="B4" s="24">
        <v>0.12</v>
      </c>
    </row>
    <row r="6" spans="1:5">
      <c r="B6" t="s">
        <v>10</v>
      </c>
    </row>
    <row r="8" spans="1:5">
      <c r="B8" t="s">
        <v>76</v>
      </c>
      <c r="C8" t="s">
        <v>77</v>
      </c>
      <c r="D8" t="s">
        <v>387</v>
      </c>
      <c r="E8" t="s">
        <v>388</v>
      </c>
    </row>
    <row r="9" spans="1:5">
      <c r="A9">
        <v>0</v>
      </c>
      <c r="E9" s="203">
        <f>B2</f>
        <v>500</v>
      </c>
    </row>
    <row r="10" spans="1:5">
      <c r="A10">
        <f>A9+1</f>
        <v>1</v>
      </c>
      <c r="B10" s="203">
        <f>$B$2/$B$3</f>
        <v>50</v>
      </c>
      <c r="C10" s="203">
        <f>E9*$B$4</f>
        <v>60</v>
      </c>
      <c r="D10" s="203">
        <f>B10+C10</f>
        <v>110</v>
      </c>
      <c r="E10" s="203">
        <f>E9-B10</f>
        <v>450</v>
      </c>
    </row>
    <row r="11" spans="1:5">
      <c r="A11">
        <f t="shared" ref="A11:A19" si="0">A10+1</f>
        <v>2</v>
      </c>
      <c r="B11" s="203">
        <f t="shared" ref="B11:B19" si="1">$B$2/$B$3</f>
        <v>50</v>
      </c>
      <c r="C11" s="203">
        <f t="shared" ref="C11:C19" si="2">E10*$B$4</f>
        <v>54</v>
      </c>
      <c r="D11" s="203">
        <f t="shared" ref="D11:D19" si="3">B11+C11</f>
        <v>104</v>
      </c>
      <c r="E11" s="203">
        <f t="shared" ref="E11:E19" si="4">E10-B11</f>
        <v>400</v>
      </c>
    </row>
    <row r="12" spans="1:5">
      <c r="A12">
        <f t="shared" si="0"/>
        <v>3</v>
      </c>
      <c r="B12" s="203">
        <f t="shared" si="1"/>
        <v>50</v>
      </c>
      <c r="C12" s="203">
        <f t="shared" si="2"/>
        <v>48</v>
      </c>
      <c r="D12" s="203">
        <f t="shared" si="3"/>
        <v>98</v>
      </c>
      <c r="E12" s="203">
        <f t="shared" si="4"/>
        <v>350</v>
      </c>
    </row>
    <row r="13" spans="1:5">
      <c r="A13">
        <f t="shared" si="0"/>
        <v>4</v>
      </c>
      <c r="B13" s="203">
        <f t="shared" si="1"/>
        <v>50</v>
      </c>
      <c r="C13" s="203">
        <f t="shared" si="2"/>
        <v>42</v>
      </c>
      <c r="D13" s="203">
        <f t="shared" si="3"/>
        <v>92</v>
      </c>
      <c r="E13" s="203">
        <f t="shared" si="4"/>
        <v>300</v>
      </c>
    </row>
    <row r="14" spans="1:5">
      <c r="A14">
        <f t="shared" si="0"/>
        <v>5</v>
      </c>
      <c r="B14" s="203">
        <f t="shared" si="1"/>
        <v>50</v>
      </c>
      <c r="C14" s="203">
        <f t="shared" si="2"/>
        <v>36</v>
      </c>
      <c r="D14" s="203">
        <f t="shared" si="3"/>
        <v>86</v>
      </c>
      <c r="E14" s="203">
        <f t="shared" si="4"/>
        <v>250</v>
      </c>
    </row>
    <row r="15" spans="1:5">
      <c r="A15">
        <f t="shared" si="0"/>
        <v>6</v>
      </c>
      <c r="B15" s="203">
        <f t="shared" si="1"/>
        <v>50</v>
      </c>
      <c r="C15" s="203">
        <f t="shared" si="2"/>
        <v>30</v>
      </c>
      <c r="D15" s="203">
        <f t="shared" si="3"/>
        <v>80</v>
      </c>
      <c r="E15" s="203">
        <f t="shared" si="4"/>
        <v>200</v>
      </c>
    </row>
    <row r="16" spans="1:5">
      <c r="A16">
        <f t="shared" si="0"/>
        <v>7</v>
      </c>
      <c r="B16" s="203">
        <f t="shared" si="1"/>
        <v>50</v>
      </c>
      <c r="C16" s="203">
        <f t="shared" si="2"/>
        <v>24</v>
      </c>
      <c r="D16" s="203">
        <f t="shared" si="3"/>
        <v>74</v>
      </c>
      <c r="E16" s="203">
        <f t="shared" si="4"/>
        <v>150</v>
      </c>
    </row>
    <row r="17" spans="1:5">
      <c r="A17">
        <f t="shared" si="0"/>
        <v>8</v>
      </c>
      <c r="B17" s="203">
        <f t="shared" si="1"/>
        <v>50</v>
      </c>
      <c r="C17" s="203">
        <f t="shared" si="2"/>
        <v>18</v>
      </c>
      <c r="D17" s="203">
        <f t="shared" si="3"/>
        <v>68</v>
      </c>
      <c r="E17" s="203">
        <f t="shared" si="4"/>
        <v>100</v>
      </c>
    </row>
    <row r="18" spans="1:5">
      <c r="A18">
        <f t="shared" si="0"/>
        <v>9</v>
      </c>
      <c r="B18" s="203">
        <f t="shared" si="1"/>
        <v>50</v>
      </c>
      <c r="C18" s="203">
        <f t="shared" si="2"/>
        <v>12</v>
      </c>
      <c r="D18" s="203">
        <f t="shared" si="3"/>
        <v>62</v>
      </c>
      <c r="E18" s="203">
        <f t="shared" si="4"/>
        <v>50</v>
      </c>
    </row>
    <row r="19" spans="1:5">
      <c r="A19">
        <f t="shared" si="0"/>
        <v>10</v>
      </c>
      <c r="B19" s="203">
        <f t="shared" si="1"/>
        <v>50</v>
      </c>
      <c r="C19" s="203">
        <f t="shared" si="2"/>
        <v>6</v>
      </c>
      <c r="D19" s="203">
        <f t="shared" si="3"/>
        <v>56</v>
      </c>
      <c r="E19" s="203">
        <f t="shared" si="4"/>
        <v>0</v>
      </c>
    </row>
    <row r="20" spans="1:5">
      <c r="B20" s="203">
        <f>SUM(B10:B19)</f>
        <v>500</v>
      </c>
      <c r="C20" s="203">
        <f>SUM(C10:C19)</f>
        <v>330</v>
      </c>
    </row>
    <row r="22" spans="1:5">
      <c r="B22" t="s">
        <v>76</v>
      </c>
      <c r="C22" t="s">
        <v>77</v>
      </c>
      <c r="D22" t="s">
        <v>387</v>
      </c>
      <c r="E22" t="s">
        <v>388</v>
      </c>
    </row>
    <row r="23" spans="1:5">
      <c r="A23">
        <v>0</v>
      </c>
      <c r="E23" s="203">
        <f>B2</f>
        <v>500</v>
      </c>
    </row>
    <row r="24" spans="1:5">
      <c r="A24">
        <f>A23+1</f>
        <v>1</v>
      </c>
      <c r="B24" s="203">
        <f>D24-C24</f>
        <v>28.492082079922042</v>
      </c>
      <c r="C24" s="203">
        <f>E23*$B$4</f>
        <v>60</v>
      </c>
      <c r="D24" s="203">
        <f>PMT($B$4,$B$3,-$B$2,0)</f>
        <v>88.492082079922042</v>
      </c>
      <c r="E24" s="203">
        <f>E23-B24</f>
        <v>471.50791792007794</v>
      </c>
    </row>
    <row r="25" spans="1:5">
      <c r="A25">
        <f t="shared" ref="A25:A33" si="5">A24+1</f>
        <v>2</v>
      </c>
      <c r="B25" s="203">
        <f t="shared" ref="B25:B33" si="6">D25-C25</f>
        <v>31.911131929512692</v>
      </c>
      <c r="C25" s="203">
        <f t="shared" ref="C25:C33" si="7">E24*$B$4</f>
        <v>56.58095015040935</v>
      </c>
      <c r="D25" s="203">
        <f t="shared" ref="D25:D33" si="8">PMT($B$4,$B$3,-$B$2,0)</f>
        <v>88.492082079922042</v>
      </c>
      <c r="E25" s="203">
        <f t="shared" ref="E25:E33" si="9">E24-B25</f>
        <v>439.59678599056525</v>
      </c>
    </row>
    <row r="26" spans="1:5">
      <c r="A26">
        <f t="shared" si="5"/>
        <v>3</v>
      </c>
      <c r="B26" s="203">
        <f t="shared" si="6"/>
        <v>35.740467761054212</v>
      </c>
      <c r="C26" s="203">
        <f t="shared" si="7"/>
        <v>52.75161431886783</v>
      </c>
      <c r="D26" s="203">
        <f t="shared" si="8"/>
        <v>88.492082079922042</v>
      </c>
      <c r="E26" s="203">
        <f t="shared" si="9"/>
        <v>403.85631822951103</v>
      </c>
    </row>
    <row r="27" spans="1:5">
      <c r="A27">
        <f t="shared" si="5"/>
        <v>4</v>
      </c>
      <c r="B27" s="203">
        <f t="shared" si="6"/>
        <v>40.029323892380717</v>
      </c>
      <c r="C27" s="203">
        <f t="shared" si="7"/>
        <v>48.462758187541326</v>
      </c>
      <c r="D27" s="203">
        <f t="shared" si="8"/>
        <v>88.492082079922042</v>
      </c>
      <c r="E27" s="203">
        <f t="shared" si="9"/>
        <v>363.82699433713032</v>
      </c>
    </row>
    <row r="28" spans="1:5">
      <c r="A28">
        <f t="shared" si="5"/>
        <v>5</v>
      </c>
      <c r="B28" s="203">
        <f t="shared" si="6"/>
        <v>44.832842759466409</v>
      </c>
      <c r="C28" s="203">
        <f t="shared" si="7"/>
        <v>43.659239320455633</v>
      </c>
      <c r="D28" s="203">
        <f t="shared" si="8"/>
        <v>88.492082079922042</v>
      </c>
      <c r="E28" s="203">
        <f t="shared" si="9"/>
        <v>318.9941515776639</v>
      </c>
    </row>
    <row r="29" spans="1:5">
      <c r="A29">
        <f t="shared" si="5"/>
        <v>6</v>
      </c>
      <c r="B29" s="203">
        <f t="shared" si="6"/>
        <v>50.212783890602374</v>
      </c>
      <c r="C29" s="203">
        <f t="shared" si="7"/>
        <v>38.279298189319668</v>
      </c>
      <c r="D29" s="203">
        <f t="shared" si="8"/>
        <v>88.492082079922042</v>
      </c>
      <c r="E29" s="203">
        <f t="shared" si="9"/>
        <v>268.7813676870615</v>
      </c>
    </row>
    <row r="30" spans="1:5">
      <c r="A30">
        <f t="shared" si="5"/>
        <v>7</v>
      </c>
      <c r="B30" s="203">
        <f t="shared" si="6"/>
        <v>56.238317957474663</v>
      </c>
      <c r="C30" s="203">
        <f t="shared" si="7"/>
        <v>32.253764122447379</v>
      </c>
      <c r="D30" s="203">
        <f t="shared" si="8"/>
        <v>88.492082079922042</v>
      </c>
      <c r="E30" s="203">
        <f t="shared" si="9"/>
        <v>212.54304972958684</v>
      </c>
    </row>
    <row r="31" spans="1:5">
      <c r="A31">
        <f t="shared" si="5"/>
        <v>8</v>
      </c>
      <c r="B31" s="203">
        <f t="shared" si="6"/>
        <v>62.986916112371624</v>
      </c>
      <c r="C31" s="203">
        <f t="shared" si="7"/>
        <v>25.505165967550418</v>
      </c>
      <c r="D31" s="203">
        <f t="shared" si="8"/>
        <v>88.492082079922042</v>
      </c>
      <c r="E31" s="203">
        <f t="shared" si="9"/>
        <v>149.55613361721521</v>
      </c>
    </row>
    <row r="32" spans="1:5">
      <c r="A32">
        <f t="shared" si="5"/>
        <v>9</v>
      </c>
      <c r="B32" s="203">
        <f t="shared" si="6"/>
        <v>70.54534604585622</v>
      </c>
      <c r="C32" s="203">
        <f t="shared" si="7"/>
        <v>17.946736034065825</v>
      </c>
      <c r="D32" s="203">
        <f t="shared" si="8"/>
        <v>88.492082079922042</v>
      </c>
      <c r="E32" s="203">
        <f t="shared" si="9"/>
        <v>79.010787571358989</v>
      </c>
    </row>
    <row r="33" spans="1:5">
      <c r="A33">
        <f t="shared" si="5"/>
        <v>10</v>
      </c>
      <c r="B33" s="203">
        <f t="shared" si="6"/>
        <v>79.010787571358961</v>
      </c>
      <c r="C33" s="203">
        <f t="shared" si="7"/>
        <v>9.481294508563078</v>
      </c>
      <c r="D33" s="203">
        <f t="shared" si="8"/>
        <v>88.492082079922042</v>
      </c>
      <c r="E33" s="203">
        <f t="shared" si="9"/>
        <v>0</v>
      </c>
    </row>
    <row r="34" spans="1:5">
      <c r="B34" s="203">
        <f>SUM(B24:B33)</f>
        <v>499.99999999999989</v>
      </c>
      <c r="C34" s="203">
        <f>SUM(C24:C33)</f>
        <v>384.92082079922045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A3F34-D5CF-46D5-A538-DB814DFECA84}">
  <sheetPr codeName="Sheet9"/>
  <dimension ref="A1:X382"/>
  <sheetViews>
    <sheetView showGridLines="0" topLeftCell="B1" zoomScaleNormal="100" zoomScaleSheetLayoutView="85" workbookViewId="0">
      <selection activeCell="G14" sqref="G14"/>
    </sheetView>
  </sheetViews>
  <sheetFormatPr defaultColWidth="6.77734375" defaultRowHeight="14.4"/>
  <cols>
    <col min="1" max="1" width="9.21875" style="216" hidden="1" customWidth="1"/>
    <col min="2" max="2" width="4.44140625" style="216" customWidth="1"/>
    <col min="3" max="3" width="24.77734375" style="216" bestFit="1" customWidth="1"/>
    <col min="4" max="4" width="20" style="216" customWidth="1"/>
    <col min="5" max="5" width="14.44140625" style="216" bestFit="1" customWidth="1"/>
    <col min="6" max="6" width="14.44140625" style="216" customWidth="1"/>
    <col min="7" max="7" width="15.77734375" style="216" customWidth="1"/>
    <col min="8" max="8" width="14.44140625" style="135" bestFit="1" customWidth="1"/>
    <col min="9" max="9" width="13.44140625" style="135" customWidth="1"/>
    <col min="10" max="10" width="9" style="216" bestFit="1" customWidth="1"/>
    <col min="11" max="11" width="15.21875" style="216" bestFit="1" customWidth="1"/>
    <col min="12" max="12" width="10.44140625" style="39" bestFit="1" customWidth="1"/>
    <col min="13" max="13" width="12" style="153" bestFit="1" customWidth="1"/>
    <col min="14" max="14" width="15.77734375" style="216" bestFit="1" customWidth="1"/>
    <col min="15" max="15" width="15" style="216" bestFit="1" customWidth="1"/>
    <col min="16" max="16" width="3.21875" style="216" customWidth="1"/>
    <col min="17" max="17" width="14.44140625" style="216" customWidth="1"/>
    <col min="18" max="18" width="8.77734375" style="1" customWidth="1"/>
    <col min="19" max="19" width="13.21875" style="216" customWidth="1"/>
    <col min="20" max="20" width="13.21875" style="216" bestFit="1" customWidth="1"/>
    <col min="21" max="21" width="8.77734375" style="216" bestFit="1" customWidth="1"/>
    <col min="22" max="22" width="6.77734375" style="216"/>
    <col min="23" max="23" width="8.21875" style="216" bestFit="1" customWidth="1"/>
    <col min="24" max="24" width="14" style="216" bestFit="1" customWidth="1"/>
    <col min="25" max="16384" width="6.77734375" style="216"/>
  </cols>
  <sheetData>
    <row r="1" spans="2:20">
      <c r="B1" s="245"/>
    </row>
    <row r="2" spans="2:20">
      <c r="J2" s="146" t="s">
        <v>292</v>
      </c>
      <c r="K2" s="167">
        <v>44747</v>
      </c>
      <c r="Q2" s="39">
        <v>0</v>
      </c>
      <c r="R2" s="39" t="s">
        <v>6</v>
      </c>
    </row>
    <row r="3" spans="2:20">
      <c r="J3" s="146" t="s">
        <v>290</v>
      </c>
      <c r="K3" s="166">
        <v>15</v>
      </c>
      <c r="Q3" s="39">
        <v>1</v>
      </c>
      <c r="R3" s="39" t="s">
        <v>144</v>
      </c>
    </row>
    <row r="4" spans="2:20">
      <c r="Q4" s="39">
        <v>2</v>
      </c>
      <c r="R4" s="39" t="s">
        <v>145</v>
      </c>
    </row>
    <row r="5" spans="2:20">
      <c r="C5" s="15" t="s">
        <v>68</v>
      </c>
      <c r="K5" s="58"/>
      <c r="Q5" s="39">
        <v>3</v>
      </c>
      <c r="R5" s="39" t="s">
        <v>146</v>
      </c>
    </row>
    <row r="6" spans="2:20">
      <c r="C6" s="16" t="s">
        <v>69</v>
      </c>
      <c r="D6" s="17">
        <f ca="1">Resumo!F6</f>
        <v>299726</v>
      </c>
      <c r="E6" s="6"/>
      <c r="F6" s="6"/>
      <c r="G6" s="180" t="s">
        <v>378</v>
      </c>
      <c r="Q6" s="39">
        <v>4</v>
      </c>
      <c r="R6" s="39" t="s">
        <v>147</v>
      </c>
    </row>
    <row r="7" spans="2:20">
      <c r="C7" s="18" t="s">
        <v>70</v>
      </c>
      <c r="D7" s="244" t="str">
        <f>Resumo!C6</f>
        <v>SAC</v>
      </c>
      <c r="E7" s="6"/>
      <c r="F7" s="246"/>
      <c r="G7" s="6" t="s">
        <v>379</v>
      </c>
      <c r="Q7" s="39">
        <v>5</v>
      </c>
      <c r="R7" s="39" t="s">
        <v>148</v>
      </c>
    </row>
    <row r="8" spans="2:20">
      <c r="C8" s="21" t="s">
        <v>14</v>
      </c>
      <c r="D8" s="22">
        <f>Resumo!F9</f>
        <v>0</v>
      </c>
      <c r="E8" s="23"/>
      <c r="F8" s="23"/>
      <c r="G8" s="6" t="s">
        <v>380</v>
      </c>
      <c r="H8" s="168"/>
      <c r="Q8" s="39">
        <v>6</v>
      </c>
      <c r="R8" s="39" t="s">
        <v>149</v>
      </c>
    </row>
    <row r="9" spans="2:20">
      <c r="C9" s="18" t="s">
        <v>13</v>
      </c>
      <c r="D9" s="25">
        <f ca="1">Resumo!F8</f>
        <v>9450</v>
      </c>
      <c r="E9" s="6"/>
      <c r="F9" s="246"/>
      <c r="G9" s="6" t="s">
        <v>381</v>
      </c>
      <c r="H9" s="169"/>
      <c r="J9" s="1"/>
      <c r="K9" s="54"/>
      <c r="Q9" s="39">
        <v>7</v>
      </c>
      <c r="R9" s="39" t="s">
        <v>150</v>
      </c>
    </row>
    <row r="10" spans="2:20">
      <c r="C10" s="21" t="s">
        <v>72</v>
      </c>
      <c r="D10" s="26">
        <f>Resumo!F10</f>
        <v>20276</v>
      </c>
      <c r="E10" s="27"/>
      <c r="F10" s="27"/>
      <c r="G10" s="6" t="s">
        <v>383</v>
      </c>
      <c r="J10" s="247"/>
      <c r="K10" s="54"/>
      <c r="Q10" s="39">
        <v>8</v>
      </c>
      <c r="R10" s="39" t="s">
        <v>151</v>
      </c>
    </row>
    <row r="11" spans="2:20">
      <c r="C11" s="18" t="s">
        <v>73</v>
      </c>
      <c r="D11" s="28">
        <f ca="1">D6-D8-D9-D10</f>
        <v>270000</v>
      </c>
      <c r="E11" s="6"/>
      <c r="F11" s="6"/>
      <c r="G11" s="6" t="s">
        <v>382</v>
      </c>
      <c r="J11" s="1"/>
      <c r="K11" s="54"/>
      <c r="Q11" s="39">
        <v>9</v>
      </c>
      <c r="R11" s="39" t="s">
        <v>152</v>
      </c>
    </row>
    <row r="12" spans="2:20">
      <c r="C12" s="21" t="s">
        <v>4</v>
      </c>
      <c r="D12" s="30">
        <f>Resumo!C8</f>
        <v>360</v>
      </c>
      <c r="E12" s="29"/>
      <c r="F12" s="29"/>
      <c r="G12" s="6" t="s">
        <v>384</v>
      </c>
      <c r="Q12" s="39">
        <v>10</v>
      </c>
      <c r="R12" s="39" t="s">
        <v>153</v>
      </c>
    </row>
    <row r="13" spans="2:20">
      <c r="B13" s="31"/>
      <c r="C13" s="18" t="s">
        <v>294</v>
      </c>
      <c r="D13" s="32">
        <f>Resumo!F18</f>
        <v>6.7999999999999996E-3</v>
      </c>
      <c r="E13" s="6"/>
      <c r="F13" s="6"/>
      <c r="Q13" s="39">
        <v>11</v>
      </c>
      <c r="R13" s="39" t="s">
        <v>154</v>
      </c>
    </row>
    <row r="14" spans="2:20">
      <c r="B14" s="31"/>
      <c r="C14" s="21" t="s">
        <v>434</v>
      </c>
      <c r="D14" s="22">
        <f ca="1">MAX(K21:K382)</f>
        <v>3022.7968200938481</v>
      </c>
      <c r="E14" s="33"/>
      <c r="F14" s="33"/>
      <c r="Q14" s="39">
        <v>12</v>
      </c>
      <c r="R14" s="39" t="s">
        <v>155</v>
      </c>
    </row>
    <row r="15" spans="2:20">
      <c r="B15" s="31"/>
      <c r="C15" s="18" t="s">
        <v>3</v>
      </c>
      <c r="D15" s="34">
        <f>Resumo!C12</f>
        <v>491000</v>
      </c>
      <c r="E15" s="6"/>
      <c r="F15" s="6"/>
    </row>
    <row r="16" spans="2:20">
      <c r="B16" s="31"/>
      <c r="C16" s="21" t="s">
        <v>289</v>
      </c>
      <c r="D16" s="220">
        <f>Resumo!C10</f>
        <v>1</v>
      </c>
      <c r="E16" s="6"/>
      <c r="F16" s="6"/>
      <c r="M16" s="170" t="s">
        <v>293</v>
      </c>
      <c r="N16" s="24">
        <f>Resumo!F18</f>
        <v>6.7999999999999996E-3</v>
      </c>
      <c r="R16" s="59" t="s">
        <v>301</v>
      </c>
      <c r="T16" s="20">
        <f ca="1">SUM(T21:T382)</f>
        <v>4442.0269835932786</v>
      </c>
    </row>
    <row r="17" spans="2:24">
      <c r="B17" s="31"/>
      <c r="C17" s="18" t="s">
        <v>74</v>
      </c>
      <c r="D17" s="19" t="s">
        <v>6</v>
      </c>
      <c r="E17" s="154">
        <f>COUNTIF(L23:L342,D17)-IF(D16=6,COUNTIF(L23:L28,D17),IF(D16=3,COUNTIF(L23:L25,D17),IF(D16=1,COUNTIF(L23,D17),0)))</f>
        <v>0</v>
      </c>
      <c r="F17" s="154"/>
      <c r="G17" s="156"/>
      <c r="J17" s="245"/>
      <c r="M17" s="153">
        <v>0</v>
      </c>
      <c r="N17" s="172">
        <v>1438269.5886882478</v>
      </c>
      <c r="O17" s="24"/>
      <c r="R17" s="176" t="s">
        <v>302</v>
      </c>
      <c r="S17" s="177"/>
      <c r="T17" s="238">
        <f ca="1">IF(AND($K$2&gt;=DATEVALUE("03/04/2020"),$K$2&lt;=DATEVALUE("31/12/2020")),0,D6*0.38%)</f>
        <v>1138.9588000000001</v>
      </c>
    </row>
    <row r="18" spans="2:24">
      <c r="B18" s="31"/>
      <c r="C18" s="239" t="s">
        <v>75</v>
      </c>
      <c r="D18" s="152">
        <f ca="1">(1+IRR(O21:O382))^(12)-1</f>
        <v>0.10713491845514467</v>
      </c>
      <c r="E18" s="6"/>
      <c r="F18" s="6"/>
      <c r="G18" s="156"/>
      <c r="K18" s="24"/>
      <c r="M18" s="153" t="s">
        <v>376</v>
      </c>
      <c r="N18" s="248">
        <f ca="1">N17-N21</f>
        <v>1142267.9963961153</v>
      </c>
      <c r="O18" s="155">
        <f ca="1">IRR(O21:O382)</f>
        <v>8.5173617215938968E-3</v>
      </c>
      <c r="P18" s="155"/>
      <c r="R18" s="173" t="s">
        <v>303</v>
      </c>
      <c r="S18" s="174"/>
      <c r="T18" s="175">
        <f ca="1">SUM(T16:T17)</f>
        <v>5580.9857835932789</v>
      </c>
      <c r="U18" s="242">
        <f ca="1">T18/D6</f>
        <v>1.8620292479108517E-2</v>
      </c>
    </row>
    <row r="19" spans="2:24">
      <c r="D19" s="6"/>
      <c r="E19" s="6"/>
      <c r="F19" s="6"/>
      <c r="G19" s="240"/>
      <c r="X19" s="242">
        <f ca="1">((1+X20)^12)-1</f>
        <v>7.8667423098993661E-2</v>
      </c>
    </row>
    <row r="20" spans="2:24" ht="32.25" customHeight="1">
      <c r="B20" s="95"/>
      <c r="C20" s="95" t="s">
        <v>291</v>
      </c>
      <c r="D20" s="95" t="s">
        <v>76</v>
      </c>
      <c r="E20" s="95" t="s">
        <v>77</v>
      </c>
      <c r="F20" s="95" t="s">
        <v>417</v>
      </c>
      <c r="G20" s="95" t="s">
        <v>78</v>
      </c>
      <c r="H20" s="95" t="s">
        <v>17</v>
      </c>
      <c r="I20" s="95" t="s">
        <v>18</v>
      </c>
      <c r="J20" s="95" t="s">
        <v>79</v>
      </c>
      <c r="K20" s="95" t="s">
        <v>80</v>
      </c>
      <c r="N20" s="4" t="s">
        <v>2</v>
      </c>
      <c r="O20" s="4" t="s">
        <v>263</v>
      </c>
      <c r="P20" s="5"/>
      <c r="Q20" s="95" t="s">
        <v>300</v>
      </c>
      <c r="R20" s="95" t="s">
        <v>71</v>
      </c>
      <c r="S20" s="95" t="s">
        <v>299</v>
      </c>
      <c r="T20" s="95" t="s">
        <v>14</v>
      </c>
      <c r="X20" s="24">
        <f ca="1">IRR(X21:X342)</f>
        <v>6.3304876879046734E-3</v>
      </c>
    </row>
    <row r="21" spans="2:24">
      <c r="B21" s="13">
        <v>0</v>
      </c>
      <c r="C21" s="165">
        <f>K2</f>
        <v>44747</v>
      </c>
      <c r="D21" s="2">
        <v>0</v>
      </c>
      <c r="E21" s="2">
        <v>0</v>
      </c>
      <c r="F21" s="2">
        <f ca="1">D6</f>
        <v>299726</v>
      </c>
      <c r="G21" s="2">
        <f ca="1">D6</f>
        <v>299726</v>
      </c>
      <c r="H21" s="2"/>
      <c r="I21" s="2"/>
      <c r="J21" s="2"/>
      <c r="K21" s="55"/>
      <c r="L21" s="199"/>
      <c r="M21" s="200">
        <v>0</v>
      </c>
      <c r="N21" s="40">
        <f ca="1">N22/(1+N16)^((C22-C21)/_xlfn.DAYS(EDATE(C21,1),C21))</f>
        <v>296001.59229213261</v>
      </c>
      <c r="O21" s="137">
        <f ca="1">-D11</f>
        <v>-270000</v>
      </c>
      <c r="P21" s="137"/>
      <c r="Q21" s="20">
        <f>IF(D21=0,0,$G$21/($D$12-$E$17-$D$16))</f>
        <v>0</v>
      </c>
      <c r="R21" s="1">
        <f>IFERROR(C21-$K$2,0)</f>
        <v>0</v>
      </c>
      <c r="S21" s="243">
        <f>IF(AND($K$2&gt;=DATEVALUE("03/04/2020"),$K$2&lt;=DATEVALUE("31/12/2020")),0,IF(Resumo!$C$19="PF",IF(R21&lt;360,0.0082%*R21,3%),IF(R21&lt;360,0.0041%*R21,1.5%)))</f>
        <v>0</v>
      </c>
      <c r="T21" s="172">
        <f>S21*Q21</f>
        <v>0</v>
      </c>
      <c r="X21" s="20">
        <f ca="1">-D6*(1+(3%/(1-9.25%)))</f>
        <v>-309634.29752066114</v>
      </c>
    </row>
    <row r="22" spans="2:24">
      <c r="B22" s="41" t="str">
        <f>IF(AND(DAY(K2)&gt;K3,D16&gt;0),1,"I")</f>
        <v>I</v>
      </c>
      <c r="C22" s="164">
        <f>IF(DAY(K2)=K3,K2,IF(DAY(K2)&lt;K3,DATE(YEAR(K2),MONTH(K2),K3),DATE(YEAR(K2),MONTH(K2)+1,K3)))</f>
        <v>44757</v>
      </c>
      <c r="D22" s="42"/>
      <c r="E22" s="42"/>
      <c r="F22" s="42"/>
      <c r="G22" s="42">
        <f ca="1">IF(C22&lt;&gt;C21,G21*(1+$D$13)^((C22-C21)/_xlfn.DAYS(EDATE(C21,1),C21)),G21-D22)</f>
        <v>300381.95492847898</v>
      </c>
      <c r="H22" s="42"/>
      <c r="I22" s="42"/>
      <c r="J22" s="42"/>
      <c r="K22" s="42"/>
      <c r="L22" s="199"/>
      <c r="M22" s="200"/>
      <c r="N22" s="33">
        <f ca="1">NPV(N16,N23:N342)</f>
        <v>296649.39629746298</v>
      </c>
      <c r="O22" s="137" t="str">
        <f>IF(B22=1,0,"")</f>
        <v/>
      </c>
      <c r="P22" s="137"/>
      <c r="Q22" s="20"/>
      <c r="S22" s="243">
        <f>IF(AND($K$2&gt;=DATEVALUE("03/04/2020"),$K$2&lt;=DATEVALUE("31/12/2020")),0,IF(Resumo!$C$19="PF",IF(R22&lt;360,0.0082%*R22,3%),IF(R22&lt;360,0.0041%*R22,1.5%)))</f>
        <v>0</v>
      </c>
      <c r="T22" s="172"/>
      <c r="X22" s="20" t="str">
        <f>IF(B22=1,0,"")</f>
        <v/>
      </c>
    </row>
    <row r="23" spans="2:24">
      <c r="B23" s="37">
        <f>IFERROR(B22+1,1)</f>
        <v>1</v>
      </c>
      <c r="C23" s="163">
        <f>IF(B23&lt;&gt;"",EDATE($C$22,B23),"")</f>
        <v>44788</v>
      </c>
      <c r="D23" s="38">
        <f t="shared" ref="D23:D86" si="0">IF(AND(B23&lt;&gt;"",L23&lt;&gt;$D$17,B23&gt;$D$16),VLOOKUP(IF($D$16=0,"I",$D$16),B:G,6,0)/($D$12-$E$17-$D$16),0)</f>
        <v>0</v>
      </c>
      <c r="E23" s="38">
        <f>IF(AND(B23&lt;&gt;"",L23&lt;&gt;$D$17,B23&lt;$D$16,$D$16&lt;4),0,IF(AND(B23&lt;&gt;"",L23&lt;&gt;$D$17,B23&lt;=$D$16,$D$16&gt;3),G22*$D$13,IF(AND(B23&lt;&gt;"",L23&lt;&gt;$D$17,B23&gt;$D$16),G22*$D$13,0)))</f>
        <v>0</v>
      </c>
      <c r="F23" s="38">
        <f t="shared" ref="F23:F86" si="1">D23+E23</f>
        <v>0</v>
      </c>
      <c r="G23" s="38">
        <f ca="1">IF(B23&lt;=$D$16,G22*(1+$D$13)^((C23-C22)/_xlfn.DAYS(EDATE(C22,1),C22)),G22-D23)+IF(B23&lt;=$D$16,G22*Resumo!$F$12,0)+IF(B23&lt;=$D$16,$D$15*Resumo!$F$13,0)+IF(B23&lt;=$D$16,25,0)-IF(AND($D$16&gt;3,B23&lt;=$D$16),K23,0)</f>
        <v>302547.0024325276</v>
      </c>
      <c r="H23" s="38">
        <f>IF(AND(B23&lt;&gt;"",L23&lt;&gt;$D$17,$D$16&gt;3),G23*Resumo!$F$12,IF(AND(B23&lt;&gt;"",L23&lt;&gt;$D$17,B23&gt;$D$16),G23*Resumo!$F$12,0))</f>
        <v>0</v>
      </c>
      <c r="I23" s="38">
        <f>IF(AND(B23&lt;&gt;"",L23&lt;&gt;$D$17,$D$16&gt;3,$B23&lt;=$D$16),$D$15*Resumo!$F$13,IF(AND(B23&lt;&gt;"",L23&lt;&gt;$D$17,B23&gt;$D$16),$D$15*Resumo!$F$13,0))</f>
        <v>0</v>
      </c>
      <c r="J23" s="38">
        <f>IF(AND(B23&lt;&gt;"",L23&lt;&gt;$D$17,$D$16&gt;3,$B23&lt;=$D$16),Resumo!$F$11,IF(AND(B23&lt;&gt;"",L23&lt;&gt;$D$17,B23&gt;$D$16),Resumo!$F$11,0))</f>
        <v>0</v>
      </c>
      <c r="K23" s="38">
        <f t="shared" ref="K23:K86" si="2">IF(B23&lt;&gt;"",D23+E23+H23+I23+J23,"")</f>
        <v>0</v>
      </c>
      <c r="L23" s="39" t="str">
        <f>IF(B23&lt;&gt;"",VLOOKUP(MONTH(C23),Sheet2!$F$1:$G$12,2,0),"")</f>
        <v>Agosto</v>
      </c>
      <c r="M23" s="200">
        <f>IF(AND(M21=0,K23&gt;K21),C23,0)</f>
        <v>0</v>
      </c>
      <c r="N23" s="40">
        <f>D23+E23</f>
        <v>0</v>
      </c>
      <c r="O23" s="40">
        <f t="shared" ref="O23:O86" si="3">K23</f>
        <v>0</v>
      </c>
      <c r="P23" s="40"/>
      <c r="Q23" s="20">
        <f>IF(D23=0,0,$G$21/($D$12-$E$17-$D$16))</f>
        <v>0</v>
      </c>
      <c r="R23" s="1">
        <f t="shared" ref="R23:R86" si="4">IFERROR(C23-$K$2,0)</f>
        <v>41</v>
      </c>
      <c r="S23" s="243">
        <f>IF(AND($K$2&gt;=DATEVALUE("03/04/2020"),$K$2&lt;=DATEVALUE("31/12/2020")),0,IF(Resumo!$C$19="PF",IF(R23&lt;360,0.0082%*R23,3%),IF(R23&lt;360,0.0041%*R23,1.5%)))</f>
        <v>1.681E-3</v>
      </c>
      <c r="T23" s="172">
        <f>S23*Q23</f>
        <v>0</v>
      </c>
      <c r="W23" s="209"/>
      <c r="X23" s="20">
        <f>F23</f>
        <v>0</v>
      </c>
    </row>
    <row r="24" spans="2:24">
      <c r="B24" s="41">
        <f t="shared" ref="B24:B87" si="5">IF(B23&lt;$D$12,B23+1,"")</f>
        <v>2</v>
      </c>
      <c r="C24" s="164">
        <f t="shared" ref="C24:C87" si="6">IF(B24&lt;&gt;"",EDATE($C$22,B24),"")</f>
        <v>44819</v>
      </c>
      <c r="D24" s="42">
        <f t="shared" ca="1" si="0"/>
        <v>842.74931039701278</v>
      </c>
      <c r="E24" s="42">
        <f t="shared" ref="E24:E87" ca="1" si="7">IF(AND(B24&lt;&gt;"",L24&lt;&gt;$D$17,B24&lt;$D$16,$D$16&lt;4),0,IF(AND(B24&lt;&gt;"",L24&lt;&gt;$D$17,B24&lt;=$D$16,$D$16&gt;3),G23*$D$13,IF(AND(B24&lt;&gt;"",L24&lt;&gt;$D$17,B24&gt;$D$16),G23*$D$13,0)))</f>
        <v>2057.3196165411878</v>
      </c>
      <c r="F24" s="42">
        <f t="shared" ca="1" si="1"/>
        <v>2900.0689269382005</v>
      </c>
      <c r="G24" s="42">
        <f ca="1">IF(B24&lt;=$D$16,G23*(1+$D$13)^((C24-C23)/_xlfn.DAYS(EDATE(C23,1),C23)),G23-D24)+IF(B24&lt;=$D$16,G23*Resumo!$F$12,0)+IF(B24&lt;=$D$16,$D$15*Resumo!$F$13,0)+IF(B24&lt;=$D$16,25,0)-IF(AND($D$16&gt;3,B24&lt;=$D$16),K24,0)</f>
        <v>301704.25312213058</v>
      </c>
      <c r="H24" s="42">
        <f ca="1">IF(AND(B24&lt;&gt;"",L24&lt;&gt;$D$17,$D$16&gt;3),G24*Resumo!$F$12,IF(AND(B24&lt;&gt;"",L24&lt;&gt;$D$17,B24&gt;$D$16),G24*Resumo!$F$12,0))</f>
        <v>63.357893155647425</v>
      </c>
      <c r="I24" s="42">
        <f>IF(AND(B24&lt;&gt;"",L24&lt;&gt;$D$17,$D$16&gt;3,$B24&lt;=$D$16),$D$15*Resumo!$F$13,IF(AND(B24&lt;&gt;"",L24&lt;&gt;$D$17,B24&gt;$D$16),$D$15*Resumo!$F$13,0))</f>
        <v>34.369999999999997</v>
      </c>
      <c r="J24" s="42">
        <f>IF(AND(B24&lt;&gt;"",L24&lt;&gt;$D$17,$D$16&gt;3,$B24&lt;=$D$16),Resumo!$F$11,IF(AND(B24&lt;&gt;"",L24&lt;&gt;$D$17,B24&gt;$D$16),Resumo!$F$11,0))</f>
        <v>25</v>
      </c>
      <c r="K24" s="42">
        <f t="shared" ca="1" si="2"/>
        <v>3022.7968200938481</v>
      </c>
      <c r="L24" s="39" t="str">
        <f>IF(B24&lt;&gt;"",VLOOKUP(MONTH(C24),Sheet2!$F$1:$G$12,2,0),"")</f>
        <v>Setembro</v>
      </c>
      <c r="M24" s="200">
        <f t="shared" ref="M24:M87" ca="1" si="8">IF(AND(M23=0,K24&gt;K23),C24,0)</f>
        <v>44819</v>
      </c>
      <c r="N24" s="40">
        <f t="shared" ref="N24:N87" ca="1" si="9">D24+E24</f>
        <v>2900.0689269382005</v>
      </c>
      <c r="O24" s="40">
        <f t="shared" ca="1" si="3"/>
        <v>3022.7968200938481</v>
      </c>
      <c r="P24" s="40"/>
      <c r="Q24" s="20">
        <f t="shared" ref="Q24:Q87" ca="1" si="10">IF(D24=0,0,$G$21/($D$12-$E$17-$D$16))</f>
        <v>834.89136490250701</v>
      </c>
      <c r="R24" s="1">
        <f t="shared" si="4"/>
        <v>72</v>
      </c>
      <c r="S24" s="243">
        <f>IF(AND($K$2&gt;=DATEVALUE("03/04/2020"),$K$2&lt;=DATEVALUE("31/12/2020")),0,IF(Resumo!$C$19="PF",IF(R24&lt;360,0.0082%*R24,3%),IF(R24&lt;360,0.0041%*R24,1.5%)))</f>
        <v>2.9520000000000002E-3</v>
      </c>
      <c r="T24" s="172">
        <f t="shared" ref="T24:T87" ca="1" si="11">S24*Q24</f>
        <v>2.4645993091922009</v>
      </c>
      <c r="X24" s="20">
        <f t="shared" ref="X24:X87" ca="1" si="12">F24</f>
        <v>2900.0689269382005</v>
      </c>
    </row>
    <row r="25" spans="2:24">
      <c r="B25" s="37">
        <f t="shared" si="5"/>
        <v>3</v>
      </c>
      <c r="C25" s="163">
        <f t="shared" si="6"/>
        <v>44849</v>
      </c>
      <c r="D25" s="38">
        <f t="shared" ca="1" si="0"/>
        <v>842.74931039701278</v>
      </c>
      <c r="E25" s="38">
        <f t="shared" ca="1" si="7"/>
        <v>2051.5889212304878</v>
      </c>
      <c r="F25" s="38">
        <f t="shared" ca="1" si="1"/>
        <v>2894.3382316275006</v>
      </c>
      <c r="G25" s="38">
        <f ca="1">IF(B25&lt;=$D$16,G24*(1+$D$13)^((C25-C24)/_xlfn.DAYS(EDATE(C24,1),C24)),G24-D25)+IF(B25&lt;=$D$16,G24*Resumo!$F$12,0)+IF(B25&lt;=$D$16,$D$15*Resumo!$F$13,0)+IF(B25&lt;=$D$16,25,0)-IF(AND($D$16&gt;3,B25&lt;=$D$16),K25,0)</f>
        <v>300861.50381173356</v>
      </c>
      <c r="H25" s="38">
        <f ca="1">IF(AND(B25&lt;&gt;"",L25&lt;&gt;$D$17,$D$16&gt;3),G25*Resumo!$F$12,IF(AND(B25&lt;&gt;"",L25&lt;&gt;$D$17,B25&gt;$D$16),G25*Resumo!$F$12,0))</f>
        <v>63.180915800464049</v>
      </c>
      <c r="I25" s="38">
        <f>IF(AND(B25&lt;&gt;"",L25&lt;&gt;$D$17,$D$16&gt;3,$B25&lt;=$D$16),$D$15*Resumo!$F$13,IF(AND(B25&lt;&gt;"",L25&lt;&gt;$D$17,B25&gt;$D$16),$D$15*Resumo!$F$13,0))</f>
        <v>34.369999999999997</v>
      </c>
      <c r="J25" s="38">
        <f>IF(AND(B25&lt;&gt;"",L25&lt;&gt;$D$17,$D$16&gt;3,$B25&lt;=$D$16),Resumo!$F$11,IF(AND(B25&lt;&gt;"",L25&lt;&gt;$D$17,B25&gt;$D$16),Resumo!$F$11,0))</f>
        <v>25</v>
      </c>
      <c r="K25" s="38">
        <f t="shared" ca="1" si="2"/>
        <v>3016.8891474279644</v>
      </c>
      <c r="L25" s="39" t="str">
        <f>IF(B25&lt;&gt;"",VLOOKUP(MONTH(C25),Sheet2!$F$1:$G$12,2,0),"")</f>
        <v>Outubro</v>
      </c>
      <c r="M25" s="200">
        <f t="shared" ca="1" si="8"/>
        <v>0</v>
      </c>
      <c r="N25" s="40">
        <f t="shared" ca="1" si="9"/>
        <v>2894.3382316275006</v>
      </c>
      <c r="O25" s="40">
        <f t="shared" ca="1" si="3"/>
        <v>3016.8891474279644</v>
      </c>
      <c r="P25" s="40"/>
      <c r="Q25" s="20">
        <f t="shared" ca="1" si="10"/>
        <v>834.89136490250701</v>
      </c>
      <c r="R25" s="1">
        <f t="shared" si="4"/>
        <v>102</v>
      </c>
      <c r="S25" s="243">
        <f>IF(AND($K$2&gt;=DATEVALUE("03/04/2020"),$K$2&lt;=DATEVALUE("31/12/2020")),0,IF(Resumo!$C$19="PF",IF(R25&lt;360,0.0082%*R25,3%),IF(R25&lt;360,0.0041%*R25,1.5%)))</f>
        <v>4.182E-3</v>
      </c>
      <c r="T25" s="172">
        <f t="shared" ca="1" si="11"/>
        <v>3.4915156880222842</v>
      </c>
      <c r="X25" s="20">
        <f t="shared" ca="1" si="12"/>
        <v>2894.3382316275006</v>
      </c>
    </row>
    <row r="26" spans="2:24">
      <c r="B26" s="41">
        <f t="shared" si="5"/>
        <v>4</v>
      </c>
      <c r="C26" s="164">
        <f t="shared" si="6"/>
        <v>44880</v>
      </c>
      <c r="D26" s="42">
        <f t="shared" ca="1" si="0"/>
        <v>842.74931039701278</v>
      </c>
      <c r="E26" s="42">
        <f ca="1">IF(AND(B26&lt;&gt;"",L26&lt;&gt;$D$17,B26&lt;$D$16,$D$16&lt;4),0,IF(AND(B26&lt;&gt;"",L26&lt;&gt;$D$17,B26&lt;=$D$16,$D$16&gt;3),G25*$D$13,IF(AND(B26&lt;&gt;"",L26&lt;&gt;$D$17,B26&gt;$D$16),G25*$D$13,0)))</f>
        <v>2045.8582259197881</v>
      </c>
      <c r="F26" s="42">
        <f t="shared" ca="1" si="1"/>
        <v>2888.6075363168011</v>
      </c>
      <c r="G26" s="42">
        <f ca="1">IF(B26&lt;=$D$16,G25*(1+$D$13)^((C26-C25)/_xlfn.DAYS(EDATE(C25,1),C25)),G25-D26)+IF(B26&lt;=$D$16,G25*Resumo!$F$12,0)+IF(B26&lt;=$D$16,$D$15*Resumo!$F$13,0)+IF(B26&lt;=$D$16,25,0)-IF(AND($D$16&gt;3,B26&lt;=$D$16),K26,0)</f>
        <v>300018.75450133655</v>
      </c>
      <c r="H26" s="42">
        <f ca="1">IF(AND(B26&lt;&gt;"",L26&lt;&gt;$D$17,$D$16&gt;3),G26*Resumo!$F$12,IF(AND(B26&lt;&gt;"",L26&lt;&gt;$D$17,B26&gt;$D$16),G26*Resumo!$F$12,0))</f>
        <v>63.003938445280674</v>
      </c>
      <c r="I26" s="42">
        <f>IF(AND(B26&lt;&gt;"",L26&lt;&gt;$D$17,$D$16&gt;3,$B26&lt;=$D$16),$D$15*Resumo!$F$13,IF(AND(B26&lt;&gt;"",L26&lt;&gt;$D$17,B26&gt;$D$16),$D$15*Resumo!$F$13,0))</f>
        <v>34.369999999999997</v>
      </c>
      <c r="J26" s="42">
        <f>IF(AND(B26&lt;&gt;"",L26&lt;&gt;$D$17,$D$16&gt;3,$B26&lt;=$D$16),Resumo!$F$11,IF(AND(B26&lt;&gt;"",L26&lt;&gt;$D$17,B26&gt;$D$16),Resumo!$F$11,0))</f>
        <v>25</v>
      </c>
      <c r="K26" s="42">
        <f t="shared" ca="1" si="2"/>
        <v>3010.9814747620817</v>
      </c>
      <c r="L26" s="39" t="str">
        <f>IF(B26&lt;&gt;"",VLOOKUP(MONTH(C26),Sheet2!$F$1:$G$12,2,0),"")</f>
        <v>Novembro</v>
      </c>
      <c r="M26" s="200">
        <f t="shared" ca="1" si="8"/>
        <v>0</v>
      </c>
      <c r="N26" s="40">
        <f t="shared" ca="1" si="9"/>
        <v>2888.6075363168011</v>
      </c>
      <c r="O26" s="40">
        <f t="shared" ca="1" si="3"/>
        <v>3010.9814747620817</v>
      </c>
      <c r="P26" s="40"/>
      <c r="Q26" s="20">
        <f t="shared" ca="1" si="10"/>
        <v>834.89136490250701</v>
      </c>
      <c r="R26" s="1">
        <f t="shared" si="4"/>
        <v>133</v>
      </c>
      <c r="S26" s="243">
        <f>IF(AND($K$2&gt;=DATEVALUE("03/04/2020"),$K$2&lt;=DATEVALUE("31/12/2020")),0,IF(Resumo!$C$19="PF",IF(R26&lt;360,0.0082%*R26,3%),IF(R26&lt;360,0.0041%*R26,1.5%)))</f>
        <v>5.4530000000000004E-3</v>
      </c>
      <c r="T26" s="172">
        <f t="shared" ca="1" si="11"/>
        <v>4.5526626128133714</v>
      </c>
      <c r="X26" s="20">
        <f t="shared" ca="1" si="12"/>
        <v>2888.6075363168011</v>
      </c>
    </row>
    <row r="27" spans="2:24">
      <c r="B27" s="37">
        <f t="shared" si="5"/>
        <v>5</v>
      </c>
      <c r="C27" s="163">
        <f t="shared" si="6"/>
        <v>44910</v>
      </c>
      <c r="D27" s="38">
        <f t="shared" ca="1" si="0"/>
        <v>842.74931039701278</v>
      </c>
      <c r="E27" s="38">
        <f t="shared" ca="1" si="7"/>
        <v>2040.1275306090884</v>
      </c>
      <c r="F27" s="38">
        <f t="shared" ca="1" si="1"/>
        <v>2882.8768410061011</v>
      </c>
      <c r="G27" s="38">
        <f ca="1">IF(B27&lt;=$D$16,G26*(1+$D$13)^((C27-C26)/_xlfn.DAYS(EDATE(C26,1),C26)),G26-D27)+IF(B27&lt;=$D$16,G26*Resumo!$F$12,0)+IF(B27&lt;=$D$16,$D$15*Resumo!$F$13,0)+IF(B27&lt;=$D$16,25,0)-IF(AND($D$16&gt;3,B27&lt;=$D$16),K27,0)</f>
        <v>299176.00519093953</v>
      </c>
      <c r="H27" s="38">
        <f ca="1">IF(AND(B27&lt;&gt;"",L27&lt;&gt;$D$17,$D$16&gt;3),G27*Resumo!$F$12,IF(AND(B27&lt;&gt;"",L27&lt;&gt;$D$17,B27&gt;$D$16),G27*Resumo!$F$12,0))</f>
        <v>62.826961090097306</v>
      </c>
      <c r="I27" s="38">
        <f>IF(AND(B27&lt;&gt;"",L27&lt;&gt;$D$17,$D$16&gt;3,$B27&lt;=$D$16),$D$15*Resumo!$F$13,IF(AND(B27&lt;&gt;"",L27&lt;&gt;$D$17,B27&gt;$D$16),$D$15*Resumo!$F$13,0))</f>
        <v>34.369999999999997</v>
      </c>
      <c r="J27" s="38">
        <f>IF(AND(B27&lt;&gt;"",L27&lt;&gt;$D$17,$D$16&gt;3,$B27&lt;=$D$16),Resumo!$F$11,IF(AND(B27&lt;&gt;"",L27&lt;&gt;$D$17,B27&gt;$D$16),Resumo!$F$11,0))</f>
        <v>25</v>
      </c>
      <c r="K27" s="38">
        <f t="shared" ca="1" si="2"/>
        <v>3005.0738020961985</v>
      </c>
      <c r="L27" s="39" t="str">
        <f>IF(B27&lt;&gt;"",VLOOKUP(MONTH(C27),Sheet2!$F$1:$G$12,2,0),"")</f>
        <v>Dezembro</v>
      </c>
      <c r="M27" s="200">
        <f t="shared" ca="1" si="8"/>
        <v>0</v>
      </c>
      <c r="N27" s="40">
        <f t="shared" ca="1" si="9"/>
        <v>2882.8768410061011</v>
      </c>
      <c r="O27" s="40">
        <f t="shared" ca="1" si="3"/>
        <v>3005.0738020961985</v>
      </c>
      <c r="P27" s="40"/>
      <c r="Q27" s="20">
        <f t="shared" ca="1" si="10"/>
        <v>834.89136490250701</v>
      </c>
      <c r="R27" s="1">
        <f t="shared" si="4"/>
        <v>163</v>
      </c>
      <c r="S27" s="243">
        <f>IF(AND($K$2&gt;=DATEVALUE("03/04/2020"),$K$2&lt;=DATEVALUE("31/12/2020")),0,IF(Resumo!$C$19="PF",IF(R27&lt;360,0.0082%*R27,3%),IF(R27&lt;360,0.0041%*R27,1.5%)))</f>
        <v>6.6829999999999997E-3</v>
      </c>
      <c r="T27" s="172">
        <f t="shared" ca="1" si="11"/>
        <v>5.5795789916434542</v>
      </c>
      <c r="X27" s="20">
        <f t="shared" ca="1" si="12"/>
        <v>2882.8768410061011</v>
      </c>
    </row>
    <row r="28" spans="2:24">
      <c r="B28" s="41">
        <f t="shared" si="5"/>
        <v>6</v>
      </c>
      <c r="C28" s="164">
        <f t="shared" si="6"/>
        <v>44941</v>
      </c>
      <c r="D28" s="42">
        <f t="shared" ca="1" si="0"/>
        <v>842.74931039701278</v>
      </c>
      <c r="E28" s="42">
        <f t="shared" ca="1" si="7"/>
        <v>2034.3968352983886</v>
      </c>
      <c r="F28" s="42">
        <f t="shared" ca="1" si="1"/>
        <v>2877.1461456954012</v>
      </c>
      <c r="G28" s="42">
        <f ca="1">IF(B28&lt;=$D$16,G27*(1+$D$13)^((C28-C27)/_xlfn.DAYS(EDATE(C27,1),C27)),G27-D28)+IF(B28&lt;=$D$16,G27*Resumo!$F$12,0)+IF(B28&lt;=$D$16,$D$15*Resumo!$F$13,0)+IF(B28&lt;=$D$16,25,0)-IF(AND($D$16&gt;3,B28&lt;=$D$16),K28,0)</f>
        <v>298333.25588054251</v>
      </c>
      <c r="H28" s="42">
        <f ca="1">IF(AND(B28&lt;&gt;"",L28&lt;&gt;$D$17,$D$16&gt;3),G28*Resumo!$F$12,IF(AND(B28&lt;&gt;"",L28&lt;&gt;$D$17,B28&gt;$D$16),G28*Resumo!$F$12,0))</f>
        <v>62.649983734913931</v>
      </c>
      <c r="I28" s="42">
        <f>IF(AND(B28&lt;&gt;"",L28&lt;&gt;$D$17,$D$16&gt;3,$B28&lt;=$D$16),$D$15*Resumo!$F$13,IF(AND(B28&lt;&gt;"",L28&lt;&gt;$D$17,B28&gt;$D$16),$D$15*Resumo!$F$13,0))</f>
        <v>34.369999999999997</v>
      </c>
      <c r="J28" s="42">
        <f>IF(AND(B28&lt;&gt;"",L28&lt;&gt;$D$17,$D$16&gt;3,$B28&lt;=$D$16),Resumo!$F$11,IF(AND(B28&lt;&gt;"",L28&lt;&gt;$D$17,B28&gt;$D$16),Resumo!$F$11,0))</f>
        <v>25</v>
      </c>
      <c r="K28" s="42">
        <f t="shared" ca="1" si="2"/>
        <v>2999.1661294303149</v>
      </c>
      <c r="L28" s="39" t="str">
        <f>IF(B28&lt;&gt;"",VLOOKUP(MONTH(C28),Sheet2!$F$1:$G$12,2,0),"")</f>
        <v>Janeiro</v>
      </c>
      <c r="M28" s="200">
        <f t="shared" ca="1" si="8"/>
        <v>0</v>
      </c>
      <c r="N28" s="40">
        <f t="shared" ca="1" si="9"/>
        <v>2877.1461456954012</v>
      </c>
      <c r="O28" s="40">
        <f t="shared" ca="1" si="3"/>
        <v>2999.1661294303149</v>
      </c>
      <c r="P28" s="40"/>
      <c r="Q28" s="20">
        <f t="shared" ca="1" si="10"/>
        <v>834.89136490250701</v>
      </c>
      <c r="R28" s="1">
        <f t="shared" si="4"/>
        <v>194</v>
      </c>
      <c r="S28" s="243">
        <f>IF(AND($K$2&gt;=DATEVALUE("03/04/2020"),$K$2&lt;=DATEVALUE("31/12/2020")),0,IF(Resumo!$C$19="PF",IF(R28&lt;360,0.0082%*R28,3%),IF(R28&lt;360,0.0041%*R28,1.5%)))</f>
        <v>7.9539999999999993E-3</v>
      </c>
      <c r="T28" s="172">
        <f t="shared" ca="1" si="11"/>
        <v>6.6407259164345405</v>
      </c>
      <c r="X28" s="20">
        <f t="shared" ca="1" si="12"/>
        <v>2877.1461456954012</v>
      </c>
    </row>
    <row r="29" spans="2:24">
      <c r="B29" s="37">
        <f t="shared" si="5"/>
        <v>7</v>
      </c>
      <c r="C29" s="163">
        <f t="shared" si="6"/>
        <v>44972</v>
      </c>
      <c r="D29" s="38">
        <f t="shared" ca="1" si="0"/>
        <v>842.74931039701278</v>
      </c>
      <c r="E29" s="38">
        <f t="shared" ca="1" si="7"/>
        <v>2028.6661399876889</v>
      </c>
      <c r="F29" s="38">
        <f t="shared" ca="1" si="1"/>
        <v>2871.4154503847017</v>
      </c>
      <c r="G29" s="38">
        <f ca="1">IF(B29&lt;=$D$16,G28*(1+$D$13)^((C29-C28)/_xlfn.DAYS(EDATE(C28,1),C28)),G28-D29)+IF(B29&lt;=$D$16,G28*Resumo!$F$12,0)+IF(B29&lt;=$D$16,$D$15*Resumo!$F$13,0)+IF(B29&lt;=$D$16,25,0)-IF(AND($D$16&gt;3,B29&lt;=$D$16),K29,0)</f>
        <v>297490.50657014549</v>
      </c>
      <c r="H29" s="38">
        <f ca="1">IF(AND(B29&lt;&gt;"",L29&lt;&gt;$D$17,$D$16&gt;3),G29*Resumo!$F$12,IF(AND(B29&lt;&gt;"",L29&lt;&gt;$D$17,B29&gt;$D$16),G29*Resumo!$F$12,0))</f>
        <v>62.473006379730556</v>
      </c>
      <c r="I29" s="38">
        <f>IF(AND(B29&lt;&gt;"",L29&lt;&gt;$D$17,$D$16&gt;3,$B29&lt;=$D$16),$D$15*Resumo!$F$13,IF(AND(B29&lt;&gt;"",L29&lt;&gt;$D$17,B29&gt;$D$16),$D$15*Resumo!$F$13,0))</f>
        <v>34.369999999999997</v>
      </c>
      <c r="J29" s="38">
        <f>IF(AND(B29&lt;&gt;"",L29&lt;&gt;$D$17,$D$16&gt;3,$B29&lt;=$D$16),Resumo!$F$11,IF(AND(B29&lt;&gt;"",L29&lt;&gt;$D$17,B29&gt;$D$16),Resumo!$F$11,0))</f>
        <v>25</v>
      </c>
      <c r="K29" s="38">
        <f t="shared" ca="1" si="2"/>
        <v>2993.2584567644321</v>
      </c>
      <c r="L29" s="39" t="str">
        <f>IF(B29&lt;&gt;"",VLOOKUP(MONTH(C29),Sheet2!$F$1:$G$12,2,0),"")</f>
        <v>Fevereiro</v>
      </c>
      <c r="M29" s="200">
        <f t="shared" ca="1" si="8"/>
        <v>0</v>
      </c>
      <c r="N29" s="40">
        <f t="shared" ca="1" si="9"/>
        <v>2871.4154503847017</v>
      </c>
      <c r="O29" s="40">
        <f t="shared" ca="1" si="3"/>
        <v>2993.2584567644321</v>
      </c>
      <c r="P29" s="40"/>
      <c r="Q29" s="20">
        <f t="shared" ca="1" si="10"/>
        <v>834.89136490250701</v>
      </c>
      <c r="R29" s="1">
        <f t="shared" si="4"/>
        <v>225</v>
      </c>
      <c r="S29" s="243">
        <f>IF(AND($K$2&gt;=DATEVALUE("03/04/2020"),$K$2&lt;=DATEVALUE("31/12/2020")),0,IF(Resumo!$C$19="PF",IF(R29&lt;360,0.0082%*R29,3%),IF(R29&lt;360,0.0041%*R29,1.5%)))</f>
        <v>9.2250000000000006E-3</v>
      </c>
      <c r="T29" s="172">
        <f t="shared" ca="1" si="11"/>
        <v>7.7018728412256277</v>
      </c>
      <c r="X29" s="20">
        <f t="shared" ca="1" si="12"/>
        <v>2871.4154503847017</v>
      </c>
    </row>
    <row r="30" spans="2:24">
      <c r="B30" s="41">
        <f t="shared" si="5"/>
        <v>8</v>
      </c>
      <c r="C30" s="164">
        <f t="shared" si="6"/>
        <v>45000</v>
      </c>
      <c r="D30" s="42">
        <f t="shared" ca="1" si="0"/>
        <v>842.74931039701278</v>
      </c>
      <c r="E30" s="42">
        <f t="shared" ca="1" si="7"/>
        <v>2022.9354446769892</v>
      </c>
      <c r="F30" s="42">
        <f t="shared" ca="1" si="1"/>
        <v>2865.6847550740022</v>
      </c>
      <c r="G30" s="42">
        <f ca="1">IF(B30&lt;=$D$16,G29*(1+$D$13)^((C30-C29)/_xlfn.DAYS(EDATE(C29,1),C29)),G29-D30)+IF(B30&lt;=$D$16,G29*Resumo!$F$12,0)+IF(B30&lt;=$D$16,$D$15*Resumo!$F$13,0)+IF(B30&lt;=$D$16,25,0)-IF(AND($D$16&gt;3,B30&lt;=$D$16),K30,0)</f>
        <v>296647.75725974847</v>
      </c>
      <c r="H30" s="42">
        <f ca="1">IF(AND(B30&lt;&gt;"",L30&lt;&gt;$D$17,$D$16&gt;3),G30*Resumo!$F$12,IF(AND(B30&lt;&gt;"",L30&lt;&gt;$D$17,B30&gt;$D$16),G30*Resumo!$F$12,0))</f>
        <v>62.296029024547181</v>
      </c>
      <c r="I30" s="42">
        <f>IF(AND(B30&lt;&gt;"",L30&lt;&gt;$D$17,$D$16&gt;3,$B30&lt;=$D$16),$D$15*Resumo!$F$13,IF(AND(B30&lt;&gt;"",L30&lt;&gt;$D$17,B30&gt;$D$16),$D$15*Resumo!$F$13,0))</f>
        <v>34.369999999999997</v>
      </c>
      <c r="J30" s="42">
        <f>IF(AND(B30&lt;&gt;"",L30&lt;&gt;$D$17,$D$16&gt;3,$B30&lt;=$D$16),Resumo!$F$11,IF(AND(B30&lt;&gt;"",L30&lt;&gt;$D$17,B30&gt;$D$16),Resumo!$F$11,0))</f>
        <v>25</v>
      </c>
      <c r="K30" s="42">
        <f t="shared" ca="1" si="2"/>
        <v>2987.3507840985494</v>
      </c>
      <c r="L30" s="39" t="str">
        <f>IF(B30&lt;&gt;"",VLOOKUP(MONTH(C30),Sheet2!$F$1:$G$12,2,0),"")</f>
        <v>Março</v>
      </c>
      <c r="M30" s="200">
        <f t="shared" ca="1" si="8"/>
        <v>0</v>
      </c>
      <c r="N30" s="40">
        <f t="shared" ca="1" si="9"/>
        <v>2865.6847550740022</v>
      </c>
      <c r="O30" s="40">
        <f t="shared" ca="1" si="3"/>
        <v>2987.3507840985494</v>
      </c>
      <c r="P30" s="40"/>
      <c r="Q30" s="20">
        <f t="shared" ca="1" si="10"/>
        <v>834.89136490250701</v>
      </c>
      <c r="R30" s="1">
        <f t="shared" si="4"/>
        <v>253</v>
      </c>
      <c r="S30" s="243">
        <f>IF(AND($K$2&gt;=DATEVALUE("03/04/2020"),$K$2&lt;=DATEVALUE("31/12/2020")),0,IF(Resumo!$C$19="PF",IF(R30&lt;360,0.0082%*R30,3%),IF(R30&lt;360,0.0041%*R30,1.5%)))</f>
        <v>1.0373E-2</v>
      </c>
      <c r="T30" s="172">
        <f t="shared" ca="1" si="11"/>
        <v>8.6603281281337061</v>
      </c>
      <c r="X30" s="20">
        <f t="shared" ca="1" si="12"/>
        <v>2865.6847550740022</v>
      </c>
    </row>
    <row r="31" spans="2:24">
      <c r="B31" s="37">
        <f t="shared" si="5"/>
        <v>9</v>
      </c>
      <c r="C31" s="163">
        <f t="shared" si="6"/>
        <v>45031</v>
      </c>
      <c r="D31" s="38">
        <f t="shared" ca="1" si="0"/>
        <v>842.74931039701278</v>
      </c>
      <c r="E31" s="38">
        <f t="shared" ca="1" si="7"/>
        <v>2017.2047493662894</v>
      </c>
      <c r="F31" s="38">
        <f t="shared" ca="1" si="1"/>
        <v>2859.9540597633022</v>
      </c>
      <c r="G31" s="38">
        <f ca="1">IF(B31&lt;=$D$16,G30*(1+$D$13)^((C31-C30)/_xlfn.DAYS(EDATE(C30,1),C30)),G30-D31)+IF(B31&lt;=$D$16,G30*Resumo!$F$12,0)+IF(B31&lt;=$D$16,$D$15*Resumo!$F$13,0)+IF(B31&lt;=$D$16,25,0)-IF(AND($D$16&gt;3,B31&lt;=$D$16),K31,0)</f>
        <v>295805.00794935145</v>
      </c>
      <c r="H31" s="38">
        <f ca="1">IF(AND(B31&lt;&gt;"",L31&lt;&gt;$D$17,$D$16&gt;3),G31*Resumo!$F$12,IF(AND(B31&lt;&gt;"",L31&lt;&gt;$D$17,B31&gt;$D$16),G31*Resumo!$F$12,0))</f>
        <v>62.119051669363806</v>
      </c>
      <c r="I31" s="38">
        <f>IF(AND(B31&lt;&gt;"",L31&lt;&gt;$D$17,$D$16&gt;3,$B31&lt;=$D$16),$D$15*Resumo!$F$13,IF(AND(B31&lt;&gt;"",L31&lt;&gt;$D$17,B31&gt;$D$16),$D$15*Resumo!$F$13,0))</f>
        <v>34.369999999999997</v>
      </c>
      <c r="J31" s="38">
        <f>IF(AND(B31&lt;&gt;"",L31&lt;&gt;$D$17,$D$16&gt;3,$B31&lt;=$D$16),Resumo!$F$11,IF(AND(B31&lt;&gt;"",L31&lt;&gt;$D$17,B31&gt;$D$16),Resumo!$F$11,0))</f>
        <v>25</v>
      </c>
      <c r="K31" s="38">
        <f t="shared" ca="1" si="2"/>
        <v>2981.4431114326658</v>
      </c>
      <c r="L31" s="39" t="str">
        <f>IF(B31&lt;&gt;"",VLOOKUP(MONTH(C31),Sheet2!$F$1:$G$12,2,0),"")</f>
        <v>Abril</v>
      </c>
      <c r="M31" s="200">
        <f t="shared" ca="1" si="8"/>
        <v>0</v>
      </c>
      <c r="N31" s="40">
        <f t="shared" ca="1" si="9"/>
        <v>2859.9540597633022</v>
      </c>
      <c r="O31" s="40">
        <f t="shared" ca="1" si="3"/>
        <v>2981.4431114326658</v>
      </c>
      <c r="P31" s="40"/>
      <c r="Q31" s="20">
        <f t="shared" ca="1" si="10"/>
        <v>834.89136490250701</v>
      </c>
      <c r="R31" s="1">
        <f t="shared" si="4"/>
        <v>284</v>
      </c>
      <c r="S31" s="243">
        <f>IF(AND($K$2&gt;=DATEVALUE("03/04/2020"),$K$2&lt;=DATEVALUE("31/12/2020")),0,IF(Resumo!$C$19="PF",IF(R31&lt;360,0.0082%*R31,3%),IF(R31&lt;360,0.0041%*R31,1.5%)))</f>
        <v>1.1644E-2</v>
      </c>
      <c r="T31" s="172">
        <f t="shared" ca="1" si="11"/>
        <v>9.7214750529247915</v>
      </c>
      <c r="X31" s="20">
        <f t="shared" ca="1" si="12"/>
        <v>2859.9540597633022</v>
      </c>
    </row>
    <row r="32" spans="2:24">
      <c r="B32" s="41">
        <f t="shared" si="5"/>
        <v>10</v>
      </c>
      <c r="C32" s="164">
        <f t="shared" si="6"/>
        <v>45061</v>
      </c>
      <c r="D32" s="42">
        <f t="shared" ca="1" si="0"/>
        <v>842.74931039701278</v>
      </c>
      <c r="E32" s="42">
        <f t="shared" ca="1" si="7"/>
        <v>2011.4740540555897</v>
      </c>
      <c r="F32" s="42">
        <f t="shared" ca="1" si="1"/>
        <v>2854.2233644526023</v>
      </c>
      <c r="G32" s="42">
        <f ca="1">IF(B32&lt;=$D$16,G31*(1+$D$13)^((C32-C31)/_xlfn.DAYS(EDATE(C31,1),C31)),G31-D32)+IF(B32&lt;=$D$16,G31*Resumo!$F$12,0)+IF(B32&lt;=$D$16,$D$15*Resumo!$F$13,0)+IF(B32&lt;=$D$16,25,0)-IF(AND($D$16&gt;3,B32&lt;=$D$16),K32,0)</f>
        <v>294962.25863895443</v>
      </c>
      <c r="H32" s="42">
        <f ca="1">IF(AND(B32&lt;&gt;"",L32&lt;&gt;$D$17,$D$16&gt;3),G32*Resumo!$F$12,IF(AND(B32&lt;&gt;"",L32&lt;&gt;$D$17,B32&gt;$D$16),G32*Resumo!$F$12,0))</f>
        <v>61.942074314180431</v>
      </c>
      <c r="I32" s="42">
        <f>IF(AND(B32&lt;&gt;"",L32&lt;&gt;$D$17,$D$16&gt;3,$B32&lt;=$D$16),$D$15*Resumo!$F$13,IF(AND(B32&lt;&gt;"",L32&lt;&gt;$D$17,B32&gt;$D$16),$D$15*Resumo!$F$13,0))</f>
        <v>34.369999999999997</v>
      </c>
      <c r="J32" s="42">
        <f>IF(AND(B32&lt;&gt;"",L32&lt;&gt;$D$17,$D$16&gt;3,$B32&lt;=$D$16),Resumo!$F$11,IF(AND(B32&lt;&gt;"",L32&lt;&gt;$D$17,B32&gt;$D$16),Resumo!$F$11,0))</f>
        <v>25</v>
      </c>
      <c r="K32" s="42">
        <f t="shared" ca="1" si="2"/>
        <v>2975.5354387667826</v>
      </c>
      <c r="L32" s="39" t="str">
        <f>IF(B32&lt;&gt;"",VLOOKUP(MONTH(C32),Sheet2!$F$1:$G$12,2,0),"")</f>
        <v>Maio</v>
      </c>
      <c r="M32" s="200">
        <f t="shared" ca="1" si="8"/>
        <v>0</v>
      </c>
      <c r="N32" s="40">
        <f t="shared" ca="1" si="9"/>
        <v>2854.2233644526023</v>
      </c>
      <c r="O32" s="40">
        <f t="shared" ca="1" si="3"/>
        <v>2975.5354387667826</v>
      </c>
      <c r="P32" s="40"/>
      <c r="Q32" s="20">
        <f t="shared" ca="1" si="10"/>
        <v>834.89136490250701</v>
      </c>
      <c r="R32" s="1">
        <f t="shared" si="4"/>
        <v>314</v>
      </c>
      <c r="S32" s="243">
        <f>IF(AND($K$2&gt;=DATEVALUE("03/04/2020"),$K$2&lt;=DATEVALUE("31/12/2020")),0,IF(Resumo!$C$19="PF",IF(R32&lt;360,0.0082%*R32,3%),IF(R32&lt;360,0.0041%*R32,1.5%)))</f>
        <v>1.2874E-2</v>
      </c>
      <c r="T32" s="172">
        <f t="shared" ca="1" si="11"/>
        <v>10.748391431754875</v>
      </c>
      <c r="X32" s="20">
        <f t="shared" ca="1" si="12"/>
        <v>2854.2233644526023</v>
      </c>
    </row>
    <row r="33" spans="2:24">
      <c r="B33" s="37">
        <f t="shared" si="5"/>
        <v>11</v>
      </c>
      <c r="C33" s="163">
        <f t="shared" si="6"/>
        <v>45092</v>
      </c>
      <c r="D33" s="38">
        <f t="shared" ca="1" si="0"/>
        <v>842.74931039701278</v>
      </c>
      <c r="E33" s="38">
        <f t="shared" ca="1" si="7"/>
        <v>2005.74335874489</v>
      </c>
      <c r="F33" s="38">
        <f t="shared" ca="1" si="1"/>
        <v>2848.4926691419028</v>
      </c>
      <c r="G33" s="38">
        <f ca="1">IF(B33&lt;=$D$16,G32*(1+$D$13)^((C33-C32)/_xlfn.DAYS(EDATE(C32,1),C32)),G32-D33)+IF(B33&lt;=$D$16,G32*Resumo!$F$12,0)+IF(B33&lt;=$D$16,$D$15*Resumo!$F$13,0)+IF(B33&lt;=$D$16,25,0)-IF(AND($D$16&gt;3,B33&lt;=$D$16),K33,0)</f>
        <v>294119.50932855741</v>
      </c>
      <c r="H33" s="38">
        <f ca="1">IF(AND(B33&lt;&gt;"",L33&lt;&gt;$D$17,$D$16&gt;3),G33*Resumo!$F$12,IF(AND(B33&lt;&gt;"",L33&lt;&gt;$D$17,B33&gt;$D$16),G33*Resumo!$F$12,0))</f>
        <v>61.765096958997056</v>
      </c>
      <c r="I33" s="38">
        <f>IF(AND(B33&lt;&gt;"",L33&lt;&gt;$D$17,$D$16&gt;3,$B33&lt;=$D$16),$D$15*Resumo!$F$13,IF(AND(B33&lt;&gt;"",L33&lt;&gt;$D$17,B33&gt;$D$16),$D$15*Resumo!$F$13,0))</f>
        <v>34.369999999999997</v>
      </c>
      <c r="J33" s="38">
        <f>IF(AND(B33&lt;&gt;"",L33&lt;&gt;$D$17,$D$16&gt;3,$B33&lt;=$D$16),Resumo!$F$11,IF(AND(B33&lt;&gt;"",L33&lt;&gt;$D$17,B33&gt;$D$16),Resumo!$F$11,0))</f>
        <v>25</v>
      </c>
      <c r="K33" s="38">
        <f t="shared" ca="1" si="2"/>
        <v>2969.6277661008999</v>
      </c>
      <c r="L33" s="39" t="str">
        <f>IF(B33&lt;&gt;"",VLOOKUP(MONTH(C33),Sheet2!$F$1:$G$12,2,0),"")</f>
        <v>Junho</v>
      </c>
      <c r="M33" s="200">
        <f t="shared" ca="1" si="8"/>
        <v>0</v>
      </c>
      <c r="N33" s="40">
        <f t="shared" ca="1" si="9"/>
        <v>2848.4926691419028</v>
      </c>
      <c r="O33" s="40">
        <f t="shared" ca="1" si="3"/>
        <v>2969.6277661008999</v>
      </c>
      <c r="P33" s="40"/>
      <c r="Q33" s="20">
        <f t="shared" ca="1" si="10"/>
        <v>834.89136490250701</v>
      </c>
      <c r="R33" s="1">
        <f t="shared" si="4"/>
        <v>345</v>
      </c>
      <c r="S33" s="243">
        <f>IF(AND($K$2&gt;=DATEVALUE("03/04/2020"),$K$2&lt;=DATEVALUE("31/12/2020")),0,IF(Resumo!$C$19="PF",IF(R33&lt;360,0.0082%*R33,3%),IF(R33&lt;360,0.0041%*R33,1.5%)))</f>
        <v>1.4145E-2</v>
      </c>
      <c r="T33" s="172">
        <f t="shared" ca="1" si="11"/>
        <v>11.809538356545961</v>
      </c>
      <c r="X33" s="20">
        <f t="shared" ca="1" si="12"/>
        <v>2848.4926691419028</v>
      </c>
    </row>
    <row r="34" spans="2:24">
      <c r="B34" s="41">
        <f t="shared" si="5"/>
        <v>12</v>
      </c>
      <c r="C34" s="164">
        <f t="shared" si="6"/>
        <v>45122</v>
      </c>
      <c r="D34" s="42">
        <f t="shared" ca="1" si="0"/>
        <v>842.74931039701278</v>
      </c>
      <c r="E34" s="42">
        <f t="shared" ca="1" si="7"/>
        <v>2000.0126634341902</v>
      </c>
      <c r="F34" s="42">
        <f t="shared" ca="1" si="1"/>
        <v>2842.7619738312032</v>
      </c>
      <c r="G34" s="42">
        <f ca="1">IF(B34&lt;=$D$16,G33*(1+$D$13)^((C34-C33)/_xlfn.DAYS(EDATE(C33,1),C33)),G33-D34)+IF(B34&lt;=$D$16,G33*Resumo!$F$12,0)+IF(B34&lt;=$D$16,$D$15*Resumo!$F$13,0)+IF(B34&lt;=$D$16,25,0)-IF(AND($D$16&gt;3,B34&lt;=$D$16),K34,0)</f>
        <v>293276.76001816039</v>
      </c>
      <c r="H34" s="42">
        <f ca="1">IF(AND(B34&lt;&gt;"",L34&lt;&gt;$D$17,$D$16&gt;3),G34*Resumo!$F$12,IF(AND(B34&lt;&gt;"",L34&lt;&gt;$D$17,B34&gt;$D$16),G34*Resumo!$F$12,0))</f>
        <v>61.588119603813688</v>
      </c>
      <c r="I34" s="42">
        <f>IF(AND(B34&lt;&gt;"",L34&lt;&gt;$D$17,$D$16&gt;3,$B34&lt;=$D$16),$D$15*Resumo!$F$13,IF(AND(B34&lt;&gt;"",L34&lt;&gt;$D$17,B34&gt;$D$16),$D$15*Resumo!$F$13,0))</f>
        <v>34.369999999999997</v>
      </c>
      <c r="J34" s="42">
        <f>IF(AND(B34&lt;&gt;"",L34&lt;&gt;$D$17,$D$16&gt;3,$B34&lt;=$D$16),Resumo!$F$11,IF(AND(B34&lt;&gt;"",L34&lt;&gt;$D$17,B34&gt;$D$16),Resumo!$F$11,0))</f>
        <v>25</v>
      </c>
      <c r="K34" s="42">
        <f t="shared" ca="1" si="2"/>
        <v>2963.7200934350167</v>
      </c>
      <c r="L34" s="39" t="str">
        <f>IF(B34&lt;&gt;"",VLOOKUP(MONTH(C34),Sheet2!$F$1:$G$12,2,0),"")</f>
        <v>Julho</v>
      </c>
      <c r="M34" s="200">
        <f t="shared" ca="1" si="8"/>
        <v>0</v>
      </c>
      <c r="N34" s="40">
        <f t="shared" ca="1" si="9"/>
        <v>2842.7619738312032</v>
      </c>
      <c r="O34" s="40">
        <f t="shared" ca="1" si="3"/>
        <v>2963.7200934350167</v>
      </c>
      <c r="P34" s="40"/>
      <c r="Q34" s="20">
        <f t="shared" ca="1" si="10"/>
        <v>834.89136490250701</v>
      </c>
      <c r="R34" s="1">
        <f t="shared" si="4"/>
        <v>375</v>
      </c>
      <c r="S34" s="243">
        <f>IF(AND($K$2&gt;=DATEVALUE("03/04/2020"),$K$2&lt;=DATEVALUE("31/12/2020")),0,IF(Resumo!$C$19="PF",IF(R34&lt;360,0.0082%*R34,3%),IF(R34&lt;360,0.0041%*R34,1.5%)))</f>
        <v>1.4999999999999999E-2</v>
      </c>
      <c r="T34" s="172">
        <f t="shared" ca="1" si="11"/>
        <v>12.523370473537605</v>
      </c>
      <c r="X34" s="20">
        <f t="shared" ca="1" si="12"/>
        <v>2842.7619738312032</v>
      </c>
    </row>
    <row r="35" spans="2:24">
      <c r="B35" s="37">
        <f t="shared" si="5"/>
        <v>13</v>
      </c>
      <c r="C35" s="163">
        <f t="shared" si="6"/>
        <v>45153</v>
      </c>
      <c r="D35" s="38">
        <f t="shared" ca="1" si="0"/>
        <v>842.74931039701278</v>
      </c>
      <c r="E35" s="38">
        <f t="shared" ca="1" si="7"/>
        <v>1994.2819681234905</v>
      </c>
      <c r="F35" s="38">
        <f t="shared" ca="1" si="1"/>
        <v>2837.0312785205033</v>
      </c>
      <c r="G35" s="38">
        <f ca="1">IF(B35&lt;=$D$16,G34*(1+$D$13)^((C35-C34)/_xlfn.DAYS(EDATE(C34,1),C34)),G34-D35)+IF(B35&lt;=$D$16,G34*Resumo!$F$12,0)+IF(B35&lt;=$D$16,$D$15*Resumo!$F$13,0)+IF(B35&lt;=$D$16,25,0)-IF(AND($D$16&gt;3,B35&lt;=$D$16),K35,0)</f>
        <v>292434.01070776337</v>
      </c>
      <c r="H35" s="38">
        <f ca="1">IF(AND(B35&lt;&gt;"",L35&lt;&gt;$D$17,$D$16&gt;3),G35*Resumo!$F$12,IF(AND(B35&lt;&gt;"",L35&lt;&gt;$D$17,B35&gt;$D$16),G35*Resumo!$F$12,0))</f>
        <v>61.411142248630313</v>
      </c>
      <c r="I35" s="38">
        <f>IF(AND(B35&lt;&gt;"",L35&lt;&gt;$D$17,$D$16&gt;3,$B35&lt;=$D$16),$D$15*Resumo!$F$13,IF(AND(B35&lt;&gt;"",L35&lt;&gt;$D$17,B35&gt;$D$16),$D$15*Resumo!$F$13,0))</f>
        <v>34.369999999999997</v>
      </c>
      <c r="J35" s="38">
        <f>IF(AND(B35&lt;&gt;"",L35&lt;&gt;$D$17,$D$16&gt;3,$B35&lt;=$D$16),Resumo!$F$11,IF(AND(B35&lt;&gt;"",L35&lt;&gt;$D$17,B35&gt;$D$16),Resumo!$F$11,0))</f>
        <v>25</v>
      </c>
      <c r="K35" s="38">
        <f t="shared" ca="1" si="2"/>
        <v>2957.8124207691335</v>
      </c>
      <c r="L35" s="39" t="str">
        <f>IF(B35&lt;&gt;"",VLOOKUP(MONTH(C35),Sheet2!$F$1:$G$12,2,0),"")</f>
        <v>Agosto</v>
      </c>
      <c r="M35" s="200">
        <f t="shared" ca="1" si="8"/>
        <v>0</v>
      </c>
      <c r="N35" s="40">
        <f t="shared" ca="1" si="9"/>
        <v>2837.0312785205033</v>
      </c>
      <c r="O35" s="40">
        <f t="shared" ca="1" si="3"/>
        <v>2957.8124207691335</v>
      </c>
      <c r="P35" s="40"/>
      <c r="Q35" s="20">
        <f t="shared" ca="1" si="10"/>
        <v>834.89136490250701</v>
      </c>
      <c r="R35" s="1">
        <f t="shared" si="4"/>
        <v>406</v>
      </c>
      <c r="S35" s="243">
        <f>IF(AND($K$2&gt;=DATEVALUE("03/04/2020"),$K$2&lt;=DATEVALUE("31/12/2020")),0,IF(Resumo!$C$19="PF",IF(R35&lt;360,0.0082%*R35,3%),IF(R35&lt;360,0.0041%*R35,1.5%)))</f>
        <v>1.4999999999999999E-2</v>
      </c>
      <c r="T35" s="172">
        <f t="shared" ca="1" si="11"/>
        <v>12.523370473537605</v>
      </c>
      <c r="X35" s="20">
        <f t="shared" ca="1" si="12"/>
        <v>2837.0312785205033</v>
      </c>
    </row>
    <row r="36" spans="2:24">
      <c r="B36" s="41">
        <f t="shared" si="5"/>
        <v>14</v>
      </c>
      <c r="C36" s="164">
        <f t="shared" si="6"/>
        <v>45184</v>
      </c>
      <c r="D36" s="42">
        <f t="shared" ca="1" si="0"/>
        <v>842.74931039701278</v>
      </c>
      <c r="E36" s="42">
        <f t="shared" ca="1" si="7"/>
        <v>1988.5512728127908</v>
      </c>
      <c r="F36" s="42">
        <f t="shared" ca="1" si="1"/>
        <v>2831.3005832098033</v>
      </c>
      <c r="G36" s="42">
        <f ca="1">IF(B36&lt;=$D$16,G35*(1+$D$13)^((C36-C35)/_xlfn.DAYS(EDATE(C35,1),C35)),G35-D36)+IF(B36&lt;=$D$16,G35*Resumo!$F$12,0)+IF(B36&lt;=$D$16,$D$15*Resumo!$F$13,0)+IF(B36&lt;=$D$16,25,0)-IF(AND($D$16&gt;3,B36&lt;=$D$16),K36,0)</f>
        <v>291591.26139736635</v>
      </c>
      <c r="H36" s="42">
        <f ca="1">IF(AND(B36&lt;&gt;"",L36&lt;&gt;$D$17,$D$16&gt;3),G36*Resumo!$F$12,IF(AND(B36&lt;&gt;"",L36&lt;&gt;$D$17,B36&gt;$D$16),G36*Resumo!$F$12,0))</f>
        <v>61.234164893446938</v>
      </c>
      <c r="I36" s="42">
        <f>IF(AND(B36&lt;&gt;"",L36&lt;&gt;$D$17,$D$16&gt;3,$B36&lt;=$D$16),$D$15*Resumo!$F$13,IF(AND(B36&lt;&gt;"",L36&lt;&gt;$D$17,B36&gt;$D$16),$D$15*Resumo!$F$13,0))</f>
        <v>34.369999999999997</v>
      </c>
      <c r="J36" s="42">
        <f>IF(AND(B36&lt;&gt;"",L36&lt;&gt;$D$17,$D$16&gt;3,$B36&lt;=$D$16),Resumo!$F$11,IF(AND(B36&lt;&gt;"",L36&lt;&gt;$D$17,B36&gt;$D$16),Resumo!$F$11,0))</f>
        <v>25</v>
      </c>
      <c r="K36" s="42">
        <f t="shared" ca="1" si="2"/>
        <v>2951.9047481032503</v>
      </c>
      <c r="L36" s="39" t="str">
        <f>IF(B36&lt;&gt;"",VLOOKUP(MONTH(C36),Sheet2!$F$1:$G$12,2,0),"")</f>
        <v>Setembro</v>
      </c>
      <c r="M36" s="200">
        <f t="shared" ca="1" si="8"/>
        <v>0</v>
      </c>
      <c r="N36" s="40">
        <f t="shared" ca="1" si="9"/>
        <v>2831.3005832098033</v>
      </c>
      <c r="O36" s="40">
        <f t="shared" ca="1" si="3"/>
        <v>2951.9047481032503</v>
      </c>
      <c r="P36" s="40"/>
      <c r="Q36" s="20">
        <f t="shared" ca="1" si="10"/>
        <v>834.89136490250701</v>
      </c>
      <c r="R36" s="1">
        <f t="shared" si="4"/>
        <v>437</v>
      </c>
      <c r="S36" s="243">
        <f>IF(AND($K$2&gt;=DATEVALUE("03/04/2020"),$K$2&lt;=DATEVALUE("31/12/2020")),0,IF(Resumo!$C$19="PF",IF(R36&lt;360,0.0082%*R36,3%),IF(R36&lt;360,0.0041%*R36,1.5%)))</f>
        <v>1.4999999999999999E-2</v>
      </c>
      <c r="T36" s="172">
        <f t="shared" ca="1" si="11"/>
        <v>12.523370473537605</v>
      </c>
      <c r="X36" s="20">
        <f t="shared" ca="1" si="12"/>
        <v>2831.3005832098033</v>
      </c>
    </row>
    <row r="37" spans="2:24">
      <c r="B37" s="37">
        <f t="shared" si="5"/>
        <v>15</v>
      </c>
      <c r="C37" s="163">
        <f t="shared" si="6"/>
        <v>45214</v>
      </c>
      <c r="D37" s="38">
        <f t="shared" ca="1" si="0"/>
        <v>842.74931039701278</v>
      </c>
      <c r="E37" s="38">
        <f t="shared" ca="1" si="7"/>
        <v>1982.8205775020911</v>
      </c>
      <c r="F37" s="38">
        <f t="shared" ca="1" si="1"/>
        <v>2825.5698878991038</v>
      </c>
      <c r="G37" s="38">
        <f ca="1">IF(B37&lt;=$D$16,G36*(1+$D$13)^((C37-C36)/_xlfn.DAYS(EDATE(C36,1),C36)),G36-D37)+IF(B37&lt;=$D$16,G36*Resumo!$F$12,0)+IF(B37&lt;=$D$16,$D$15*Resumo!$F$13,0)+IF(B37&lt;=$D$16,25,0)-IF(AND($D$16&gt;3,B37&lt;=$D$16),K37,0)</f>
        <v>290748.51208696933</v>
      </c>
      <c r="H37" s="38">
        <f ca="1">IF(AND(B37&lt;&gt;"",L37&lt;&gt;$D$17,$D$16&gt;3),G37*Resumo!$F$12,IF(AND(B37&lt;&gt;"",L37&lt;&gt;$D$17,B37&gt;$D$16),G37*Resumo!$F$12,0))</f>
        <v>61.057187538263562</v>
      </c>
      <c r="I37" s="38">
        <f>IF(AND(B37&lt;&gt;"",L37&lt;&gt;$D$17,$D$16&gt;3,$B37&lt;=$D$16),$D$15*Resumo!$F$13,IF(AND(B37&lt;&gt;"",L37&lt;&gt;$D$17,B37&gt;$D$16),$D$15*Resumo!$F$13,0))</f>
        <v>34.369999999999997</v>
      </c>
      <c r="J37" s="38">
        <f>IF(AND(B37&lt;&gt;"",L37&lt;&gt;$D$17,$D$16&gt;3,$B37&lt;=$D$16),Resumo!$F$11,IF(AND(B37&lt;&gt;"",L37&lt;&gt;$D$17,B37&gt;$D$16),Resumo!$F$11,0))</f>
        <v>25</v>
      </c>
      <c r="K37" s="38">
        <f t="shared" ca="1" si="2"/>
        <v>2945.9970754373671</v>
      </c>
      <c r="L37" s="39" t="str">
        <f>IF(B37&lt;&gt;"",VLOOKUP(MONTH(C37),Sheet2!$F$1:$G$12,2,0),"")</f>
        <v>Outubro</v>
      </c>
      <c r="M37" s="200">
        <f t="shared" ca="1" si="8"/>
        <v>0</v>
      </c>
      <c r="N37" s="40">
        <f t="shared" ca="1" si="9"/>
        <v>2825.5698878991038</v>
      </c>
      <c r="O37" s="40">
        <f t="shared" ca="1" si="3"/>
        <v>2945.9970754373671</v>
      </c>
      <c r="P37" s="40"/>
      <c r="Q37" s="20">
        <f t="shared" ca="1" si="10"/>
        <v>834.89136490250701</v>
      </c>
      <c r="R37" s="1">
        <f t="shared" si="4"/>
        <v>467</v>
      </c>
      <c r="S37" s="243">
        <f>IF(AND($K$2&gt;=DATEVALUE("03/04/2020"),$K$2&lt;=DATEVALUE("31/12/2020")),0,IF(Resumo!$C$19="PF",IF(R37&lt;360,0.0082%*R37,3%),IF(R37&lt;360,0.0041%*R37,1.5%)))</f>
        <v>1.4999999999999999E-2</v>
      </c>
      <c r="T37" s="172">
        <f t="shared" ca="1" si="11"/>
        <v>12.523370473537605</v>
      </c>
      <c r="X37" s="20">
        <f t="shared" ca="1" si="12"/>
        <v>2825.5698878991038</v>
      </c>
    </row>
    <row r="38" spans="2:24">
      <c r="B38" s="41">
        <f t="shared" si="5"/>
        <v>16</v>
      </c>
      <c r="C38" s="164">
        <f t="shared" si="6"/>
        <v>45245</v>
      </c>
      <c r="D38" s="42">
        <f t="shared" ca="1" si="0"/>
        <v>842.74931039701278</v>
      </c>
      <c r="E38" s="42">
        <f t="shared" ca="1" si="7"/>
        <v>1977.0898821913913</v>
      </c>
      <c r="F38" s="42">
        <f t="shared" ca="1" si="1"/>
        <v>2819.8391925884043</v>
      </c>
      <c r="G38" s="42">
        <f ca="1">IF(B38&lt;=$D$16,G37*(1+$D$13)^((C38-C37)/_xlfn.DAYS(EDATE(C37,1),C37)),G37-D38)+IF(B38&lt;=$D$16,G37*Resumo!$F$12,0)+IF(B38&lt;=$D$16,$D$15*Resumo!$F$13,0)+IF(B38&lt;=$D$16,25,0)-IF(AND($D$16&gt;3,B38&lt;=$D$16),K38,0)</f>
        <v>289905.76277657232</v>
      </c>
      <c r="H38" s="42">
        <f ca="1">IF(AND(B38&lt;&gt;"",L38&lt;&gt;$D$17,$D$16&gt;3),G38*Resumo!$F$12,IF(AND(B38&lt;&gt;"",L38&lt;&gt;$D$17,B38&gt;$D$16),G38*Resumo!$F$12,0))</f>
        <v>60.880210183080187</v>
      </c>
      <c r="I38" s="42">
        <f>IF(AND(B38&lt;&gt;"",L38&lt;&gt;$D$17,$D$16&gt;3,$B38&lt;=$D$16),$D$15*Resumo!$F$13,IF(AND(B38&lt;&gt;"",L38&lt;&gt;$D$17,B38&gt;$D$16),$D$15*Resumo!$F$13,0))</f>
        <v>34.369999999999997</v>
      </c>
      <c r="J38" s="42">
        <f>IF(AND(B38&lt;&gt;"",L38&lt;&gt;$D$17,$D$16&gt;3,$B38&lt;=$D$16),Resumo!$F$11,IF(AND(B38&lt;&gt;"",L38&lt;&gt;$D$17,B38&gt;$D$16),Resumo!$F$11,0))</f>
        <v>25</v>
      </c>
      <c r="K38" s="42">
        <f t="shared" ca="1" si="2"/>
        <v>2940.0894027714844</v>
      </c>
      <c r="L38" s="39" t="str">
        <f>IF(B38&lt;&gt;"",VLOOKUP(MONTH(C38),Sheet2!$F$1:$G$12,2,0),"")</f>
        <v>Novembro</v>
      </c>
      <c r="M38" s="200">
        <f t="shared" ca="1" si="8"/>
        <v>0</v>
      </c>
      <c r="N38" s="40">
        <f t="shared" ca="1" si="9"/>
        <v>2819.8391925884043</v>
      </c>
      <c r="O38" s="40">
        <f t="shared" ca="1" si="3"/>
        <v>2940.0894027714844</v>
      </c>
      <c r="P38" s="40"/>
      <c r="Q38" s="20">
        <f t="shared" ca="1" si="10"/>
        <v>834.89136490250701</v>
      </c>
      <c r="R38" s="1">
        <f t="shared" si="4"/>
        <v>498</v>
      </c>
      <c r="S38" s="243">
        <f>IF(AND($K$2&gt;=DATEVALUE("03/04/2020"),$K$2&lt;=DATEVALUE("31/12/2020")),0,IF(Resumo!$C$19="PF",IF(R38&lt;360,0.0082%*R38,3%),IF(R38&lt;360,0.0041%*R38,1.5%)))</f>
        <v>1.4999999999999999E-2</v>
      </c>
      <c r="T38" s="172">
        <f t="shared" ca="1" si="11"/>
        <v>12.523370473537605</v>
      </c>
      <c r="X38" s="20">
        <f t="shared" ca="1" si="12"/>
        <v>2819.8391925884043</v>
      </c>
    </row>
    <row r="39" spans="2:24">
      <c r="B39" s="37">
        <f t="shared" si="5"/>
        <v>17</v>
      </c>
      <c r="C39" s="163">
        <f t="shared" si="6"/>
        <v>45275</v>
      </c>
      <c r="D39" s="38">
        <f t="shared" ca="1" si="0"/>
        <v>842.74931039701278</v>
      </c>
      <c r="E39" s="38">
        <f t="shared" ca="1" si="7"/>
        <v>1971.3591868806916</v>
      </c>
      <c r="F39" s="38">
        <f t="shared" ca="1" si="1"/>
        <v>2814.1084972777044</v>
      </c>
      <c r="G39" s="38">
        <f ca="1">IF(B39&lt;=$D$16,G38*(1+$D$13)^((C39-C38)/_xlfn.DAYS(EDATE(C38,1),C38)),G38-D39)+IF(B39&lt;=$D$16,G38*Resumo!$F$12,0)+IF(B39&lt;=$D$16,$D$15*Resumo!$F$13,0)+IF(B39&lt;=$D$16,25,0)-IF(AND($D$16&gt;3,B39&lt;=$D$16),K39,0)</f>
        <v>289063.0134661753</v>
      </c>
      <c r="H39" s="38">
        <f ca="1">IF(AND(B39&lt;&gt;"",L39&lt;&gt;$D$17,$D$16&gt;3),G39*Resumo!$F$12,IF(AND(B39&lt;&gt;"",L39&lt;&gt;$D$17,B39&gt;$D$16),G39*Resumo!$F$12,0))</f>
        <v>60.703232827896812</v>
      </c>
      <c r="I39" s="38">
        <f>IF(AND(B39&lt;&gt;"",L39&lt;&gt;$D$17,$D$16&gt;3,$B39&lt;=$D$16),$D$15*Resumo!$F$13,IF(AND(B39&lt;&gt;"",L39&lt;&gt;$D$17,B39&gt;$D$16),$D$15*Resumo!$F$13,0))</f>
        <v>34.369999999999997</v>
      </c>
      <c r="J39" s="38">
        <f>IF(AND(B39&lt;&gt;"",L39&lt;&gt;$D$17,$D$16&gt;3,$B39&lt;=$D$16),Resumo!$F$11,IF(AND(B39&lt;&gt;"",L39&lt;&gt;$D$17,B39&gt;$D$16),Resumo!$F$11,0))</f>
        <v>25</v>
      </c>
      <c r="K39" s="38">
        <f t="shared" ca="1" si="2"/>
        <v>2934.1817301056012</v>
      </c>
      <c r="L39" s="39" t="str">
        <f>IF(B39&lt;&gt;"",VLOOKUP(MONTH(C39),Sheet2!$F$1:$G$12,2,0),"")</f>
        <v>Dezembro</v>
      </c>
      <c r="M39" s="200">
        <f t="shared" ca="1" si="8"/>
        <v>0</v>
      </c>
      <c r="N39" s="40">
        <f t="shared" ca="1" si="9"/>
        <v>2814.1084972777044</v>
      </c>
      <c r="O39" s="40">
        <f t="shared" ca="1" si="3"/>
        <v>2934.1817301056012</v>
      </c>
      <c r="P39" s="40"/>
      <c r="Q39" s="20">
        <f t="shared" ca="1" si="10"/>
        <v>834.89136490250701</v>
      </c>
      <c r="R39" s="1">
        <f t="shared" si="4"/>
        <v>528</v>
      </c>
      <c r="S39" s="243">
        <f>IF(AND($K$2&gt;=DATEVALUE("03/04/2020"),$K$2&lt;=DATEVALUE("31/12/2020")),0,IF(Resumo!$C$19="PF",IF(R39&lt;360,0.0082%*R39,3%),IF(R39&lt;360,0.0041%*R39,1.5%)))</f>
        <v>1.4999999999999999E-2</v>
      </c>
      <c r="T39" s="172">
        <f t="shared" ca="1" si="11"/>
        <v>12.523370473537605</v>
      </c>
      <c r="X39" s="20">
        <f t="shared" ca="1" si="12"/>
        <v>2814.1084972777044</v>
      </c>
    </row>
    <row r="40" spans="2:24">
      <c r="B40" s="41">
        <f t="shared" si="5"/>
        <v>18</v>
      </c>
      <c r="C40" s="164">
        <f t="shared" si="6"/>
        <v>45306</v>
      </c>
      <c r="D40" s="42">
        <f t="shared" ca="1" si="0"/>
        <v>842.74931039701278</v>
      </c>
      <c r="E40" s="42">
        <f t="shared" ca="1" si="7"/>
        <v>1965.6284915699919</v>
      </c>
      <c r="F40" s="42">
        <f t="shared" ca="1" si="1"/>
        <v>2808.3778019670044</v>
      </c>
      <c r="G40" s="42">
        <f ca="1">IF(B40&lt;=$D$16,G39*(1+$D$13)^((C40-C39)/_xlfn.DAYS(EDATE(C39,1),C39)),G39-D40)+IF(B40&lt;=$D$16,G39*Resumo!$F$12,0)+IF(B40&lt;=$D$16,$D$15*Resumo!$F$13,0)+IF(B40&lt;=$D$16,25,0)-IF(AND($D$16&gt;3,B40&lt;=$D$16),K40,0)</f>
        <v>288220.26415577828</v>
      </c>
      <c r="H40" s="42">
        <f ca="1">IF(AND(B40&lt;&gt;"",L40&lt;&gt;$D$17,$D$16&gt;3),G40*Resumo!$F$12,IF(AND(B40&lt;&gt;"",L40&lt;&gt;$D$17,B40&gt;$D$16),G40*Resumo!$F$12,0))</f>
        <v>60.526255472713437</v>
      </c>
      <c r="I40" s="42">
        <f>IF(AND(B40&lt;&gt;"",L40&lt;&gt;$D$17,$D$16&gt;3,$B40&lt;=$D$16),$D$15*Resumo!$F$13,IF(AND(B40&lt;&gt;"",L40&lt;&gt;$D$17,B40&gt;$D$16),$D$15*Resumo!$F$13,0))</f>
        <v>34.369999999999997</v>
      </c>
      <c r="J40" s="42">
        <f>IF(AND(B40&lt;&gt;"",L40&lt;&gt;$D$17,$D$16&gt;3,$B40&lt;=$D$16),Resumo!$F$11,IF(AND(B40&lt;&gt;"",L40&lt;&gt;$D$17,B40&gt;$D$16),Resumo!$F$11,0))</f>
        <v>25</v>
      </c>
      <c r="K40" s="42">
        <f t="shared" ca="1" si="2"/>
        <v>2928.2740574397176</v>
      </c>
      <c r="L40" s="39" t="str">
        <f>IF(B40&lt;&gt;"",VLOOKUP(MONTH(C40),Sheet2!$F$1:$G$12,2,0),"")</f>
        <v>Janeiro</v>
      </c>
      <c r="M40" s="200">
        <f t="shared" ca="1" si="8"/>
        <v>0</v>
      </c>
      <c r="N40" s="40">
        <f t="shared" ca="1" si="9"/>
        <v>2808.3778019670044</v>
      </c>
      <c r="O40" s="40">
        <f t="shared" ca="1" si="3"/>
        <v>2928.2740574397176</v>
      </c>
      <c r="P40" s="40"/>
      <c r="Q40" s="20">
        <f t="shared" ca="1" si="10"/>
        <v>834.89136490250701</v>
      </c>
      <c r="R40" s="1">
        <f t="shared" si="4"/>
        <v>559</v>
      </c>
      <c r="S40" s="243">
        <f>IF(AND($K$2&gt;=DATEVALUE("03/04/2020"),$K$2&lt;=DATEVALUE("31/12/2020")),0,IF(Resumo!$C$19="PF",IF(R40&lt;360,0.0082%*R40,3%),IF(R40&lt;360,0.0041%*R40,1.5%)))</f>
        <v>1.4999999999999999E-2</v>
      </c>
      <c r="T40" s="172">
        <f t="shared" ca="1" si="11"/>
        <v>12.523370473537605</v>
      </c>
      <c r="X40" s="20">
        <f t="shared" ca="1" si="12"/>
        <v>2808.3778019670044</v>
      </c>
    </row>
    <row r="41" spans="2:24">
      <c r="B41" s="37">
        <f t="shared" si="5"/>
        <v>19</v>
      </c>
      <c r="C41" s="163">
        <f t="shared" si="6"/>
        <v>45337</v>
      </c>
      <c r="D41" s="38">
        <f t="shared" ca="1" si="0"/>
        <v>842.74931039701278</v>
      </c>
      <c r="E41" s="38">
        <f t="shared" ca="1" si="7"/>
        <v>1959.8977962592921</v>
      </c>
      <c r="F41" s="38">
        <f t="shared" ca="1" si="1"/>
        <v>2802.6471066563049</v>
      </c>
      <c r="G41" s="38">
        <f ca="1">IF(B41&lt;=$D$16,G40*(1+$D$13)^((C41-C40)/_xlfn.DAYS(EDATE(C40,1),C40)),G40-D41)+IF(B41&lt;=$D$16,G40*Resumo!$F$12,0)+IF(B41&lt;=$D$16,$D$15*Resumo!$F$13,0)+IF(B41&lt;=$D$16,25,0)-IF(AND($D$16&gt;3,B41&lt;=$D$16),K41,0)</f>
        <v>287377.51484538126</v>
      </c>
      <c r="H41" s="38">
        <f ca="1">IF(AND(B41&lt;&gt;"",L41&lt;&gt;$D$17,$D$16&gt;3),G41*Resumo!$F$12,IF(AND(B41&lt;&gt;"",L41&lt;&gt;$D$17,B41&gt;$D$16),G41*Resumo!$F$12,0))</f>
        <v>60.349278117530069</v>
      </c>
      <c r="I41" s="38">
        <f>IF(AND(B41&lt;&gt;"",L41&lt;&gt;$D$17,$D$16&gt;3,$B41&lt;=$D$16),$D$15*Resumo!$F$13,IF(AND(B41&lt;&gt;"",L41&lt;&gt;$D$17,B41&gt;$D$16),$D$15*Resumo!$F$13,0))</f>
        <v>34.369999999999997</v>
      </c>
      <c r="J41" s="38">
        <f>IF(AND(B41&lt;&gt;"",L41&lt;&gt;$D$17,$D$16&gt;3,$B41&lt;=$D$16),Resumo!$F$11,IF(AND(B41&lt;&gt;"",L41&lt;&gt;$D$17,B41&gt;$D$16),Resumo!$F$11,0))</f>
        <v>25</v>
      </c>
      <c r="K41" s="38">
        <f t="shared" ca="1" si="2"/>
        <v>2922.3663847738349</v>
      </c>
      <c r="L41" s="39" t="str">
        <f>IF(B41&lt;&gt;"",VLOOKUP(MONTH(C41),Sheet2!$F$1:$G$12,2,0),"")</f>
        <v>Fevereiro</v>
      </c>
      <c r="M41" s="200">
        <f t="shared" ca="1" si="8"/>
        <v>0</v>
      </c>
      <c r="N41" s="40">
        <f t="shared" ca="1" si="9"/>
        <v>2802.6471066563049</v>
      </c>
      <c r="O41" s="40">
        <f t="shared" ca="1" si="3"/>
        <v>2922.3663847738349</v>
      </c>
      <c r="P41" s="40"/>
      <c r="Q41" s="20">
        <f t="shared" ca="1" si="10"/>
        <v>834.89136490250701</v>
      </c>
      <c r="R41" s="1">
        <f t="shared" si="4"/>
        <v>590</v>
      </c>
      <c r="S41" s="243">
        <f>IF(AND($K$2&gt;=DATEVALUE("03/04/2020"),$K$2&lt;=DATEVALUE("31/12/2020")),0,IF(Resumo!$C$19="PF",IF(R41&lt;360,0.0082%*R41,3%),IF(R41&lt;360,0.0041%*R41,1.5%)))</f>
        <v>1.4999999999999999E-2</v>
      </c>
      <c r="T41" s="172">
        <f t="shared" ca="1" si="11"/>
        <v>12.523370473537605</v>
      </c>
      <c r="X41" s="20">
        <f t="shared" ca="1" si="12"/>
        <v>2802.6471066563049</v>
      </c>
    </row>
    <row r="42" spans="2:24">
      <c r="B42" s="41">
        <f t="shared" si="5"/>
        <v>20</v>
      </c>
      <c r="C42" s="164">
        <f t="shared" si="6"/>
        <v>45366</v>
      </c>
      <c r="D42" s="42">
        <f t="shared" ca="1" si="0"/>
        <v>842.74931039701278</v>
      </c>
      <c r="E42" s="42">
        <f t="shared" ca="1" si="7"/>
        <v>1954.1671009485924</v>
      </c>
      <c r="F42" s="42">
        <f t="shared" ca="1" si="1"/>
        <v>2796.9164113456054</v>
      </c>
      <c r="G42" s="42">
        <f ca="1">IF(B42&lt;=$D$16,G41*(1+$D$13)^((C42-C41)/_xlfn.DAYS(EDATE(C41,1),C41)),G41-D42)+IF(B42&lt;=$D$16,G41*Resumo!$F$12,0)+IF(B42&lt;=$D$16,$D$15*Resumo!$F$13,0)+IF(B42&lt;=$D$16,25,0)-IF(AND($D$16&gt;3,B42&lt;=$D$16),K42,0)</f>
        <v>286534.76553498424</v>
      </c>
      <c r="H42" s="42">
        <f ca="1">IF(AND(B42&lt;&gt;"",L42&lt;&gt;$D$17,$D$16&gt;3),G42*Resumo!$F$12,IF(AND(B42&lt;&gt;"",L42&lt;&gt;$D$17,B42&gt;$D$16),G42*Resumo!$F$12,0))</f>
        <v>60.172300762346694</v>
      </c>
      <c r="I42" s="42">
        <f>IF(AND(B42&lt;&gt;"",L42&lt;&gt;$D$17,$D$16&gt;3,$B42&lt;=$D$16),$D$15*Resumo!$F$13,IF(AND(B42&lt;&gt;"",L42&lt;&gt;$D$17,B42&gt;$D$16),$D$15*Resumo!$F$13,0))</f>
        <v>34.369999999999997</v>
      </c>
      <c r="J42" s="42">
        <f>IF(AND(B42&lt;&gt;"",L42&lt;&gt;$D$17,$D$16&gt;3,$B42&lt;=$D$16),Resumo!$F$11,IF(AND(B42&lt;&gt;"",L42&lt;&gt;$D$17,B42&gt;$D$16),Resumo!$F$11,0))</f>
        <v>25</v>
      </c>
      <c r="K42" s="42">
        <f t="shared" ca="1" si="2"/>
        <v>2916.4587121079521</v>
      </c>
      <c r="L42" s="39" t="str">
        <f>IF(B42&lt;&gt;"",VLOOKUP(MONTH(C42),Sheet2!$F$1:$G$12,2,0),"")</f>
        <v>Março</v>
      </c>
      <c r="M42" s="200">
        <f t="shared" ca="1" si="8"/>
        <v>0</v>
      </c>
      <c r="N42" s="40">
        <f t="shared" ca="1" si="9"/>
        <v>2796.9164113456054</v>
      </c>
      <c r="O42" s="40">
        <f t="shared" ca="1" si="3"/>
        <v>2916.4587121079521</v>
      </c>
      <c r="P42" s="40"/>
      <c r="Q42" s="20">
        <f t="shared" ca="1" si="10"/>
        <v>834.89136490250701</v>
      </c>
      <c r="R42" s="1">
        <f t="shared" si="4"/>
        <v>619</v>
      </c>
      <c r="S42" s="243">
        <f>IF(AND($K$2&gt;=DATEVALUE("03/04/2020"),$K$2&lt;=DATEVALUE("31/12/2020")),0,IF(Resumo!$C$19="PF",IF(R42&lt;360,0.0082%*R42,3%),IF(R42&lt;360,0.0041%*R42,1.5%)))</f>
        <v>1.4999999999999999E-2</v>
      </c>
      <c r="T42" s="172">
        <f t="shared" ca="1" si="11"/>
        <v>12.523370473537605</v>
      </c>
      <c r="X42" s="20">
        <f t="shared" ca="1" si="12"/>
        <v>2796.9164113456054</v>
      </c>
    </row>
    <row r="43" spans="2:24">
      <c r="B43" s="37">
        <f t="shared" si="5"/>
        <v>21</v>
      </c>
      <c r="C43" s="163">
        <f t="shared" si="6"/>
        <v>45397</v>
      </c>
      <c r="D43" s="38">
        <f t="shared" ca="1" si="0"/>
        <v>842.74931039701278</v>
      </c>
      <c r="E43" s="38">
        <f t="shared" ca="1" si="7"/>
        <v>1948.4364056378927</v>
      </c>
      <c r="F43" s="38">
        <f t="shared" ca="1" si="1"/>
        <v>2791.1857160349055</v>
      </c>
      <c r="G43" s="38">
        <f ca="1">IF(B43&lt;=$D$16,G42*(1+$D$13)^((C43-C42)/_xlfn.DAYS(EDATE(C42,1),C42)),G42-D43)+IF(B43&lt;=$D$16,G42*Resumo!$F$12,0)+IF(B43&lt;=$D$16,$D$15*Resumo!$F$13,0)+IF(B43&lt;=$D$16,25,0)-IF(AND($D$16&gt;3,B43&lt;=$D$16),K43,0)</f>
        <v>285692.01622458722</v>
      </c>
      <c r="H43" s="38">
        <f ca="1">IF(AND(B43&lt;&gt;"",L43&lt;&gt;$D$17,$D$16&gt;3),G43*Resumo!$F$12,IF(AND(B43&lt;&gt;"",L43&lt;&gt;$D$17,B43&gt;$D$16),G43*Resumo!$F$12,0))</f>
        <v>59.995323407163319</v>
      </c>
      <c r="I43" s="38">
        <f>IF(AND(B43&lt;&gt;"",L43&lt;&gt;$D$17,$D$16&gt;3,$B43&lt;=$D$16),$D$15*Resumo!$F$13,IF(AND(B43&lt;&gt;"",L43&lt;&gt;$D$17,B43&gt;$D$16),$D$15*Resumo!$F$13,0))</f>
        <v>34.369999999999997</v>
      </c>
      <c r="J43" s="38">
        <f>IF(AND(B43&lt;&gt;"",L43&lt;&gt;$D$17,$D$16&gt;3,$B43&lt;=$D$16),Resumo!$F$11,IF(AND(B43&lt;&gt;"",L43&lt;&gt;$D$17,B43&gt;$D$16),Resumo!$F$11,0))</f>
        <v>25</v>
      </c>
      <c r="K43" s="38">
        <f t="shared" ca="1" si="2"/>
        <v>2910.5510394420685</v>
      </c>
      <c r="L43" s="39" t="str">
        <f>IF(B43&lt;&gt;"",VLOOKUP(MONTH(C43),Sheet2!$F$1:$G$12,2,0),"")</f>
        <v>Abril</v>
      </c>
      <c r="M43" s="200">
        <f t="shared" ca="1" si="8"/>
        <v>0</v>
      </c>
      <c r="N43" s="40">
        <f t="shared" ca="1" si="9"/>
        <v>2791.1857160349055</v>
      </c>
      <c r="O43" s="40">
        <f t="shared" ca="1" si="3"/>
        <v>2910.5510394420685</v>
      </c>
      <c r="P43" s="40"/>
      <c r="Q43" s="20">
        <f t="shared" ca="1" si="10"/>
        <v>834.89136490250701</v>
      </c>
      <c r="R43" s="1">
        <f t="shared" si="4"/>
        <v>650</v>
      </c>
      <c r="S43" s="243">
        <f>IF(AND($K$2&gt;=DATEVALUE("03/04/2020"),$K$2&lt;=DATEVALUE("31/12/2020")),0,IF(Resumo!$C$19="PF",IF(R43&lt;360,0.0082%*R43,3%),IF(R43&lt;360,0.0041%*R43,1.5%)))</f>
        <v>1.4999999999999999E-2</v>
      </c>
      <c r="T43" s="172">
        <f t="shared" ca="1" si="11"/>
        <v>12.523370473537605</v>
      </c>
      <c r="X43" s="20">
        <f t="shared" ca="1" si="12"/>
        <v>2791.1857160349055</v>
      </c>
    </row>
    <row r="44" spans="2:24">
      <c r="B44" s="41">
        <f t="shared" si="5"/>
        <v>22</v>
      </c>
      <c r="C44" s="164">
        <f t="shared" si="6"/>
        <v>45427</v>
      </c>
      <c r="D44" s="42">
        <f t="shared" ca="1" si="0"/>
        <v>842.74931039701278</v>
      </c>
      <c r="E44" s="42">
        <f t="shared" ca="1" si="7"/>
        <v>1942.7057103271929</v>
      </c>
      <c r="F44" s="42">
        <f t="shared" ca="1" si="1"/>
        <v>2785.4550207242055</v>
      </c>
      <c r="G44" s="42">
        <f ca="1">IF(B44&lt;=$D$16,G43*(1+$D$13)^((C44-C43)/_xlfn.DAYS(EDATE(C43,1),C43)),G43-D44)+IF(B44&lt;=$D$16,G43*Resumo!$F$12,0)+IF(B44&lt;=$D$16,$D$15*Resumo!$F$13,0)+IF(B44&lt;=$D$16,25,0)-IF(AND($D$16&gt;3,B44&lt;=$D$16),K44,0)</f>
        <v>284849.2669141902</v>
      </c>
      <c r="H44" s="42">
        <f ca="1">IF(AND(B44&lt;&gt;"",L44&lt;&gt;$D$17,$D$16&gt;3),G44*Resumo!$F$12,IF(AND(B44&lt;&gt;"",L44&lt;&gt;$D$17,B44&gt;$D$16),G44*Resumo!$F$12,0))</f>
        <v>59.818346051979944</v>
      </c>
      <c r="I44" s="42">
        <f>IF(AND(B44&lt;&gt;"",L44&lt;&gt;$D$17,$D$16&gt;3,$B44&lt;=$D$16),$D$15*Resumo!$F$13,IF(AND(B44&lt;&gt;"",L44&lt;&gt;$D$17,B44&gt;$D$16),$D$15*Resumo!$F$13,0))</f>
        <v>34.369999999999997</v>
      </c>
      <c r="J44" s="42">
        <f>IF(AND(B44&lt;&gt;"",L44&lt;&gt;$D$17,$D$16&gt;3,$B44&lt;=$D$16),Resumo!$F$11,IF(AND(B44&lt;&gt;"",L44&lt;&gt;$D$17,B44&gt;$D$16),Resumo!$F$11,0))</f>
        <v>25</v>
      </c>
      <c r="K44" s="42">
        <f t="shared" ca="1" si="2"/>
        <v>2904.6433667761853</v>
      </c>
      <c r="L44" s="39" t="str">
        <f>IF(B44&lt;&gt;"",VLOOKUP(MONTH(C44),Sheet2!$F$1:$G$12,2,0),"")</f>
        <v>Maio</v>
      </c>
      <c r="M44" s="200">
        <f t="shared" ca="1" si="8"/>
        <v>0</v>
      </c>
      <c r="N44" s="40">
        <f t="shared" ca="1" si="9"/>
        <v>2785.4550207242055</v>
      </c>
      <c r="O44" s="40">
        <f t="shared" ca="1" si="3"/>
        <v>2904.6433667761853</v>
      </c>
      <c r="P44" s="40"/>
      <c r="Q44" s="20">
        <f t="shared" ca="1" si="10"/>
        <v>834.89136490250701</v>
      </c>
      <c r="R44" s="1">
        <f t="shared" si="4"/>
        <v>680</v>
      </c>
      <c r="S44" s="243">
        <f>IF(AND($K$2&gt;=DATEVALUE("03/04/2020"),$K$2&lt;=DATEVALUE("31/12/2020")),0,IF(Resumo!$C$19="PF",IF(R44&lt;360,0.0082%*R44,3%),IF(R44&lt;360,0.0041%*R44,1.5%)))</f>
        <v>1.4999999999999999E-2</v>
      </c>
      <c r="T44" s="172">
        <f t="shared" ca="1" si="11"/>
        <v>12.523370473537605</v>
      </c>
      <c r="X44" s="20">
        <f t="shared" ca="1" si="12"/>
        <v>2785.4550207242055</v>
      </c>
    </row>
    <row r="45" spans="2:24">
      <c r="B45" s="37">
        <f t="shared" si="5"/>
        <v>23</v>
      </c>
      <c r="C45" s="163">
        <f t="shared" si="6"/>
        <v>45458</v>
      </c>
      <c r="D45" s="38">
        <f t="shared" ca="1" si="0"/>
        <v>842.74931039701278</v>
      </c>
      <c r="E45" s="38">
        <f t="shared" ca="1" si="7"/>
        <v>1936.9750150164932</v>
      </c>
      <c r="F45" s="38">
        <f t="shared" ca="1" si="1"/>
        <v>2779.724325413506</v>
      </c>
      <c r="G45" s="38">
        <f ca="1">IF(B45&lt;=$D$16,G44*(1+$D$13)^((C45-C44)/_xlfn.DAYS(EDATE(C44,1),C44)),G44-D45)+IF(B45&lt;=$D$16,G44*Resumo!$F$12,0)+IF(B45&lt;=$D$16,$D$15*Resumo!$F$13,0)+IF(B45&lt;=$D$16,25,0)-IF(AND($D$16&gt;3,B45&lt;=$D$16),K45,0)</f>
        <v>284006.51760379318</v>
      </c>
      <c r="H45" s="38">
        <f ca="1">IF(AND(B45&lt;&gt;"",L45&lt;&gt;$D$17,$D$16&gt;3),G45*Resumo!$F$12,IF(AND(B45&lt;&gt;"",L45&lt;&gt;$D$17,B45&gt;$D$16),G45*Resumo!$F$12,0))</f>
        <v>59.641368696796569</v>
      </c>
      <c r="I45" s="38">
        <f>IF(AND(B45&lt;&gt;"",L45&lt;&gt;$D$17,$D$16&gt;3,$B45&lt;=$D$16),$D$15*Resumo!$F$13,IF(AND(B45&lt;&gt;"",L45&lt;&gt;$D$17,B45&gt;$D$16),$D$15*Resumo!$F$13,0))</f>
        <v>34.369999999999997</v>
      </c>
      <c r="J45" s="38">
        <f>IF(AND(B45&lt;&gt;"",L45&lt;&gt;$D$17,$D$16&gt;3,$B45&lt;=$D$16),Resumo!$F$11,IF(AND(B45&lt;&gt;"",L45&lt;&gt;$D$17,B45&gt;$D$16),Resumo!$F$11,0))</f>
        <v>25</v>
      </c>
      <c r="K45" s="38">
        <f t="shared" ca="1" si="2"/>
        <v>2898.7356941103026</v>
      </c>
      <c r="L45" s="39" t="str">
        <f>IF(B45&lt;&gt;"",VLOOKUP(MONTH(C45),Sheet2!$F$1:$G$12,2,0),"")</f>
        <v>Junho</v>
      </c>
      <c r="M45" s="200">
        <f t="shared" ca="1" si="8"/>
        <v>0</v>
      </c>
      <c r="N45" s="40">
        <f t="shared" ca="1" si="9"/>
        <v>2779.724325413506</v>
      </c>
      <c r="O45" s="40">
        <f t="shared" ca="1" si="3"/>
        <v>2898.7356941103026</v>
      </c>
      <c r="P45" s="40"/>
      <c r="Q45" s="20">
        <f t="shared" ca="1" si="10"/>
        <v>834.89136490250701</v>
      </c>
      <c r="R45" s="1">
        <f t="shared" si="4"/>
        <v>711</v>
      </c>
      <c r="S45" s="243">
        <f>IF(AND($K$2&gt;=DATEVALUE("03/04/2020"),$K$2&lt;=DATEVALUE("31/12/2020")),0,IF(Resumo!$C$19="PF",IF(R45&lt;360,0.0082%*R45,3%),IF(R45&lt;360,0.0041%*R45,1.5%)))</f>
        <v>1.4999999999999999E-2</v>
      </c>
      <c r="T45" s="172">
        <f t="shared" ca="1" si="11"/>
        <v>12.523370473537605</v>
      </c>
      <c r="X45" s="20">
        <f t="shared" ca="1" si="12"/>
        <v>2779.724325413506</v>
      </c>
    </row>
    <row r="46" spans="2:24">
      <c r="B46" s="41">
        <f t="shared" si="5"/>
        <v>24</v>
      </c>
      <c r="C46" s="164">
        <f t="shared" si="6"/>
        <v>45488</v>
      </c>
      <c r="D46" s="42">
        <f t="shared" ca="1" si="0"/>
        <v>842.74931039701278</v>
      </c>
      <c r="E46" s="42">
        <f t="shared" ca="1" si="7"/>
        <v>1931.2443197057935</v>
      </c>
      <c r="F46" s="42">
        <f t="shared" ca="1" si="1"/>
        <v>2773.9936301028065</v>
      </c>
      <c r="G46" s="42">
        <f ca="1">IF(B46&lt;=$D$16,G45*(1+$D$13)^((C46-C45)/_xlfn.DAYS(EDATE(C45,1),C45)),G45-D46)+IF(B46&lt;=$D$16,G45*Resumo!$F$12,0)+IF(B46&lt;=$D$16,$D$15*Resumo!$F$13,0)+IF(B46&lt;=$D$16,25,0)-IF(AND($D$16&gt;3,B46&lt;=$D$16),K46,0)</f>
        <v>283163.76829339616</v>
      </c>
      <c r="H46" s="42">
        <f ca="1">IF(AND(B46&lt;&gt;"",L46&lt;&gt;$D$17,$D$16&gt;3),G46*Resumo!$F$12,IF(AND(B46&lt;&gt;"",L46&lt;&gt;$D$17,B46&gt;$D$16),G46*Resumo!$F$12,0))</f>
        <v>59.464391341613194</v>
      </c>
      <c r="I46" s="42">
        <f>IF(AND(B46&lt;&gt;"",L46&lt;&gt;$D$17,$D$16&gt;3,$B46&lt;=$D$16),$D$15*Resumo!$F$13,IF(AND(B46&lt;&gt;"",L46&lt;&gt;$D$17,B46&gt;$D$16),$D$15*Resumo!$F$13,0))</f>
        <v>34.369999999999997</v>
      </c>
      <c r="J46" s="42">
        <f>IF(AND(B46&lt;&gt;"",L46&lt;&gt;$D$17,$D$16&gt;3,$B46&lt;=$D$16),Resumo!$F$11,IF(AND(B46&lt;&gt;"",L46&lt;&gt;$D$17,B46&gt;$D$16),Resumo!$F$11,0))</f>
        <v>25</v>
      </c>
      <c r="K46" s="42">
        <f t="shared" ca="1" si="2"/>
        <v>2892.8280214444194</v>
      </c>
      <c r="L46" s="39" t="str">
        <f>IF(B46&lt;&gt;"",VLOOKUP(MONTH(C46),Sheet2!$F$1:$G$12,2,0),"")</f>
        <v>Julho</v>
      </c>
      <c r="M46" s="200">
        <f t="shared" ca="1" si="8"/>
        <v>0</v>
      </c>
      <c r="N46" s="40">
        <f t="shared" ca="1" si="9"/>
        <v>2773.9936301028065</v>
      </c>
      <c r="O46" s="40">
        <f t="shared" ca="1" si="3"/>
        <v>2892.8280214444194</v>
      </c>
      <c r="P46" s="40"/>
      <c r="Q46" s="20">
        <f t="shared" ca="1" si="10"/>
        <v>834.89136490250701</v>
      </c>
      <c r="R46" s="1">
        <f t="shared" si="4"/>
        <v>741</v>
      </c>
      <c r="S46" s="243">
        <f>IF(AND($K$2&gt;=DATEVALUE("03/04/2020"),$K$2&lt;=DATEVALUE("31/12/2020")),0,IF(Resumo!$C$19="PF",IF(R46&lt;360,0.0082%*R46,3%),IF(R46&lt;360,0.0041%*R46,1.5%)))</f>
        <v>1.4999999999999999E-2</v>
      </c>
      <c r="T46" s="172">
        <f t="shared" ca="1" si="11"/>
        <v>12.523370473537605</v>
      </c>
      <c r="X46" s="20">
        <f t="shared" ca="1" si="12"/>
        <v>2773.9936301028065</v>
      </c>
    </row>
    <row r="47" spans="2:24">
      <c r="B47" s="37">
        <f t="shared" si="5"/>
        <v>25</v>
      </c>
      <c r="C47" s="163">
        <f t="shared" si="6"/>
        <v>45519</v>
      </c>
      <c r="D47" s="38">
        <f t="shared" ca="1" si="0"/>
        <v>842.74931039701278</v>
      </c>
      <c r="E47" s="38">
        <f t="shared" ca="1" si="7"/>
        <v>1925.5136243950938</v>
      </c>
      <c r="F47" s="38">
        <f t="shared" ca="1" si="1"/>
        <v>2768.2629347921065</v>
      </c>
      <c r="G47" s="38">
        <f ca="1">IF(B47&lt;=$D$16,G46*(1+$D$13)^((C47-C46)/_xlfn.DAYS(EDATE(C46,1),C46)),G46-D47)+IF(B47&lt;=$D$16,G46*Resumo!$F$12,0)+IF(B47&lt;=$D$16,$D$15*Resumo!$F$13,0)+IF(B47&lt;=$D$16,25,0)-IF(AND($D$16&gt;3,B47&lt;=$D$16),K47,0)</f>
        <v>282321.01898299914</v>
      </c>
      <c r="H47" s="38">
        <f ca="1">IF(AND(B47&lt;&gt;"",L47&lt;&gt;$D$17,$D$16&gt;3),G47*Resumo!$F$12,IF(AND(B47&lt;&gt;"",L47&lt;&gt;$D$17,B47&gt;$D$16),G47*Resumo!$F$12,0))</f>
        <v>59.287413986429826</v>
      </c>
      <c r="I47" s="38">
        <f>IF(AND(B47&lt;&gt;"",L47&lt;&gt;$D$17,$D$16&gt;3,$B47&lt;=$D$16),$D$15*Resumo!$F$13,IF(AND(B47&lt;&gt;"",L47&lt;&gt;$D$17,B47&gt;$D$16),$D$15*Resumo!$F$13,0))</f>
        <v>34.369999999999997</v>
      </c>
      <c r="J47" s="38">
        <f>IF(AND(B47&lt;&gt;"",L47&lt;&gt;$D$17,$D$16&gt;3,$B47&lt;=$D$16),Resumo!$F$11,IF(AND(B47&lt;&gt;"",L47&lt;&gt;$D$17,B47&gt;$D$16),Resumo!$F$11,0))</f>
        <v>25</v>
      </c>
      <c r="K47" s="38">
        <f t="shared" ca="1" si="2"/>
        <v>2886.9203487785362</v>
      </c>
      <c r="L47" s="39" t="str">
        <f>IF(B47&lt;&gt;"",VLOOKUP(MONTH(C47),Sheet2!$F$1:$G$12,2,0),"")</f>
        <v>Agosto</v>
      </c>
      <c r="M47" s="200">
        <f t="shared" ca="1" si="8"/>
        <v>0</v>
      </c>
      <c r="N47" s="40">
        <f t="shared" ca="1" si="9"/>
        <v>2768.2629347921065</v>
      </c>
      <c r="O47" s="40">
        <f t="shared" ca="1" si="3"/>
        <v>2886.9203487785362</v>
      </c>
      <c r="P47" s="40"/>
      <c r="Q47" s="20">
        <f t="shared" ca="1" si="10"/>
        <v>834.89136490250701</v>
      </c>
      <c r="R47" s="1">
        <f t="shared" si="4"/>
        <v>772</v>
      </c>
      <c r="S47" s="243">
        <f>IF(AND($K$2&gt;=DATEVALUE("03/04/2020"),$K$2&lt;=DATEVALUE("31/12/2020")),0,IF(Resumo!$C$19="PF",IF(R47&lt;360,0.0082%*R47,3%),IF(R47&lt;360,0.0041%*R47,1.5%)))</f>
        <v>1.4999999999999999E-2</v>
      </c>
      <c r="T47" s="172">
        <f t="shared" ca="1" si="11"/>
        <v>12.523370473537605</v>
      </c>
      <c r="X47" s="20">
        <f t="shared" ca="1" si="12"/>
        <v>2768.2629347921065</v>
      </c>
    </row>
    <row r="48" spans="2:24">
      <c r="B48" s="41">
        <f t="shared" si="5"/>
        <v>26</v>
      </c>
      <c r="C48" s="164">
        <f t="shared" si="6"/>
        <v>45550</v>
      </c>
      <c r="D48" s="42">
        <f t="shared" ca="1" si="0"/>
        <v>842.74931039701278</v>
      </c>
      <c r="E48" s="42">
        <f t="shared" ca="1" si="7"/>
        <v>1919.782929084394</v>
      </c>
      <c r="F48" s="42">
        <f t="shared" ca="1" si="1"/>
        <v>2762.5322394814066</v>
      </c>
      <c r="G48" s="42">
        <f ca="1">IF(B48&lt;=$D$16,G47*(1+$D$13)^((C48-C47)/_xlfn.DAYS(EDATE(C47,1),C47)),G47-D48)+IF(B48&lt;=$D$16,G47*Resumo!$F$12,0)+IF(B48&lt;=$D$16,$D$15*Resumo!$F$13,0)+IF(B48&lt;=$D$16,25,0)-IF(AND($D$16&gt;3,B48&lt;=$D$16),K48,0)</f>
        <v>281478.26967260212</v>
      </c>
      <c r="H48" s="42">
        <f ca="1">IF(AND(B48&lt;&gt;"",L48&lt;&gt;$D$17,$D$16&gt;3),G48*Resumo!$F$12,IF(AND(B48&lt;&gt;"",L48&lt;&gt;$D$17,B48&gt;$D$16),G48*Resumo!$F$12,0))</f>
        <v>59.110436631246451</v>
      </c>
      <c r="I48" s="42">
        <f>IF(AND(B48&lt;&gt;"",L48&lt;&gt;$D$17,$D$16&gt;3,$B48&lt;=$D$16),$D$15*Resumo!$F$13,IF(AND(B48&lt;&gt;"",L48&lt;&gt;$D$17,B48&gt;$D$16),$D$15*Resumo!$F$13,0))</f>
        <v>34.369999999999997</v>
      </c>
      <c r="J48" s="42">
        <f>IF(AND(B48&lt;&gt;"",L48&lt;&gt;$D$17,$D$16&gt;3,$B48&lt;=$D$16),Resumo!$F$11,IF(AND(B48&lt;&gt;"",L48&lt;&gt;$D$17,B48&gt;$D$16),Resumo!$F$11,0))</f>
        <v>25</v>
      </c>
      <c r="K48" s="42">
        <f t="shared" ca="1" si="2"/>
        <v>2881.012676112653</v>
      </c>
      <c r="L48" s="39" t="str">
        <f>IF(B48&lt;&gt;"",VLOOKUP(MONTH(C48),Sheet2!$F$1:$G$12,2,0),"")</f>
        <v>Setembro</v>
      </c>
      <c r="M48" s="200">
        <f t="shared" ca="1" si="8"/>
        <v>0</v>
      </c>
      <c r="N48" s="40">
        <f t="shared" ca="1" si="9"/>
        <v>2762.5322394814066</v>
      </c>
      <c r="O48" s="40">
        <f t="shared" ca="1" si="3"/>
        <v>2881.012676112653</v>
      </c>
      <c r="P48" s="40"/>
      <c r="Q48" s="20">
        <f t="shared" ca="1" si="10"/>
        <v>834.89136490250701</v>
      </c>
      <c r="R48" s="1">
        <f t="shared" si="4"/>
        <v>803</v>
      </c>
      <c r="S48" s="243">
        <f>IF(AND($K$2&gt;=DATEVALUE("03/04/2020"),$K$2&lt;=DATEVALUE("31/12/2020")),0,IF(Resumo!$C$19="PF",IF(R48&lt;360,0.0082%*R48,3%),IF(R48&lt;360,0.0041%*R48,1.5%)))</f>
        <v>1.4999999999999999E-2</v>
      </c>
      <c r="T48" s="172">
        <f t="shared" ca="1" si="11"/>
        <v>12.523370473537605</v>
      </c>
      <c r="X48" s="20">
        <f t="shared" ca="1" si="12"/>
        <v>2762.5322394814066</v>
      </c>
    </row>
    <row r="49" spans="2:24">
      <c r="B49" s="37">
        <f t="shared" si="5"/>
        <v>27</v>
      </c>
      <c r="C49" s="163">
        <f t="shared" si="6"/>
        <v>45580</v>
      </c>
      <c r="D49" s="38">
        <f t="shared" ca="1" si="0"/>
        <v>842.74931039701278</v>
      </c>
      <c r="E49" s="38">
        <f t="shared" ca="1" si="7"/>
        <v>1914.0522337736943</v>
      </c>
      <c r="F49" s="38">
        <f t="shared" ca="1" si="1"/>
        <v>2756.8015441707071</v>
      </c>
      <c r="G49" s="38">
        <f ca="1">IF(B49&lt;=$D$16,G48*(1+$D$13)^((C49-C48)/_xlfn.DAYS(EDATE(C48,1),C48)),G48-D49)+IF(B49&lt;=$D$16,G48*Resumo!$F$12,0)+IF(B49&lt;=$D$16,$D$15*Resumo!$F$13,0)+IF(B49&lt;=$D$16,25,0)-IF(AND($D$16&gt;3,B49&lt;=$D$16),K49,0)</f>
        <v>280635.5203622051</v>
      </c>
      <c r="H49" s="38">
        <f ca="1">IF(AND(B49&lt;&gt;"",L49&lt;&gt;$D$17,$D$16&gt;3),G49*Resumo!$F$12,IF(AND(B49&lt;&gt;"",L49&lt;&gt;$D$17,B49&gt;$D$16),G49*Resumo!$F$12,0))</f>
        <v>58.933459276063076</v>
      </c>
      <c r="I49" s="38">
        <f>IF(AND(B49&lt;&gt;"",L49&lt;&gt;$D$17,$D$16&gt;3,$B49&lt;=$D$16),$D$15*Resumo!$F$13,IF(AND(B49&lt;&gt;"",L49&lt;&gt;$D$17,B49&gt;$D$16),$D$15*Resumo!$F$13,0))</f>
        <v>34.369999999999997</v>
      </c>
      <c r="J49" s="38">
        <f>IF(AND(B49&lt;&gt;"",L49&lt;&gt;$D$17,$D$16&gt;3,$B49&lt;=$D$16),Resumo!$F$11,IF(AND(B49&lt;&gt;"",L49&lt;&gt;$D$17,B49&gt;$D$16),Resumo!$F$11,0))</f>
        <v>25</v>
      </c>
      <c r="K49" s="38">
        <f t="shared" ca="1" si="2"/>
        <v>2875.1050034467698</v>
      </c>
      <c r="L49" s="39" t="str">
        <f>IF(B49&lt;&gt;"",VLOOKUP(MONTH(C49),Sheet2!$F$1:$G$12,2,0),"")</f>
        <v>Outubro</v>
      </c>
      <c r="M49" s="200">
        <f t="shared" ca="1" si="8"/>
        <v>0</v>
      </c>
      <c r="N49" s="40">
        <f t="shared" ca="1" si="9"/>
        <v>2756.8015441707071</v>
      </c>
      <c r="O49" s="40">
        <f t="shared" ca="1" si="3"/>
        <v>2875.1050034467698</v>
      </c>
      <c r="P49" s="40"/>
      <c r="Q49" s="20">
        <f t="shared" ca="1" si="10"/>
        <v>834.89136490250701</v>
      </c>
      <c r="R49" s="1">
        <f t="shared" si="4"/>
        <v>833</v>
      </c>
      <c r="S49" s="243">
        <f>IF(AND($K$2&gt;=DATEVALUE("03/04/2020"),$K$2&lt;=DATEVALUE("31/12/2020")),0,IF(Resumo!$C$19="PF",IF(R49&lt;360,0.0082%*R49,3%),IF(R49&lt;360,0.0041%*R49,1.5%)))</f>
        <v>1.4999999999999999E-2</v>
      </c>
      <c r="T49" s="172">
        <f t="shared" ca="1" si="11"/>
        <v>12.523370473537605</v>
      </c>
      <c r="X49" s="20">
        <f t="shared" ca="1" si="12"/>
        <v>2756.8015441707071</v>
      </c>
    </row>
    <row r="50" spans="2:24">
      <c r="B50" s="41">
        <f t="shared" si="5"/>
        <v>28</v>
      </c>
      <c r="C50" s="164">
        <f t="shared" si="6"/>
        <v>45611</v>
      </c>
      <c r="D50" s="42">
        <f t="shared" ca="1" si="0"/>
        <v>842.74931039701278</v>
      </c>
      <c r="E50" s="42">
        <f t="shared" ca="1" si="7"/>
        <v>1908.3215384629946</v>
      </c>
      <c r="F50" s="42">
        <f t="shared" ca="1" si="1"/>
        <v>2751.0708488600076</v>
      </c>
      <c r="G50" s="42">
        <f ca="1">IF(B50&lt;=$D$16,G49*(1+$D$13)^((C50-C49)/_xlfn.DAYS(EDATE(C49,1),C49)),G49-D50)+IF(B50&lt;=$D$16,G49*Resumo!$F$12,0)+IF(B50&lt;=$D$16,$D$15*Resumo!$F$13,0)+IF(B50&lt;=$D$16,25,0)-IF(AND($D$16&gt;3,B50&lt;=$D$16),K50,0)</f>
        <v>279792.77105180809</v>
      </c>
      <c r="H50" s="42">
        <f ca="1">IF(AND(B50&lt;&gt;"",L50&lt;&gt;$D$17,$D$16&gt;3),G50*Resumo!$F$12,IF(AND(B50&lt;&gt;"",L50&lt;&gt;$D$17,B50&gt;$D$16),G50*Resumo!$F$12,0))</f>
        <v>58.7564819208797</v>
      </c>
      <c r="I50" s="42">
        <f>IF(AND(B50&lt;&gt;"",L50&lt;&gt;$D$17,$D$16&gt;3,$B50&lt;=$D$16),$D$15*Resumo!$F$13,IF(AND(B50&lt;&gt;"",L50&lt;&gt;$D$17,B50&gt;$D$16),$D$15*Resumo!$F$13,0))</f>
        <v>34.369999999999997</v>
      </c>
      <c r="J50" s="42">
        <f>IF(AND(B50&lt;&gt;"",L50&lt;&gt;$D$17,$D$16&gt;3,$B50&lt;=$D$16),Resumo!$F$11,IF(AND(B50&lt;&gt;"",L50&lt;&gt;$D$17,B50&gt;$D$16),Resumo!$F$11,0))</f>
        <v>25</v>
      </c>
      <c r="K50" s="42">
        <f t="shared" ca="1" si="2"/>
        <v>2869.1973307808871</v>
      </c>
      <c r="L50" s="39" t="str">
        <f>IF(B50&lt;&gt;"",VLOOKUP(MONTH(C50),Sheet2!$F$1:$G$12,2,0),"")</f>
        <v>Novembro</v>
      </c>
      <c r="M50" s="200">
        <f t="shared" ca="1" si="8"/>
        <v>0</v>
      </c>
      <c r="N50" s="40">
        <f t="shared" ca="1" si="9"/>
        <v>2751.0708488600076</v>
      </c>
      <c r="O50" s="40">
        <f t="shared" ca="1" si="3"/>
        <v>2869.1973307808871</v>
      </c>
      <c r="P50" s="40"/>
      <c r="Q50" s="20">
        <f t="shared" ca="1" si="10"/>
        <v>834.89136490250701</v>
      </c>
      <c r="R50" s="1">
        <f t="shared" si="4"/>
        <v>864</v>
      </c>
      <c r="S50" s="243">
        <f>IF(AND($K$2&gt;=DATEVALUE("03/04/2020"),$K$2&lt;=DATEVALUE("31/12/2020")),0,IF(Resumo!$C$19="PF",IF(R50&lt;360,0.0082%*R50,3%),IF(R50&lt;360,0.0041%*R50,1.5%)))</f>
        <v>1.4999999999999999E-2</v>
      </c>
      <c r="T50" s="172">
        <f t="shared" ca="1" si="11"/>
        <v>12.523370473537605</v>
      </c>
      <c r="X50" s="20">
        <f t="shared" ca="1" si="12"/>
        <v>2751.0708488600076</v>
      </c>
    </row>
    <row r="51" spans="2:24">
      <c r="B51" s="37">
        <f t="shared" si="5"/>
        <v>29</v>
      </c>
      <c r="C51" s="163">
        <f t="shared" si="6"/>
        <v>45641</v>
      </c>
      <c r="D51" s="38">
        <f t="shared" ca="1" si="0"/>
        <v>842.74931039701278</v>
      </c>
      <c r="E51" s="38">
        <f t="shared" ca="1" si="7"/>
        <v>1902.5908431522948</v>
      </c>
      <c r="F51" s="38">
        <f t="shared" ca="1" si="1"/>
        <v>2745.3401535493076</v>
      </c>
      <c r="G51" s="38">
        <f ca="1">IF(B51&lt;=$D$16,G50*(1+$D$13)^((C51-C50)/_xlfn.DAYS(EDATE(C50,1),C50)),G50-D51)+IF(B51&lt;=$D$16,G50*Resumo!$F$12,0)+IF(B51&lt;=$D$16,$D$15*Resumo!$F$13,0)+IF(B51&lt;=$D$16,25,0)-IF(AND($D$16&gt;3,B51&lt;=$D$16),K51,0)</f>
        <v>278950.02174141107</v>
      </c>
      <c r="H51" s="38">
        <f ca="1">IF(AND(B51&lt;&gt;"",L51&lt;&gt;$D$17,$D$16&gt;3),G51*Resumo!$F$12,IF(AND(B51&lt;&gt;"",L51&lt;&gt;$D$17,B51&gt;$D$16),G51*Resumo!$F$12,0))</f>
        <v>58.579504565696325</v>
      </c>
      <c r="I51" s="38">
        <f>IF(AND(B51&lt;&gt;"",L51&lt;&gt;$D$17,$D$16&gt;3,$B51&lt;=$D$16),$D$15*Resumo!$F$13,IF(AND(B51&lt;&gt;"",L51&lt;&gt;$D$17,B51&gt;$D$16),$D$15*Resumo!$F$13,0))</f>
        <v>34.369999999999997</v>
      </c>
      <c r="J51" s="38">
        <f>IF(AND(B51&lt;&gt;"",L51&lt;&gt;$D$17,$D$16&gt;3,$B51&lt;=$D$16),Resumo!$F$11,IF(AND(B51&lt;&gt;"",L51&lt;&gt;$D$17,B51&gt;$D$16),Resumo!$F$11,0))</f>
        <v>25</v>
      </c>
      <c r="K51" s="38">
        <f t="shared" ca="1" si="2"/>
        <v>2863.2896581150039</v>
      </c>
      <c r="L51" s="39" t="str">
        <f>IF(B51&lt;&gt;"",VLOOKUP(MONTH(C51),Sheet2!$F$1:$G$12,2,0),"")</f>
        <v>Dezembro</v>
      </c>
      <c r="M51" s="200">
        <f t="shared" ca="1" si="8"/>
        <v>0</v>
      </c>
      <c r="N51" s="40">
        <f t="shared" ca="1" si="9"/>
        <v>2745.3401535493076</v>
      </c>
      <c r="O51" s="40">
        <f t="shared" ca="1" si="3"/>
        <v>2863.2896581150039</v>
      </c>
      <c r="P51" s="40"/>
      <c r="Q51" s="20">
        <f t="shared" ca="1" si="10"/>
        <v>834.89136490250701</v>
      </c>
      <c r="R51" s="1">
        <f t="shared" si="4"/>
        <v>894</v>
      </c>
      <c r="S51" s="243">
        <f>IF(AND($K$2&gt;=DATEVALUE("03/04/2020"),$K$2&lt;=DATEVALUE("31/12/2020")),0,IF(Resumo!$C$19="PF",IF(R51&lt;360,0.0082%*R51,3%),IF(R51&lt;360,0.0041%*R51,1.5%)))</f>
        <v>1.4999999999999999E-2</v>
      </c>
      <c r="T51" s="172">
        <f t="shared" ca="1" si="11"/>
        <v>12.523370473537605</v>
      </c>
      <c r="X51" s="20">
        <f t="shared" ca="1" si="12"/>
        <v>2745.3401535493076</v>
      </c>
    </row>
    <row r="52" spans="2:24">
      <c r="B52" s="41">
        <f t="shared" si="5"/>
        <v>30</v>
      </c>
      <c r="C52" s="164">
        <f t="shared" si="6"/>
        <v>45672</v>
      </c>
      <c r="D52" s="42">
        <f t="shared" ca="1" si="0"/>
        <v>842.74931039701278</v>
      </c>
      <c r="E52" s="42">
        <f t="shared" ca="1" si="7"/>
        <v>1896.8601478415951</v>
      </c>
      <c r="F52" s="42">
        <f t="shared" ca="1" si="1"/>
        <v>2739.6094582386077</v>
      </c>
      <c r="G52" s="42">
        <f ca="1">IF(B52&lt;=$D$16,G51*(1+$D$13)^((C52-C51)/_xlfn.DAYS(EDATE(C51,1),C51)),G51-D52)+IF(B52&lt;=$D$16,G51*Resumo!$F$12,0)+IF(B52&lt;=$D$16,$D$15*Resumo!$F$13,0)+IF(B52&lt;=$D$16,25,0)-IF(AND($D$16&gt;3,B52&lt;=$D$16),K52,0)</f>
        <v>278107.27243101405</v>
      </c>
      <c r="H52" s="42">
        <f ca="1">IF(AND(B52&lt;&gt;"",L52&lt;&gt;$D$17,$D$16&gt;3),G52*Resumo!$F$12,IF(AND(B52&lt;&gt;"",L52&lt;&gt;$D$17,B52&gt;$D$16),G52*Resumo!$F$12,0))</f>
        <v>58.40252721051295</v>
      </c>
      <c r="I52" s="42">
        <f>IF(AND(B52&lt;&gt;"",L52&lt;&gt;$D$17,$D$16&gt;3,$B52&lt;=$D$16),$D$15*Resumo!$F$13,IF(AND(B52&lt;&gt;"",L52&lt;&gt;$D$17,B52&gt;$D$16),$D$15*Resumo!$F$13,0))</f>
        <v>34.369999999999997</v>
      </c>
      <c r="J52" s="42">
        <f>IF(AND(B52&lt;&gt;"",L52&lt;&gt;$D$17,$D$16&gt;3,$B52&lt;=$D$16),Resumo!$F$11,IF(AND(B52&lt;&gt;"",L52&lt;&gt;$D$17,B52&gt;$D$16),Resumo!$F$11,0))</f>
        <v>25</v>
      </c>
      <c r="K52" s="42">
        <f t="shared" ca="1" si="2"/>
        <v>2857.3819854491203</v>
      </c>
      <c r="L52" s="39" t="str">
        <f>IF(B52&lt;&gt;"",VLOOKUP(MONTH(C52),Sheet2!$F$1:$G$12,2,0),"")</f>
        <v>Janeiro</v>
      </c>
      <c r="M52" s="200">
        <f t="shared" ca="1" si="8"/>
        <v>0</v>
      </c>
      <c r="N52" s="40">
        <f t="shared" ca="1" si="9"/>
        <v>2739.6094582386077</v>
      </c>
      <c r="O52" s="40">
        <f t="shared" ca="1" si="3"/>
        <v>2857.3819854491203</v>
      </c>
      <c r="P52" s="40"/>
      <c r="Q52" s="20">
        <f t="shared" ca="1" si="10"/>
        <v>834.89136490250701</v>
      </c>
      <c r="R52" s="1">
        <f t="shared" si="4"/>
        <v>925</v>
      </c>
      <c r="S52" s="243">
        <f>IF(AND($K$2&gt;=DATEVALUE("03/04/2020"),$K$2&lt;=DATEVALUE("31/12/2020")),0,IF(Resumo!$C$19="PF",IF(R52&lt;360,0.0082%*R52,3%),IF(R52&lt;360,0.0041%*R52,1.5%)))</f>
        <v>1.4999999999999999E-2</v>
      </c>
      <c r="T52" s="172">
        <f t="shared" ca="1" si="11"/>
        <v>12.523370473537605</v>
      </c>
      <c r="X52" s="20">
        <f t="shared" ca="1" si="12"/>
        <v>2739.6094582386077</v>
      </c>
    </row>
    <row r="53" spans="2:24">
      <c r="B53" s="37">
        <f t="shared" si="5"/>
        <v>31</v>
      </c>
      <c r="C53" s="163">
        <f t="shared" si="6"/>
        <v>45703</v>
      </c>
      <c r="D53" s="38">
        <f t="shared" ca="1" si="0"/>
        <v>842.74931039701278</v>
      </c>
      <c r="E53" s="38">
        <f t="shared" ca="1" si="7"/>
        <v>1891.1294525308954</v>
      </c>
      <c r="F53" s="38">
        <f t="shared" ca="1" si="1"/>
        <v>2733.8787629279082</v>
      </c>
      <c r="G53" s="38">
        <f ca="1">IF(B53&lt;=$D$16,G52*(1+$D$13)^((C53-C52)/_xlfn.DAYS(EDATE(C52,1),C52)),G52-D53)+IF(B53&lt;=$D$16,G52*Resumo!$F$12,0)+IF(B53&lt;=$D$16,$D$15*Resumo!$F$13,0)+IF(B53&lt;=$D$16,25,0)-IF(AND($D$16&gt;3,B53&lt;=$D$16),K53,0)</f>
        <v>277264.52312061703</v>
      </c>
      <c r="H53" s="38">
        <f ca="1">IF(AND(B53&lt;&gt;"",L53&lt;&gt;$D$17,$D$16&gt;3),G53*Resumo!$F$12,IF(AND(B53&lt;&gt;"",L53&lt;&gt;$D$17,B53&gt;$D$16),G53*Resumo!$F$12,0))</f>
        <v>58.225549855329575</v>
      </c>
      <c r="I53" s="38">
        <f>IF(AND(B53&lt;&gt;"",L53&lt;&gt;$D$17,$D$16&gt;3,$B53&lt;=$D$16),$D$15*Resumo!$F$13,IF(AND(B53&lt;&gt;"",L53&lt;&gt;$D$17,B53&gt;$D$16),$D$15*Resumo!$F$13,0))</f>
        <v>34.369999999999997</v>
      </c>
      <c r="J53" s="38">
        <f>IF(AND(B53&lt;&gt;"",L53&lt;&gt;$D$17,$D$16&gt;3,$B53&lt;=$D$16),Resumo!$F$11,IF(AND(B53&lt;&gt;"",L53&lt;&gt;$D$17,B53&gt;$D$16),Resumo!$F$11,0))</f>
        <v>25</v>
      </c>
      <c r="K53" s="38">
        <f t="shared" ca="1" si="2"/>
        <v>2851.4743127832376</v>
      </c>
      <c r="L53" s="39" t="str">
        <f>IF(B53&lt;&gt;"",VLOOKUP(MONTH(C53),Sheet2!$F$1:$G$12,2,0),"")</f>
        <v>Fevereiro</v>
      </c>
      <c r="M53" s="200">
        <f t="shared" ca="1" si="8"/>
        <v>0</v>
      </c>
      <c r="N53" s="40">
        <f t="shared" ca="1" si="9"/>
        <v>2733.8787629279082</v>
      </c>
      <c r="O53" s="40">
        <f t="shared" ca="1" si="3"/>
        <v>2851.4743127832376</v>
      </c>
      <c r="P53" s="40"/>
      <c r="Q53" s="20">
        <f t="shared" ca="1" si="10"/>
        <v>834.89136490250701</v>
      </c>
      <c r="R53" s="1">
        <f t="shared" si="4"/>
        <v>956</v>
      </c>
      <c r="S53" s="243">
        <f>IF(AND($K$2&gt;=DATEVALUE("03/04/2020"),$K$2&lt;=DATEVALUE("31/12/2020")),0,IF(Resumo!$C$19="PF",IF(R53&lt;360,0.0082%*R53,3%),IF(R53&lt;360,0.0041%*R53,1.5%)))</f>
        <v>1.4999999999999999E-2</v>
      </c>
      <c r="T53" s="172">
        <f t="shared" ca="1" si="11"/>
        <v>12.523370473537605</v>
      </c>
      <c r="X53" s="20">
        <f t="shared" ca="1" si="12"/>
        <v>2733.8787629279082</v>
      </c>
    </row>
    <row r="54" spans="2:24">
      <c r="B54" s="41">
        <f t="shared" si="5"/>
        <v>32</v>
      </c>
      <c r="C54" s="164">
        <f t="shared" si="6"/>
        <v>45731</v>
      </c>
      <c r="D54" s="42">
        <f t="shared" ca="1" si="0"/>
        <v>842.74931039701278</v>
      </c>
      <c r="E54" s="42">
        <f t="shared" ca="1" si="7"/>
        <v>1885.3987572201956</v>
      </c>
      <c r="F54" s="42">
        <f t="shared" ca="1" si="1"/>
        <v>2728.1480676172087</v>
      </c>
      <c r="G54" s="42">
        <f ca="1">IF(B54&lt;=$D$16,G53*(1+$D$13)^((C54-C53)/_xlfn.DAYS(EDATE(C53,1),C53)),G53-D54)+IF(B54&lt;=$D$16,G53*Resumo!$F$12,0)+IF(B54&lt;=$D$16,$D$15*Resumo!$F$13,0)+IF(B54&lt;=$D$16,25,0)-IF(AND($D$16&gt;3,B54&lt;=$D$16),K54,0)</f>
        <v>276421.77381022001</v>
      </c>
      <c r="H54" s="42">
        <f ca="1">IF(AND(B54&lt;&gt;"",L54&lt;&gt;$D$17,$D$16&gt;3),G54*Resumo!$F$12,IF(AND(B54&lt;&gt;"",L54&lt;&gt;$D$17,B54&gt;$D$16),G54*Resumo!$F$12,0))</f>
        <v>58.048572500146207</v>
      </c>
      <c r="I54" s="42">
        <f>IF(AND(B54&lt;&gt;"",L54&lt;&gt;$D$17,$D$16&gt;3,$B54&lt;=$D$16),$D$15*Resumo!$F$13,IF(AND(B54&lt;&gt;"",L54&lt;&gt;$D$17,B54&gt;$D$16),$D$15*Resumo!$F$13,0))</f>
        <v>34.369999999999997</v>
      </c>
      <c r="J54" s="42">
        <f>IF(AND(B54&lt;&gt;"",L54&lt;&gt;$D$17,$D$16&gt;3,$B54&lt;=$D$16),Resumo!$F$11,IF(AND(B54&lt;&gt;"",L54&lt;&gt;$D$17,B54&gt;$D$16),Resumo!$F$11,0))</f>
        <v>25</v>
      </c>
      <c r="K54" s="42">
        <f t="shared" ca="1" si="2"/>
        <v>2845.5666401173548</v>
      </c>
      <c r="L54" s="39" t="str">
        <f>IF(B54&lt;&gt;"",VLOOKUP(MONTH(C54),Sheet2!$F$1:$G$12,2,0),"")</f>
        <v>Março</v>
      </c>
      <c r="M54" s="200">
        <f t="shared" ca="1" si="8"/>
        <v>0</v>
      </c>
      <c r="N54" s="40">
        <f t="shared" ca="1" si="9"/>
        <v>2728.1480676172087</v>
      </c>
      <c r="O54" s="40">
        <f t="shared" ca="1" si="3"/>
        <v>2845.5666401173548</v>
      </c>
      <c r="P54" s="40"/>
      <c r="Q54" s="20">
        <f t="shared" ca="1" si="10"/>
        <v>834.89136490250701</v>
      </c>
      <c r="R54" s="1">
        <f t="shared" si="4"/>
        <v>984</v>
      </c>
      <c r="S54" s="243">
        <f>IF(AND($K$2&gt;=DATEVALUE("03/04/2020"),$K$2&lt;=DATEVALUE("31/12/2020")),0,IF(Resumo!$C$19="PF",IF(R54&lt;360,0.0082%*R54,3%),IF(R54&lt;360,0.0041%*R54,1.5%)))</f>
        <v>1.4999999999999999E-2</v>
      </c>
      <c r="T54" s="172">
        <f t="shared" ca="1" si="11"/>
        <v>12.523370473537605</v>
      </c>
      <c r="X54" s="20">
        <f t="shared" ca="1" si="12"/>
        <v>2728.1480676172087</v>
      </c>
    </row>
    <row r="55" spans="2:24">
      <c r="B55" s="37">
        <f t="shared" si="5"/>
        <v>33</v>
      </c>
      <c r="C55" s="163">
        <f t="shared" si="6"/>
        <v>45762</v>
      </c>
      <c r="D55" s="38">
        <f t="shared" ca="1" si="0"/>
        <v>842.74931039701278</v>
      </c>
      <c r="E55" s="38">
        <f t="shared" ca="1" si="7"/>
        <v>1879.6680619094959</v>
      </c>
      <c r="F55" s="38">
        <f t="shared" ca="1" si="1"/>
        <v>2722.4173723065087</v>
      </c>
      <c r="G55" s="38">
        <f ca="1">IF(B55&lt;=$D$16,G54*(1+$D$13)^((C55-C54)/_xlfn.DAYS(EDATE(C54,1),C54)),G54-D55)+IF(B55&lt;=$D$16,G54*Resumo!$F$12,0)+IF(B55&lt;=$D$16,$D$15*Resumo!$F$13,0)+IF(B55&lt;=$D$16,25,0)-IF(AND($D$16&gt;3,B55&lt;=$D$16),K55,0)</f>
        <v>275579.02449982299</v>
      </c>
      <c r="H55" s="38">
        <f ca="1">IF(AND(B55&lt;&gt;"",L55&lt;&gt;$D$17,$D$16&gt;3),G55*Resumo!$F$12,IF(AND(B55&lt;&gt;"",L55&lt;&gt;$D$17,B55&gt;$D$16),G55*Resumo!$F$12,0))</f>
        <v>57.871595144962832</v>
      </c>
      <c r="I55" s="38">
        <f>IF(AND(B55&lt;&gt;"",L55&lt;&gt;$D$17,$D$16&gt;3,$B55&lt;=$D$16),$D$15*Resumo!$F$13,IF(AND(B55&lt;&gt;"",L55&lt;&gt;$D$17,B55&gt;$D$16),$D$15*Resumo!$F$13,0))</f>
        <v>34.369999999999997</v>
      </c>
      <c r="J55" s="38">
        <f>IF(AND(B55&lt;&gt;"",L55&lt;&gt;$D$17,$D$16&gt;3,$B55&lt;=$D$16),Resumo!$F$11,IF(AND(B55&lt;&gt;"",L55&lt;&gt;$D$17,B55&gt;$D$16),Resumo!$F$11,0))</f>
        <v>25</v>
      </c>
      <c r="K55" s="38">
        <f t="shared" ca="1" si="2"/>
        <v>2839.6589674514712</v>
      </c>
      <c r="L55" s="39" t="str">
        <f>IF(B55&lt;&gt;"",VLOOKUP(MONTH(C55),Sheet2!$F$1:$G$12,2,0),"")</f>
        <v>Abril</v>
      </c>
      <c r="M55" s="200">
        <f t="shared" ca="1" si="8"/>
        <v>0</v>
      </c>
      <c r="N55" s="40">
        <f t="shared" ca="1" si="9"/>
        <v>2722.4173723065087</v>
      </c>
      <c r="O55" s="40">
        <f t="shared" ca="1" si="3"/>
        <v>2839.6589674514712</v>
      </c>
      <c r="P55" s="40"/>
      <c r="Q55" s="20">
        <f t="shared" ca="1" si="10"/>
        <v>834.89136490250701</v>
      </c>
      <c r="R55" s="1">
        <f t="shared" si="4"/>
        <v>1015</v>
      </c>
      <c r="S55" s="243">
        <f>IF(AND($K$2&gt;=DATEVALUE("03/04/2020"),$K$2&lt;=DATEVALUE("31/12/2020")),0,IF(Resumo!$C$19="PF",IF(R55&lt;360,0.0082%*R55,3%),IF(R55&lt;360,0.0041%*R55,1.5%)))</f>
        <v>1.4999999999999999E-2</v>
      </c>
      <c r="T55" s="172">
        <f t="shared" ca="1" si="11"/>
        <v>12.523370473537605</v>
      </c>
      <c r="X55" s="20">
        <f t="shared" ca="1" si="12"/>
        <v>2722.4173723065087</v>
      </c>
    </row>
    <row r="56" spans="2:24">
      <c r="B56" s="41">
        <f t="shared" si="5"/>
        <v>34</v>
      </c>
      <c r="C56" s="164">
        <f t="shared" si="6"/>
        <v>45792</v>
      </c>
      <c r="D56" s="42">
        <f t="shared" ca="1" si="0"/>
        <v>842.74931039701278</v>
      </c>
      <c r="E56" s="42">
        <f t="shared" ca="1" si="7"/>
        <v>1873.9373665987962</v>
      </c>
      <c r="F56" s="42">
        <f t="shared" ca="1" si="1"/>
        <v>2716.6866769958087</v>
      </c>
      <c r="G56" s="42">
        <f ca="1">IF(B56&lt;=$D$16,G55*(1+$D$13)^((C56-C55)/_xlfn.DAYS(EDATE(C55,1),C55)),G55-D56)+IF(B56&lt;=$D$16,G55*Resumo!$F$12,0)+IF(B56&lt;=$D$16,$D$15*Resumo!$F$13,0)+IF(B56&lt;=$D$16,25,0)-IF(AND($D$16&gt;3,B56&lt;=$D$16),K56,0)</f>
        <v>274736.27518942597</v>
      </c>
      <c r="H56" s="42">
        <f ca="1">IF(AND(B56&lt;&gt;"",L56&lt;&gt;$D$17,$D$16&gt;3),G56*Resumo!$F$12,IF(AND(B56&lt;&gt;"",L56&lt;&gt;$D$17,B56&gt;$D$16),G56*Resumo!$F$12,0))</f>
        <v>57.694617789779457</v>
      </c>
      <c r="I56" s="42">
        <f>IF(AND(B56&lt;&gt;"",L56&lt;&gt;$D$17,$D$16&gt;3,$B56&lt;=$D$16),$D$15*Resumo!$F$13,IF(AND(B56&lt;&gt;"",L56&lt;&gt;$D$17,B56&gt;$D$16),$D$15*Resumo!$F$13,0))</f>
        <v>34.369999999999997</v>
      </c>
      <c r="J56" s="42">
        <f>IF(AND(B56&lt;&gt;"",L56&lt;&gt;$D$17,$D$16&gt;3,$B56&lt;=$D$16),Resumo!$F$11,IF(AND(B56&lt;&gt;"",L56&lt;&gt;$D$17,B56&gt;$D$16),Resumo!$F$11,0))</f>
        <v>25</v>
      </c>
      <c r="K56" s="42">
        <f t="shared" ca="1" si="2"/>
        <v>2833.751294785588</v>
      </c>
      <c r="L56" s="39" t="str">
        <f>IF(B56&lt;&gt;"",VLOOKUP(MONTH(C56),Sheet2!$F$1:$G$12,2,0),"")</f>
        <v>Maio</v>
      </c>
      <c r="M56" s="200">
        <f t="shared" ca="1" si="8"/>
        <v>0</v>
      </c>
      <c r="N56" s="40">
        <f t="shared" ca="1" si="9"/>
        <v>2716.6866769958087</v>
      </c>
      <c r="O56" s="40">
        <f t="shared" ca="1" si="3"/>
        <v>2833.751294785588</v>
      </c>
      <c r="P56" s="40"/>
      <c r="Q56" s="20">
        <f t="shared" ca="1" si="10"/>
        <v>834.89136490250701</v>
      </c>
      <c r="R56" s="1">
        <f t="shared" si="4"/>
        <v>1045</v>
      </c>
      <c r="S56" s="243">
        <f>IF(AND($K$2&gt;=DATEVALUE("03/04/2020"),$K$2&lt;=DATEVALUE("31/12/2020")),0,IF(Resumo!$C$19="PF",IF(R56&lt;360,0.0082%*R56,3%),IF(R56&lt;360,0.0041%*R56,1.5%)))</f>
        <v>1.4999999999999999E-2</v>
      </c>
      <c r="T56" s="172">
        <f t="shared" ca="1" si="11"/>
        <v>12.523370473537605</v>
      </c>
      <c r="X56" s="20">
        <f t="shared" ca="1" si="12"/>
        <v>2716.6866769958087</v>
      </c>
    </row>
    <row r="57" spans="2:24">
      <c r="B57" s="37">
        <f t="shared" si="5"/>
        <v>35</v>
      </c>
      <c r="C57" s="163">
        <f t="shared" si="6"/>
        <v>45823</v>
      </c>
      <c r="D57" s="38">
        <f t="shared" ca="1" si="0"/>
        <v>842.74931039701278</v>
      </c>
      <c r="E57" s="38">
        <f t="shared" ca="1" si="7"/>
        <v>1868.2066712880965</v>
      </c>
      <c r="F57" s="38">
        <f t="shared" ca="1" si="1"/>
        <v>2710.9559816851092</v>
      </c>
      <c r="G57" s="38">
        <f ca="1">IF(B57&lt;=$D$16,G56*(1+$D$13)^((C57-C56)/_xlfn.DAYS(EDATE(C56,1),C56)),G56-D57)+IF(B57&lt;=$D$16,G56*Resumo!$F$12,0)+IF(B57&lt;=$D$16,$D$15*Resumo!$F$13,0)+IF(B57&lt;=$D$16,25,0)-IF(AND($D$16&gt;3,B57&lt;=$D$16),K57,0)</f>
        <v>273893.52587902895</v>
      </c>
      <c r="H57" s="38">
        <f ca="1">IF(AND(B57&lt;&gt;"",L57&lt;&gt;$D$17,$D$16&gt;3),G57*Resumo!$F$12,IF(AND(B57&lt;&gt;"",L57&lt;&gt;$D$17,B57&gt;$D$16),G57*Resumo!$F$12,0))</f>
        <v>57.517640434596082</v>
      </c>
      <c r="I57" s="38">
        <f>IF(AND(B57&lt;&gt;"",L57&lt;&gt;$D$17,$D$16&gt;3,$B57&lt;=$D$16),$D$15*Resumo!$F$13,IF(AND(B57&lt;&gt;"",L57&lt;&gt;$D$17,B57&gt;$D$16),$D$15*Resumo!$F$13,0))</f>
        <v>34.369999999999997</v>
      </c>
      <c r="J57" s="38">
        <f>IF(AND(B57&lt;&gt;"",L57&lt;&gt;$D$17,$D$16&gt;3,$B57&lt;=$D$16),Resumo!$F$11,IF(AND(B57&lt;&gt;"",L57&lt;&gt;$D$17,B57&gt;$D$16),Resumo!$F$11,0))</f>
        <v>25</v>
      </c>
      <c r="K57" s="38">
        <f t="shared" ca="1" si="2"/>
        <v>2827.8436221197053</v>
      </c>
      <c r="L57" s="39" t="str">
        <f>IF(B57&lt;&gt;"",VLOOKUP(MONTH(C57),Sheet2!$F$1:$G$12,2,0),"")</f>
        <v>Junho</v>
      </c>
      <c r="M57" s="200">
        <f t="shared" ca="1" si="8"/>
        <v>0</v>
      </c>
      <c r="N57" s="40">
        <f t="shared" ca="1" si="9"/>
        <v>2710.9559816851092</v>
      </c>
      <c r="O57" s="40">
        <f t="shared" ca="1" si="3"/>
        <v>2827.8436221197053</v>
      </c>
      <c r="P57" s="40"/>
      <c r="Q57" s="20">
        <f t="shared" ca="1" si="10"/>
        <v>834.89136490250701</v>
      </c>
      <c r="R57" s="1">
        <f t="shared" si="4"/>
        <v>1076</v>
      </c>
      <c r="S57" s="243">
        <f>IF(AND($K$2&gt;=DATEVALUE("03/04/2020"),$K$2&lt;=DATEVALUE("31/12/2020")),0,IF(Resumo!$C$19="PF",IF(R57&lt;360,0.0082%*R57,3%),IF(R57&lt;360,0.0041%*R57,1.5%)))</f>
        <v>1.4999999999999999E-2</v>
      </c>
      <c r="T57" s="172">
        <f t="shared" ca="1" si="11"/>
        <v>12.523370473537605</v>
      </c>
      <c r="X57" s="20">
        <f t="shared" ca="1" si="12"/>
        <v>2710.9559816851092</v>
      </c>
    </row>
    <row r="58" spans="2:24">
      <c r="B58" s="41">
        <f t="shared" si="5"/>
        <v>36</v>
      </c>
      <c r="C58" s="164">
        <f t="shared" si="6"/>
        <v>45853</v>
      </c>
      <c r="D58" s="42">
        <f t="shared" ca="1" si="0"/>
        <v>842.74931039701278</v>
      </c>
      <c r="E58" s="42">
        <f t="shared" ca="1" si="7"/>
        <v>1862.4759759773967</v>
      </c>
      <c r="F58" s="42">
        <f t="shared" ca="1" si="1"/>
        <v>2705.2252863744097</v>
      </c>
      <c r="G58" s="42">
        <f ca="1">IF(B58&lt;=$D$16,G57*(1+$D$13)^((C58-C57)/_xlfn.DAYS(EDATE(C57,1),C57)),G57-D58)+IF(B58&lt;=$D$16,G57*Resumo!$F$12,0)+IF(B58&lt;=$D$16,$D$15*Resumo!$F$13,0)+IF(B58&lt;=$D$16,25,0)-IF(AND($D$16&gt;3,B58&lt;=$D$16),K58,0)</f>
        <v>273050.77656863193</v>
      </c>
      <c r="H58" s="42">
        <f ca="1">IF(AND(B58&lt;&gt;"",L58&lt;&gt;$D$17,$D$16&gt;3),G58*Resumo!$F$12,IF(AND(B58&lt;&gt;"",L58&lt;&gt;$D$17,B58&gt;$D$16),G58*Resumo!$F$12,0))</f>
        <v>57.340663079412707</v>
      </c>
      <c r="I58" s="42">
        <f>IF(AND(B58&lt;&gt;"",L58&lt;&gt;$D$17,$D$16&gt;3,$B58&lt;=$D$16),$D$15*Resumo!$F$13,IF(AND(B58&lt;&gt;"",L58&lt;&gt;$D$17,B58&gt;$D$16),$D$15*Resumo!$F$13,0))</f>
        <v>34.369999999999997</v>
      </c>
      <c r="J58" s="42">
        <f>IF(AND(B58&lt;&gt;"",L58&lt;&gt;$D$17,$D$16&gt;3,$B58&lt;=$D$16),Resumo!$F$11,IF(AND(B58&lt;&gt;"",L58&lt;&gt;$D$17,B58&gt;$D$16),Resumo!$F$11,0))</f>
        <v>25</v>
      </c>
      <c r="K58" s="42">
        <f t="shared" ca="1" si="2"/>
        <v>2821.9359494538221</v>
      </c>
      <c r="L58" s="39" t="str">
        <f>IF(B58&lt;&gt;"",VLOOKUP(MONTH(C58),Sheet2!$F$1:$G$12,2,0),"")</f>
        <v>Julho</v>
      </c>
      <c r="M58" s="200">
        <f t="shared" ca="1" si="8"/>
        <v>0</v>
      </c>
      <c r="N58" s="40">
        <f t="shared" ca="1" si="9"/>
        <v>2705.2252863744097</v>
      </c>
      <c r="O58" s="40">
        <f t="shared" ca="1" si="3"/>
        <v>2821.9359494538221</v>
      </c>
      <c r="P58" s="40"/>
      <c r="Q58" s="20">
        <f t="shared" ca="1" si="10"/>
        <v>834.89136490250701</v>
      </c>
      <c r="R58" s="1">
        <f t="shared" si="4"/>
        <v>1106</v>
      </c>
      <c r="S58" s="243">
        <f>IF(AND($K$2&gt;=DATEVALUE("03/04/2020"),$K$2&lt;=DATEVALUE("31/12/2020")),0,IF(Resumo!$C$19="PF",IF(R58&lt;360,0.0082%*R58,3%),IF(R58&lt;360,0.0041%*R58,1.5%)))</f>
        <v>1.4999999999999999E-2</v>
      </c>
      <c r="T58" s="172">
        <f t="shared" ca="1" si="11"/>
        <v>12.523370473537605</v>
      </c>
      <c r="X58" s="20">
        <f t="shared" ca="1" si="12"/>
        <v>2705.2252863744097</v>
      </c>
    </row>
    <row r="59" spans="2:24">
      <c r="B59" s="37">
        <f t="shared" si="5"/>
        <v>37</v>
      </c>
      <c r="C59" s="163">
        <f t="shared" si="6"/>
        <v>45884</v>
      </c>
      <c r="D59" s="38">
        <f t="shared" ca="1" si="0"/>
        <v>842.74931039701278</v>
      </c>
      <c r="E59" s="38">
        <f t="shared" ca="1" si="7"/>
        <v>1856.745280666697</v>
      </c>
      <c r="F59" s="38">
        <f t="shared" ca="1" si="1"/>
        <v>2699.4945910637098</v>
      </c>
      <c r="G59" s="38">
        <f ca="1">IF(B59&lt;=$D$16,G58*(1+$D$13)^((C59-C58)/_xlfn.DAYS(EDATE(C58,1),C58)),G58-D59)+IF(B59&lt;=$D$16,G58*Resumo!$F$12,0)+IF(B59&lt;=$D$16,$D$15*Resumo!$F$13,0)+IF(B59&lt;=$D$16,25,0)-IF(AND($D$16&gt;3,B59&lt;=$D$16),K59,0)</f>
        <v>272208.02725823491</v>
      </c>
      <c r="H59" s="38">
        <f ca="1">IF(AND(B59&lt;&gt;"",L59&lt;&gt;$D$17,$D$16&gt;3),G59*Resumo!$F$12,IF(AND(B59&lt;&gt;"",L59&lt;&gt;$D$17,B59&gt;$D$16),G59*Resumo!$F$12,0))</f>
        <v>57.163685724229332</v>
      </c>
      <c r="I59" s="38">
        <f>IF(AND(B59&lt;&gt;"",L59&lt;&gt;$D$17,$D$16&gt;3,$B59&lt;=$D$16),$D$15*Resumo!$F$13,IF(AND(B59&lt;&gt;"",L59&lt;&gt;$D$17,B59&gt;$D$16),$D$15*Resumo!$F$13,0))</f>
        <v>34.369999999999997</v>
      </c>
      <c r="J59" s="38">
        <f>IF(AND(B59&lt;&gt;"",L59&lt;&gt;$D$17,$D$16&gt;3,$B59&lt;=$D$16),Resumo!$F$11,IF(AND(B59&lt;&gt;"",L59&lt;&gt;$D$17,B59&gt;$D$16),Resumo!$F$11,0))</f>
        <v>25</v>
      </c>
      <c r="K59" s="38">
        <f t="shared" ca="1" si="2"/>
        <v>2816.0282767879389</v>
      </c>
      <c r="L59" s="39" t="str">
        <f>IF(B59&lt;&gt;"",VLOOKUP(MONTH(C59),Sheet2!$F$1:$G$12,2,0),"")</f>
        <v>Agosto</v>
      </c>
      <c r="M59" s="200">
        <f t="shared" ca="1" si="8"/>
        <v>0</v>
      </c>
      <c r="N59" s="40">
        <f t="shared" ca="1" si="9"/>
        <v>2699.4945910637098</v>
      </c>
      <c r="O59" s="40">
        <f t="shared" ca="1" si="3"/>
        <v>2816.0282767879389</v>
      </c>
      <c r="P59" s="40"/>
      <c r="Q59" s="20">
        <f t="shared" ca="1" si="10"/>
        <v>834.89136490250701</v>
      </c>
      <c r="R59" s="1">
        <f t="shared" si="4"/>
        <v>1137</v>
      </c>
      <c r="S59" s="243">
        <f>IF(AND($K$2&gt;=DATEVALUE("03/04/2020"),$K$2&lt;=DATEVALUE("31/12/2020")),0,IF(Resumo!$C$19="PF",IF(R59&lt;360,0.0082%*R59,3%),IF(R59&lt;360,0.0041%*R59,1.5%)))</f>
        <v>1.4999999999999999E-2</v>
      </c>
      <c r="T59" s="172">
        <f t="shared" ca="1" si="11"/>
        <v>12.523370473537605</v>
      </c>
      <c r="X59" s="20">
        <f t="shared" ca="1" si="12"/>
        <v>2699.4945910637098</v>
      </c>
    </row>
    <row r="60" spans="2:24">
      <c r="B60" s="41">
        <f t="shared" si="5"/>
        <v>38</v>
      </c>
      <c r="C60" s="164">
        <f t="shared" si="6"/>
        <v>45915</v>
      </c>
      <c r="D60" s="42">
        <f t="shared" ca="1" si="0"/>
        <v>842.74931039701278</v>
      </c>
      <c r="E60" s="42">
        <f t="shared" ca="1" si="7"/>
        <v>1851.0145853559973</v>
      </c>
      <c r="F60" s="42">
        <f t="shared" ca="1" si="1"/>
        <v>2693.7638957530098</v>
      </c>
      <c r="G60" s="42">
        <f ca="1">IF(B60&lt;=$D$16,G59*(1+$D$13)^((C60-C59)/_xlfn.DAYS(EDATE(C59,1),C59)),G59-D60)+IF(B60&lt;=$D$16,G59*Resumo!$F$12,0)+IF(B60&lt;=$D$16,$D$15*Resumo!$F$13,0)+IF(B60&lt;=$D$16,25,0)-IF(AND($D$16&gt;3,B60&lt;=$D$16),K60,0)</f>
        <v>271365.27794783789</v>
      </c>
      <c r="H60" s="42">
        <f ca="1">IF(AND(B60&lt;&gt;"",L60&lt;&gt;$D$17,$D$16&gt;3),G60*Resumo!$F$12,IF(AND(B60&lt;&gt;"",L60&lt;&gt;$D$17,B60&gt;$D$16),G60*Resumo!$F$12,0))</f>
        <v>56.986708369045964</v>
      </c>
      <c r="I60" s="42">
        <f>IF(AND(B60&lt;&gt;"",L60&lt;&gt;$D$17,$D$16&gt;3,$B60&lt;=$D$16),$D$15*Resumo!$F$13,IF(AND(B60&lt;&gt;"",L60&lt;&gt;$D$17,B60&gt;$D$16),$D$15*Resumo!$F$13,0))</f>
        <v>34.369999999999997</v>
      </c>
      <c r="J60" s="42">
        <f>IF(AND(B60&lt;&gt;"",L60&lt;&gt;$D$17,$D$16&gt;3,$B60&lt;=$D$16),Resumo!$F$11,IF(AND(B60&lt;&gt;"",L60&lt;&gt;$D$17,B60&gt;$D$16),Resumo!$F$11,0))</f>
        <v>25</v>
      </c>
      <c r="K60" s="42">
        <f t="shared" ca="1" si="2"/>
        <v>2810.1206041220557</v>
      </c>
      <c r="L60" s="39" t="str">
        <f>IF(B60&lt;&gt;"",VLOOKUP(MONTH(C60),Sheet2!$F$1:$G$12,2,0),"")</f>
        <v>Setembro</v>
      </c>
      <c r="M60" s="200">
        <f t="shared" ca="1" si="8"/>
        <v>0</v>
      </c>
      <c r="N60" s="40">
        <f t="shared" ca="1" si="9"/>
        <v>2693.7638957530098</v>
      </c>
      <c r="O60" s="40">
        <f t="shared" ca="1" si="3"/>
        <v>2810.1206041220557</v>
      </c>
      <c r="P60" s="40"/>
      <c r="Q60" s="20">
        <f t="shared" ca="1" si="10"/>
        <v>834.89136490250701</v>
      </c>
      <c r="R60" s="1">
        <f t="shared" si="4"/>
        <v>1168</v>
      </c>
      <c r="S60" s="243">
        <f>IF(AND($K$2&gt;=DATEVALUE("03/04/2020"),$K$2&lt;=DATEVALUE("31/12/2020")),0,IF(Resumo!$C$19="PF",IF(R60&lt;360,0.0082%*R60,3%),IF(R60&lt;360,0.0041%*R60,1.5%)))</f>
        <v>1.4999999999999999E-2</v>
      </c>
      <c r="T60" s="172">
        <f t="shared" ca="1" si="11"/>
        <v>12.523370473537605</v>
      </c>
      <c r="X60" s="20">
        <f t="shared" ca="1" si="12"/>
        <v>2693.7638957530098</v>
      </c>
    </row>
    <row r="61" spans="2:24">
      <c r="B61" s="37">
        <f t="shared" si="5"/>
        <v>39</v>
      </c>
      <c r="C61" s="163">
        <f t="shared" si="6"/>
        <v>45945</v>
      </c>
      <c r="D61" s="38">
        <f t="shared" ca="1" si="0"/>
        <v>842.74931039701278</v>
      </c>
      <c r="E61" s="38">
        <f t="shared" ca="1" si="7"/>
        <v>1845.2838900452975</v>
      </c>
      <c r="F61" s="38">
        <f t="shared" ca="1" si="1"/>
        <v>2688.0332004423103</v>
      </c>
      <c r="G61" s="38">
        <f ca="1">IF(B61&lt;=$D$16,G60*(1+$D$13)^((C61-C60)/_xlfn.DAYS(EDATE(C60,1),C60)),G60-D61)+IF(B61&lt;=$D$16,G60*Resumo!$F$12,0)+IF(B61&lt;=$D$16,$D$15*Resumo!$F$13,0)+IF(B61&lt;=$D$16,25,0)-IF(AND($D$16&gt;3,B61&lt;=$D$16),K61,0)</f>
        <v>270522.52863744088</v>
      </c>
      <c r="H61" s="38">
        <f ca="1">IF(AND(B61&lt;&gt;"",L61&lt;&gt;$D$17,$D$16&gt;3),G61*Resumo!$F$12,IF(AND(B61&lt;&gt;"",L61&lt;&gt;$D$17,B61&gt;$D$16),G61*Resumo!$F$12,0))</f>
        <v>56.809731013862589</v>
      </c>
      <c r="I61" s="38">
        <f>IF(AND(B61&lt;&gt;"",L61&lt;&gt;$D$17,$D$16&gt;3,$B61&lt;=$D$16),$D$15*Resumo!$F$13,IF(AND(B61&lt;&gt;"",L61&lt;&gt;$D$17,B61&gt;$D$16),$D$15*Resumo!$F$13,0))</f>
        <v>34.369999999999997</v>
      </c>
      <c r="J61" s="38">
        <f>IF(AND(B61&lt;&gt;"",L61&lt;&gt;$D$17,$D$16&gt;3,$B61&lt;=$D$16),Resumo!$F$11,IF(AND(B61&lt;&gt;"",L61&lt;&gt;$D$17,B61&gt;$D$16),Resumo!$F$11,0))</f>
        <v>25</v>
      </c>
      <c r="K61" s="38">
        <f t="shared" ca="1" si="2"/>
        <v>2804.212931456173</v>
      </c>
      <c r="L61" s="39" t="str">
        <f>IF(B61&lt;&gt;"",VLOOKUP(MONTH(C61),Sheet2!$F$1:$G$12,2,0),"")</f>
        <v>Outubro</v>
      </c>
      <c r="M61" s="200">
        <f t="shared" ca="1" si="8"/>
        <v>0</v>
      </c>
      <c r="N61" s="40">
        <f t="shared" ca="1" si="9"/>
        <v>2688.0332004423103</v>
      </c>
      <c r="O61" s="40">
        <f t="shared" ca="1" si="3"/>
        <v>2804.212931456173</v>
      </c>
      <c r="P61" s="40"/>
      <c r="Q61" s="20">
        <f t="shared" ca="1" si="10"/>
        <v>834.89136490250701</v>
      </c>
      <c r="R61" s="1">
        <f t="shared" si="4"/>
        <v>1198</v>
      </c>
      <c r="S61" s="243">
        <f>IF(AND($K$2&gt;=DATEVALUE("03/04/2020"),$K$2&lt;=DATEVALUE("31/12/2020")),0,IF(Resumo!$C$19="PF",IF(R61&lt;360,0.0082%*R61,3%),IF(R61&lt;360,0.0041%*R61,1.5%)))</f>
        <v>1.4999999999999999E-2</v>
      </c>
      <c r="T61" s="172">
        <f t="shared" ca="1" si="11"/>
        <v>12.523370473537605</v>
      </c>
      <c r="X61" s="20">
        <f t="shared" ca="1" si="12"/>
        <v>2688.0332004423103</v>
      </c>
    </row>
    <row r="62" spans="2:24">
      <c r="B62" s="41">
        <f t="shared" si="5"/>
        <v>40</v>
      </c>
      <c r="C62" s="164">
        <f t="shared" si="6"/>
        <v>45976</v>
      </c>
      <c r="D62" s="42">
        <f t="shared" ca="1" si="0"/>
        <v>842.74931039701278</v>
      </c>
      <c r="E62" s="42">
        <f t="shared" ca="1" si="7"/>
        <v>1839.5531947345978</v>
      </c>
      <c r="F62" s="42">
        <f t="shared" ca="1" si="1"/>
        <v>2682.3025051316108</v>
      </c>
      <c r="G62" s="42">
        <f ca="1">IF(B62&lt;=$D$16,G61*(1+$D$13)^((C62-C61)/_xlfn.DAYS(EDATE(C61,1),C61)),G61-D62)+IF(B62&lt;=$D$16,G61*Resumo!$F$12,0)+IF(B62&lt;=$D$16,$D$15*Resumo!$F$13,0)+IF(B62&lt;=$D$16,25,0)-IF(AND($D$16&gt;3,B62&lt;=$D$16),K62,0)</f>
        <v>269679.77932704386</v>
      </c>
      <c r="H62" s="42">
        <f ca="1">IF(AND(B62&lt;&gt;"",L62&lt;&gt;$D$17,$D$16&gt;3),G62*Resumo!$F$12,IF(AND(B62&lt;&gt;"",L62&lt;&gt;$D$17,B62&gt;$D$16),G62*Resumo!$F$12,0))</f>
        <v>56.632753658679214</v>
      </c>
      <c r="I62" s="42">
        <f>IF(AND(B62&lt;&gt;"",L62&lt;&gt;$D$17,$D$16&gt;3,$B62&lt;=$D$16),$D$15*Resumo!$F$13,IF(AND(B62&lt;&gt;"",L62&lt;&gt;$D$17,B62&gt;$D$16),$D$15*Resumo!$F$13,0))</f>
        <v>34.369999999999997</v>
      </c>
      <c r="J62" s="42">
        <f>IF(AND(B62&lt;&gt;"",L62&lt;&gt;$D$17,$D$16&gt;3,$B62&lt;=$D$16),Resumo!$F$11,IF(AND(B62&lt;&gt;"",L62&lt;&gt;$D$17,B62&gt;$D$16),Resumo!$F$11,0))</f>
        <v>25</v>
      </c>
      <c r="K62" s="42">
        <f t="shared" ca="1" si="2"/>
        <v>2798.3052587902898</v>
      </c>
      <c r="L62" s="39" t="str">
        <f>IF(B62&lt;&gt;"",VLOOKUP(MONTH(C62),Sheet2!$F$1:$G$12,2,0),"")</f>
        <v>Novembro</v>
      </c>
      <c r="M62" s="200">
        <f t="shared" ca="1" si="8"/>
        <v>0</v>
      </c>
      <c r="N62" s="40">
        <f t="shared" ca="1" si="9"/>
        <v>2682.3025051316108</v>
      </c>
      <c r="O62" s="40">
        <f t="shared" ca="1" si="3"/>
        <v>2798.3052587902898</v>
      </c>
      <c r="P62" s="40"/>
      <c r="Q62" s="20">
        <f t="shared" ca="1" si="10"/>
        <v>834.89136490250701</v>
      </c>
      <c r="R62" s="1">
        <f t="shared" si="4"/>
        <v>1229</v>
      </c>
      <c r="S62" s="243">
        <f>IF(AND($K$2&gt;=DATEVALUE("03/04/2020"),$K$2&lt;=DATEVALUE("31/12/2020")),0,IF(Resumo!$C$19="PF",IF(R62&lt;360,0.0082%*R62,3%),IF(R62&lt;360,0.0041%*R62,1.5%)))</f>
        <v>1.4999999999999999E-2</v>
      </c>
      <c r="T62" s="172">
        <f t="shared" ca="1" si="11"/>
        <v>12.523370473537605</v>
      </c>
      <c r="X62" s="20">
        <f t="shared" ca="1" si="12"/>
        <v>2682.3025051316108</v>
      </c>
    </row>
    <row r="63" spans="2:24">
      <c r="B63" s="37">
        <f t="shared" si="5"/>
        <v>41</v>
      </c>
      <c r="C63" s="163">
        <f t="shared" si="6"/>
        <v>46006</v>
      </c>
      <c r="D63" s="38">
        <f t="shared" ca="1" si="0"/>
        <v>842.74931039701278</v>
      </c>
      <c r="E63" s="38">
        <f t="shared" ca="1" si="7"/>
        <v>1833.8224994238981</v>
      </c>
      <c r="F63" s="38">
        <f t="shared" ca="1" si="1"/>
        <v>2676.5718098209109</v>
      </c>
      <c r="G63" s="38">
        <f ca="1">IF(B63&lt;=$D$16,G62*(1+$D$13)^((C63-C62)/_xlfn.DAYS(EDATE(C62,1),C62)),G62-D63)+IF(B63&lt;=$D$16,G62*Resumo!$F$12,0)+IF(B63&lt;=$D$16,$D$15*Resumo!$F$13,0)+IF(B63&lt;=$D$16,25,0)-IF(AND($D$16&gt;3,B63&lt;=$D$16),K63,0)</f>
        <v>268837.03001664684</v>
      </c>
      <c r="H63" s="38">
        <f ca="1">IF(AND(B63&lt;&gt;"",L63&lt;&gt;$D$17,$D$16&gt;3),G63*Resumo!$F$12,IF(AND(B63&lt;&gt;"",L63&lt;&gt;$D$17,B63&gt;$D$16),G63*Resumo!$F$12,0))</f>
        <v>56.455776303495838</v>
      </c>
      <c r="I63" s="38">
        <f>IF(AND(B63&lt;&gt;"",L63&lt;&gt;$D$17,$D$16&gt;3,$B63&lt;=$D$16),$D$15*Resumo!$F$13,IF(AND(B63&lt;&gt;"",L63&lt;&gt;$D$17,B63&gt;$D$16),$D$15*Resumo!$F$13,0))</f>
        <v>34.369999999999997</v>
      </c>
      <c r="J63" s="38">
        <f>IF(AND(B63&lt;&gt;"",L63&lt;&gt;$D$17,$D$16&gt;3,$B63&lt;=$D$16),Resumo!$F$11,IF(AND(B63&lt;&gt;"",L63&lt;&gt;$D$17,B63&gt;$D$16),Resumo!$F$11,0))</f>
        <v>25</v>
      </c>
      <c r="K63" s="38">
        <f t="shared" ca="1" si="2"/>
        <v>2792.3975861244066</v>
      </c>
      <c r="L63" s="39" t="str">
        <f>IF(B63&lt;&gt;"",VLOOKUP(MONTH(C63),Sheet2!$F$1:$G$12,2,0),"")</f>
        <v>Dezembro</v>
      </c>
      <c r="M63" s="200">
        <f t="shared" ca="1" si="8"/>
        <v>0</v>
      </c>
      <c r="N63" s="40">
        <f t="shared" ca="1" si="9"/>
        <v>2676.5718098209109</v>
      </c>
      <c r="O63" s="40">
        <f t="shared" ca="1" si="3"/>
        <v>2792.3975861244066</v>
      </c>
      <c r="P63" s="40"/>
      <c r="Q63" s="20">
        <f t="shared" ca="1" si="10"/>
        <v>834.89136490250701</v>
      </c>
      <c r="R63" s="1">
        <f t="shared" si="4"/>
        <v>1259</v>
      </c>
      <c r="S63" s="243">
        <f>IF(AND($K$2&gt;=DATEVALUE("03/04/2020"),$K$2&lt;=DATEVALUE("31/12/2020")),0,IF(Resumo!$C$19="PF",IF(R63&lt;360,0.0082%*R63,3%),IF(R63&lt;360,0.0041%*R63,1.5%)))</f>
        <v>1.4999999999999999E-2</v>
      </c>
      <c r="T63" s="172">
        <f t="shared" ca="1" si="11"/>
        <v>12.523370473537605</v>
      </c>
      <c r="X63" s="20">
        <f t="shared" ca="1" si="12"/>
        <v>2676.5718098209109</v>
      </c>
    </row>
    <row r="64" spans="2:24">
      <c r="B64" s="41">
        <f t="shared" si="5"/>
        <v>42</v>
      </c>
      <c r="C64" s="164">
        <f t="shared" si="6"/>
        <v>46037</v>
      </c>
      <c r="D64" s="42">
        <f t="shared" ca="1" si="0"/>
        <v>842.74931039701278</v>
      </c>
      <c r="E64" s="42">
        <f t="shared" ca="1" si="7"/>
        <v>1828.0918041131984</v>
      </c>
      <c r="F64" s="42">
        <f t="shared" ca="1" si="1"/>
        <v>2670.8411145102109</v>
      </c>
      <c r="G64" s="42">
        <f ca="1">IF(B64&lt;=$D$16,G63*(1+$D$13)^((C64-C63)/_xlfn.DAYS(EDATE(C63,1),C63)),G63-D64)+IF(B64&lt;=$D$16,G63*Resumo!$F$12,0)+IF(B64&lt;=$D$16,$D$15*Resumo!$F$13,0)+IF(B64&lt;=$D$16,25,0)-IF(AND($D$16&gt;3,B64&lt;=$D$16),K64,0)</f>
        <v>267994.28070624982</v>
      </c>
      <c r="H64" s="42">
        <f ca="1">IF(AND(B64&lt;&gt;"",L64&lt;&gt;$D$17,$D$16&gt;3),G64*Resumo!$F$12,IF(AND(B64&lt;&gt;"",L64&lt;&gt;$D$17,B64&gt;$D$16),G64*Resumo!$F$12,0))</f>
        <v>56.278798948312463</v>
      </c>
      <c r="I64" s="42">
        <f>IF(AND(B64&lt;&gt;"",L64&lt;&gt;$D$17,$D$16&gt;3,$B64&lt;=$D$16),$D$15*Resumo!$F$13,IF(AND(B64&lt;&gt;"",L64&lt;&gt;$D$17,B64&gt;$D$16),$D$15*Resumo!$F$13,0))</f>
        <v>34.369999999999997</v>
      </c>
      <c r="J64" s="42">
        <f>IF(AND(B64&lt;&gt;"",L64&lt;&gt;$D$17,$D$16&gt;3,$B64&lt;=$D$16),Resumo!$F$11,IF(AND(B64&lt;&gt;"",L64&lt;&gt;$D$17,B64&gt;$D$16),Resumo!$F$11,0))</f>
        <v>25</v>
      </c>
      <c r="K64" s="42">
        <f t="shared" ca="1" si="2"/>
        <v>2786.4899134585235</v>
      </c>
      <c r="L64" s="39" t="str">
        <f>IF(B64&lt;&gt;"",VLOOKUP(MONTH(C64),Sheet2!$F$1:$G$12,2,0),"")</f>
        <v>Janeiro</v>
      </c>
      <c r="M64" s="200">
        <f t="shared" ca="1" si="8"/>
        <v>0</v>
      </c>
      <c r="N64" s="40">
        <f t="shared" ca="1" si="9"/>
        <v>2670.8411145102109</v>
      </c>
      <c r="O64" s="40">
        <f t="shared" ca="1" si="3"/>
        <v>2786.4899134585235</v>
      </c>
      <c r="P64" s="40"/>
      <c r="Q64" s="20">
        <f t="shared" ca="1" si="10"/>
        <v>834.89136490250701</v>
      </c>
      <c r="R64" s="1">
        <f t="shared" si="4"/>
        <v>1290</v>
      </c>
      <c r="S64" s="243">
        <f>IF(AND($K$2&gt;=DATEVALUE("03/04/2020"),$K$2&lt;=DATEVALUE("31/12/2020")),0,IF(Resumo!$C$19="PF",IF(R64&lt;360,0.0082%*R64,3%),IF(R64&lt;360,0.0041%*R64,1.5%)))</f>
        <v>1.4999999999999999E-2</v>
      </c>
      <c r="T64" s="172">
        <f t="shared" ca="1" si="11"/>
        <v>12.523370473537605</v>
      </c>
      <c r="X64" s="20">
        <f t="shared" ca="1" si="12"/>
        <v>2670.8411145102109</v>
      </c>
    </row>
    <row r="65" spans="2:24">
      <c r="B65" s="37">
        <f t="shared" si="5"/>
        <v>43</v>
      </c>
      <c r="C65" s="163">
        <f t="shared" si="6"/>
        <v>46068</v>
      </c>
      <c r="D65" s="38">
        <f t="shared" ca="1" si="0"/>
        <v>842.74931039701278</v>
      </c>
      <c r="E65" s="38">
        <f t="shared" ca="1" si="7"/>
        <v>1822.3611088024986</v>
      </c>
      <c r="F65" s="38">
        <f t="shared" ca="1" si="1"/>
        <v>2665.1104191995114</v>
      </c>
      <c r="G65" s="38">
        <f ca="1">IF(B65&lt;=$D$16,G64*(1+$D$13)^((C65-C64)/_xlfn.DAYS(EDATE(C64,1),C64)),G64-D65)+IF(B65&lt;=$D$16,G64*Resumo!$F$12,0)+IF(B65&lt;=$D$16,$D$15*Resumo!$F$13,0)+IF(B65&lt;=$D$16,25,0)-IF(AND($D$16&gt;3,B65&lt;=$D$16),K65,0)</f>
        <v>267151.5313958528</v>
      </c>
      <c r="H65" s="38">
        <f ca="1">IF(AND(B65&lt;&gt;"",L65&lt;&gt;$D$17,$D$16&gt;3),G65*Resumo!$F$12,IF(AND(B65&lt;&gt;"",L65&lt;&gt;$D$17,B65&gt;$D$16),G65*Resumo!$F$12,0))</f>
        <v>56.101821593129088</v>
      </c>
      <c r="I65" s="38">
        <f>IF(AND(B65&lt;&gt;"",L65&lt;&gt;$D$17,$D$16&gt;3,$B65&lt;=$D$16),$D$15*Resumo!$F$13,IF(AND(B65&lt;&gt;"",L65&lt;&gt;$D$17,B65&gt;$D$16),$D$15*Resumo!$F$13,0))</f>
        <v>34.369999999999997</v>
      </c>
      <c r="J65" s="38">
        <f>IF(AND(B65&lt;&gt;"",L65&lt;&gt;$D$17,$D$16&gt;3,$B65&lt;=$D$16),Resumo!$F$11,IF(AND(B65&lt;&gt;"",L65&lt;&gt;$D$17,B65&gt;$D$16),Resumo!$F$11,0))</f>
        <v>25</v>
      </c>
      <c r="K65" s="38">
        <f t="shared" ca="1" si="2"/>
        <v>2780.5822407926403</v>
      </c>
      <c r="L65" s="39" t="str">
        <f>IF(B65&lt;&gt;"",VLOOKUP(MONTH(C65),Sheet2!$F$1:$G$12,2,0),"")</f>
        <v>Fevereiro</v>
      </c>
      <c r="M65" s="200">
        <f t="shared" ca="1" si="8"/>
        <v>0</v>
      </c>
      <c r="N65" s="40">
        <f t="shared" ca="1" si="9"/>
        <v>2665.1104191995114</v>
      </c>
      <c r="O65" s="40">
        <f t="shared" ca="1" si="3"/>
        <v>2780.5822407926403</v>
      </c>
      <c r="P65" s="40"/>
      <c r="Q65" s="20">
        <f t="shared" ca="1" si="10"/>
        <v>834.89136490250701</v>
      </c>
      <c r="R65" s="1">
        <f t="shared" si="4"/>
        <v>1321</v>
      </c>
      <c r="S65" s="243">
        <f>IF(AND($K$2&gt;=DATEVALUE("03/04/2020"),$K$2&lt;=DATEVALUE("31/12/2020")),0,IF(Resumo!$C$19="PF",IF(R65&lt;360,0.0082%*R65,3%),IF(R65&lt;360,0.0041%*R65,1.5%)))</f>
        <v>1.4999999999999999E-2</v>
      </c>
      <c r="T65" s="172">
        <f t="shared" ca="1" si="11"/>
        <v>12.523370473537605</v>
      </c>
      <c r="X65" s="20">
        <f t="shared" ca="1" si="12"/>
        <v>2665.1104191995114</v>
      </c>
    </row>
    <row r="66" spans="2:24">
      <c r="B66" s="41">
        <f t="shared" si="5"/>
        <v>44</v>
      </c>
      <c r="C66" s="164">
        <f t="shared" si="6"/>
        <v>46096</v>
      </c>
      <c r="D66" s="42">
        <f t="shared" ca="1" si="0"/>
        <v>842.74931039701278</v>
      </c>
      <c r="E66" s="42">
        <f t="shared" ca="1" si="7"/>
        <v>1816.6304134917989</v>
      </c>
      <c r="F66" s="42">
        <f t="shared" ca="1" si="1"/>
        <v>2659.3797238888119</v>
      </c>
      <c r="G66" s="42">
        <f ca="1">IF(B66&lt;=$D$16,G65*(1+$D$13)^((C66-C65)/_xlfn.DAYS(EDATE(C65,1),C65)),G65-D66)+IF(B66&lt;=$D$16,G65*Resumo!$F$12,0)+IF(B66&lt;=$D$16,$D$15*Resumo!$F$13,0)+IF(B66&lt;=$D$16,25,0)-IF(AND($D$16&gt;3,B66&lt;=$D$16),K66,0)</f>
        <v>266308.78208545578</v>
      </c>
      <c r="H66" s="42">
        <f ca="1">IF(AND(B66&lt;&gt;"",L66&lt;&gt;$D$17,$D$16&gt;3),G66*Resumo!$F$12,IF(AND(B66&lt;&gt;"",L66&lt;&gt;$D$17,B66&gt;$D$16),G66*Resumo!$F$12,0))</f>
        <v>55.924844237945713</v>
      </c>
      <c r="I66" s="42">
        <f>IF(AND(B66&lt;&gt;"",L66&lt;&gt;$D$17,$D$16&gt;3,$B66&lt;=$D$16),$D$15*Resumo!$F$13,IF(AND(B66&lt;&gt;"",L66&lt;&gt;$D$17,B66&gt;$D$16),$D$15*Resumo!$F$13,0))</f>
        <v>34.369999999999997</v>
      </c>
      <c r="J66" s="42">
        <f>IF(AND(B66&lt;&gt;"",L66&lt;&gt;$D$17,$D$16&gt;3,$B66&lt;=$D$16),Resumo!$F$11,IF(AND(B66&lt;&gt;"",L66&lt;&gt;$D$17,B66&gt;$D$16),Resumo!$F$11,0))</f>
        <v>25</v>
      </c>
      <c r="K66" s="42">
        <f t="shared" ca="1" si="2"/>
        <v>2774.6745681267575</v>
      </c>
      <c r="L66" s="39" t="str">
        <f>IF(B66&lt;&gt;"",VLOOKUP(MONTH(C66),Sheet2!$F$1:$G$12,2,0),"")</f>
        <v>Março</v>
      </c>
      <c r="M66" s="200">
        <f t="shared" ca="1" si="8"/>
        <v>0</v>
      </c>
      <c r="N66" s="40">
        <f t="shared" ca="1" si="9"/>
        <v>2659.3797238888119</v>
      </c>
      <c r="O66" s="40">
        <f t="shared" ca="1" si="3"/>
        <v>2774.6745681267575</v>
      </c>
      <c r="P66" s="40"/>
      <c r="Q66" s="20">
        <f t="shared" ca="1" si="10"/>
        <v>834.89136490250701</v>
      </c>
      <c r="R66" s="1">
        <f t="shared" si="4"/>
        <v>1349</v>
      </c>
      <c r="S66" s="243">
        <f>IF(AND($K$2&gt;=DATEVALUE("03/04/2020"),$K$2&lt;=DATEVALUE("31/12/2020")),0,IF(Resumo!$C$19="PF",IF(R66&lt;360,0.0082%*R66,3%),IF(R66&lt;360,0.0041%*R66,1.5%)))</f>
        <v>1.4999999999999999E-2</v>
      </c>
      <c r="T66" s="172">
        <f t="shared" ca="1" si="11"/>
        <v>12.523370473537605</v>
      </c>
      <c r="X66" s="20">
        <f t="shared" ca="1" si="12"/>
        <v>2659.3797238888119</v>
      </c>
    </row>
    <row r="67" spans="2:24">
      <c r="B67" s="37">
        <f t="shared" si="5"/>
        <v>45</v>
      </c>
      <c r="C67" s="163">
        <f t="shared" si="6"/>
        <v>46127</v>
      </c>
      <c r="D67" s="38">
        <f t="shared" ca="1" si="0"/>
        <v>842.74931039701278</v>
      </c>
      <c r="E67" s="38">
        <f t="shared" ca="1" si="7"/>
        <v>1810.8997181810992</v>
      </c>
      <c r="F67" s="38">
        <f t="shared" ca="1" si="1"/>
        <v>2653.6490285781119</v>
      </c>
      <c r="G67" s="38">
        <f ca="1">IF(B67&lt;=$D$16,G66*(1+$D$13)^((C67-C66)/_xlfn.DAYS(EDATE(C66,1),C66)),G66-D67)+IF(B67&lt;=$D$16,G66*Resumo!$F$12,0)+IF(B67&lt;=$D$16,$D$15*Resumo!$F$13,0)+IF(B67&lt;=$D$16,25,0)-IF(AND($D$16&gt;3,B67&lt;=$D$16),K67,0)</f>
        <v>265466.03277505876</v>
      </c>
      <c r="H67" s="38">
        <f ca="1">IF(AND(B67&lt;&gt;"",L67&lt;&gt;$D$17,$D$16&gt;3),G67*Resumo!$F$12,IF(AND(B67&lt;&gt;"",L67&lt;&gt;$D$17,B67&gt;$D$16),G67*Resumo!$F$12,0))</f>
        <v>55.747866882762345</v>
      </c>
      <c r="I67" s="38">
        <f>IF(AND(B67&lt;&gt;"",L67&lt;&gt;$D$17,$D$16&gt;3,$B67&lt;=$D$16),$D$15*Resumo!$F$13,IF(AND(B67&lt;&gt;"",L67&lt;&gt;$D$17,B67&gt;$D$16),$D$15*Resumo!$F$13,0))</f>
        <v>34.369999999999997</v>
      </c>
      <c r="J67" s="38">
        <f>IF(AND(B67&lt;&gt;"",L67&lt;&gt;$D$17,$D$16&gt;3,$B67&lt;=$D$16),Resumo!$F$11,IF(AND(B67&lt;&gt;"",L67&lt;&gt;$D$17,B67&gt;$D$16),Resumo!$F$11,0))</f>
        <v>25</v>
      </c>
      <c r="K67" s="38">
        <f t="shared" ca="1" si="2"/>
        <v>2768.7668954608744</v>
      </c>
      <c r="L67" s="39" t="str">
        <f>IF(B67&lt;&gt;"",VLOOKUP(MONTH(C67),Sheet2!$F$1:$G$12,2,0),"")</f>
        <v>Abril</v>
      </c>
      <c r="M67" s="200">
        <f t="shared" ca="1" si="8"/>
        <v>0</v>
      </c>
      <c r="N67" s="40">
        <f t="shared" ca="1" si="9"/>
        <v>2653.6490285781119</v>
      </c>
      <c r="O67" s="40">
        <f t="shared" ca="1" si="3"/>
        <v>2768.7668954608744</v>
      </c>
      <c r="P67" s="40"/>
      <c r="Q67" s="20">
        <f t="shared" ca="1" si="10"/>
        <v>834.89136490250701</v>
      </c>
      <c r="R67" s="1">
        <f t="shared" si="4"/>
        <v>1380</v>
      </c>
      <c r="S67" s="243">
        <f>IF(AND($K$2&gt;=DATEVALUE("03/04/2020"),$K$2&lt;=DATEVALUE("31/12/2020")),0,IF(Resumo!$C$19="PF",IF(R67&lt;360,0.0082%*R67,3%),IF(R67&lt;360,0.0041%*R67,1.5%)))</f>
        <v>1.4999999999999999E-2</v>
      </c>
      <c r="T67" s="172">
        <f t="shared" ca="1" si="11"/>
        <v>12.523370473537605</v>
      </c>
      <c r="X67" s="20">
        <f t="shared" ca="1" si="12"/>
        <v>2653.6490285781119</v>
      </c>
    </row>
    <row r="68" spans="2:24">
      <c r="B68" s="41">
        <f t="shared" si="5"/>
        <v>46</v>
      </c>
      <c r="C68" s="164">
        <f t="shared" si="6"/>
        <v>46157</v>
      </c>
      <c r="D68" s="42">
        <f t="shared" ca="1" si="0"/>
        <v>842.74931039701278</v>
      </c>
      <c r="E68" s="42">
        <f t="shared" ca="1" si="7"/>
        <v>1805.1690228703994</v>
      </c>
      <c r="F68" s="42">
        <f t="shared" ca="1" si="1"/>
        <v>2647.918333267412</v>
      </c>
      <c r="G68" s="42">
        <f ca="1">IF(B68&lt;=$D$16,G67*(1+$D$13)^((C68-C67)/_xlfn.DAYS(EDATE(C67,1),C67)),G67-D68)+IF(B68&lt;=$D$16,G67*Resumo!$F$12,0)+IF(B68&lt;=$D$16,$D$15*Resumo!$F$13,0)+IF(B68&lt;=$D$16,25,0)-IF(AND($D$16&gt;3,B68&lt;=$D$16),K68,0)</f>
        <v>264623.28346466174</v>
      </c>
      <c r="H68" s="42">
        <f ca="1">IF(AND(B68&lt;&gt;"",L68&lt;&gt;$D$17,$D$16&gt;3),G68*Resumo!$F$12,IF(AND(B68&lt;&gt;"",L68&lt;&gt;$D$17,B68&gt;$D$16),G68*Resumo!$F$12,0))</f>
        <v>55.57088952757897</v>
      </c>
      <c r="I68" s="42">
        <f>IF(AND(B68&lt;&gt;"",L68&lt;&gt;$D$17,$D$16&gt;3,$B68&lt;=$D$16),$D$15*Resumo!$F$13,IF(AND(B68&lt;&gt;"",L68&lt;&gt;$D$17,B68&gt;$D$16),$D$15*Resumo!$F$13,0))</f>
        <v>34.369999999999997</v>
      </c>
      <c r="J68" s="42">
        <f>IF(AND(B68&lt;&gt;"",L68&lt;&gt;$D$17,$D$16&gt;3,$B68&lt;=$D$16),Resumo!$F$11,IF(AND(B68&lt;&gt;"",L68&lt;&gt;$D$17,B68&gt;$D$16),Resumo!$F$11,0))</f>
        <v>25</v>
      </c>
      <c r="K68" s="42">
        <f t="shared" ca="1" si="2"/>
        <v>2762.8592227949907</v>
      </c>
      <c r="L68" s="39" t="str">
        <f>IF(B68&lt;&gt;"",VLOOKUP(MONTH(C68),Sheet2!$F$1:$G$12,2,0),"")</f>
        <v>Maio</v>
      </c>
      <c r="M68" s="200">
        <f t="shared" ca="1" si="8"/>
        <v>0</v>
      </c>
      <c r="N68" s="40">
        <f t="shared" ca="1" si="9"/>
        <v>2647.918333267412</v>
      </c>
      <c r="O68" s="40">
        <f t="shared" ca="1" si="3"/>
        <v>2762.8592227949907</v>
      </c>
      <c r="P68" s="40"/>
      <c r="Q68" s="20">
        <f t="shared" ca="1" si="10"/>
        <v>834.89136490250701</v>
      </c>
      <c r="R68" s="1">
        <f t="shared" si="4"/>
        <v>1410</v>
      </c>
      <c r="S68" s="243">
        <f>IF(AND($K$2&gt;=DATEVALUE("03/04/2020"),$K$2&lt;=DATEVALUE("31/12/2020")),0,IF(Resumo!$C$19="PF",IF(R68&lt;360,0.0082%*R68,3%),IF(R68&lt;360,0.0041%*R68,1.5%)))</f>
        <v>1.4999999999999999E-2</v>
      </c>
      <c r="T68" s="172">
        <f t="shared" ca="1" si="11"/>
        <v>12.523370473537605</v>
      </c>
      <c r="X68" s="20">
        <f t="shared" ca="1" si="12"/>
        <v>2647.918333267412</v>
      </c>
    </row>
    <row r="69" spans="2:24">
      <c r="B69" s="37">
        <f t="shared" si="5"/>
        <v>47</v>
      </c>
      <c r="C69" s="163">
        <f t="shared" si="6"/>
        <v>46188</v>
      </c>
      <c r="D69" s="38">
        <f t="shared" ca="1" si="0"/>
        <v>842.74931039701278</v>
      </c>
      <c r="E69" s="38">
        <f t="shared" ca="1" si="7"/>
        <v>1799.4383275596997</v>
      </c>
      <c r="F69" s="38">
        <f t="shared" ca="1" si="1"/>
        <v>2642.1876379567125</v>
      </c>
      <c r="G69" s="38">
        <f ca="1">IF(B69&lt;=$D$16,G68*(1+$D$13)^((C69-C68)/_xlfn.DAYS(EDATE(C68,1),C68)),G68-D69)+IF(B69&lt;=$D$16,G68*Resumo!$F$12,0)+IF(B69&lt;=$D$16,$D$15*Resumo!$F$13,0)+IF(B69&lt;=$D$16,25,0)-IF(AND($D$16&gt;3,B69&lt;=$D$16),K69,0)</f>
        <v>263780.53415426472</v>
      </c>
      <c r="H69" s="38">
        <f ca="1">IF(AND(B69&lt;&gt;"",L69&lt;&gt;$D$17,$D$16&gt;3),G69*Resumo!$F$12,IF(AND(B69&lt;&gt;"",L69&lt;&gt;$D$17,B69&gt;$D$16),G69*Resumo!$F$12,0))</f>
        <v>55.393912172395595</v>
      </c>
      <c r="I69" s="38">
        <f>IF(AND(B69&lt;&gt;"",L69&lt;&gt;$D$17,$D$16&gt;3,$B69&lt;=$D$16),$D$15*Resumo!$F$13,IF(AND(B69&lt;&gt;"",L69&lt;&gt;$D$17,B69&gt;$D$16),$D$15*Resumo!$F$13,0))</f>
        <v>34.369999999999997</v>
      </c>
      <c r="J69" s="38">
        <f>IF(AND(B69&lt;&gt;"",L69&lt;&gt;$D$17,$D$16&gt;3,$B69&lt;=$D$16),Resumo!$F$11,IF(AND(B69&lt;&gt;"",L69&lt;&gt;$D$17,B69&gt;$D$16),Resumo!$F$11,0))</f>
        <v>25</v>
      </c>
      <c r="K69" s="38">
        <f t="shared" ca="1" si="2"/>
        <v>2756.951550129108</v>
      </c>
      <c r="L69" s="39" t="str">
        <f>IF(B69&lt;&gt;"",VLOOKUP(MONTH(C69),Sheet2!$F$1:$G$12,2,0),"")</f>
        <v>Junho</v>
      </c>
      <c r="M69" s="200">
        <f t="shared" ca="1" si="8"/>
        <v>0</v>
      </c>
      <c r="N69" s="40">
        <f t="shared" ca="1" si="9"/>
        <v>2642.1876379567125</v>
      </c>
      <c r="O69" s="40">
        <f t="shared" ca="1" si="3"/>
        <v>2756.951550129108</v>
      </c>
      <c r="P69" s="40"/>
      <c r="Q69" s="20">
        <f t="shared" ca="1" si="10"/>
        <v>834.89136490250701</v>
      </c>
      <c r="R69" s="1">
        <f t="shared" si="4"/>
        <v>1441</v>
      </c>
      <c r="S69" s="243">
        <f>IF(AND($K$2&gt;=DATEVALUE("03/04/2020"),$K$2&lt;=DATEVALUE("31/12/2020")),0,IF(Resumo!$C$19="PF",IF(R69&lt;360,0.0082%*R69,3%),IF(R69&lt;360,0.0041%*R69,1.5%)))</f>
        <v>1.4999999999999999E-2</v>
      </c>
      <c r="T69" s="172">
        <f t="shared" ca="1" si="11"/>
        <v>12.523370473537605</v>
      </c>
      <c r="X69" s="20">
        <f t="shared" ca="1" si="12"/>
        <v>2642.1876379567125</v>
      </c>
    </row>
    <row r="70" spans="2:24">
      <c r="B70" s="41">
        <f t="shared" si="5"/>
        <v>48</v>
      </c>
      <c r="C70" s="164">
        <f t="shared" si="6"/>
        <v>46218</v>
      </c>
      <c r="D70" s="42">
        <f t="shared" ca="1" si="0"/>
        <v>842.74931039701278</v>
      </c>
      <c r="E70" s="42">
        <f t="shared" ca="1" si="7"/>
        <v>1793.707632249</v>
      </c>
      <c r="F70" s="42">
        <f t="shared" ca="1" si="1"/>
        <v>2636.456942646013</v>
      </c>
      <c r="G70" s="42">
        <f ca="1">IF(B70&lt;=$D$16,G69*(1+$D$13)^((C70-C69)/_xlfn.DAYS(EDATE(C69,1),C69)),G69-D70)+IF(B70&lt;=$D$16,G69*Resumo!$F$12,0)+IF(B70&lt;=$D$16,$D$15*Resumo!$F$13,0)+IF(B70&lt;=$D$16,25,0)-IF(AND($D$16&gt;3,B70&lt;=$D$16),K70,0)</f>
        <v>262937.7848438677</v>
      </c>
      <c r="H70" s="42">
        <f ca="1">IF(AND(B70&lt;&gt;"",L70&lt;&gt;$D$17,$D$16&gt;3),G70*Resumo!$F$12,IF(AND(B70&lt;&gt;"",L70&lt;&gt;$D$17,B70&gt;$D$16),G70*Resumo!$F$12,0))</f>
        <v>55.21693481721222</v>
      </c>
      <c r="I70" s="42">
        <f>IF(AND(B70&lt;&gt;"",L70&lt;&gt;$D$17,$D$16&gt;3,$B70&lt;=$D$16),$D$15*Resumo!$F$13,IF(AND(B70&lt;&gt;"",L70&lt;&gt;$D$17,B70&gt;$D$16),$D$15*Resumo!$F$13,0))</f>
        <v>34.369999999999997</v>
      </c>
      <c r="J70" s="42">
        <f>IF(AND(B70&lt;&gt;"",L70&lt;&gt;$D$17,$D$16&gt;3,$B70&lt;=$D$16),Resumo!$F$11,IF(AND(B70&lt;&gt;"",L70&lt;&gt;$D$17,B70&gt;$D$16),Resumo!$F$11,0))</f>
        <v>25</v>
      </c>
      <c r="K70" s="42">
        <f t="shared" ca="1" si="2"/>
        <v>2751.0438774632253</v>
      </c>
      <c r="L70" s="39" t="str">
        <f>IF(B70&lt;&gt;"",VLOOKUP(MONTH(C70),Sheet2!$F$1:$G$12,2,0),"")</f>
        <v>Julho</v>
      </c>
      <c r="M70" s="200">
        <f t="shared" ca="1" si="8"/>
        <v>0</v>
      </c>
      <c r="N70" s="40">
        <f t="shared" ca="1" si="9"/>
        <v>2636.456942646013</v>
      </c>
      <c r="O70" s="40">
        <f t="shared" ca="1" si="3"/>
        <v>2751.0438774632253</v>
      </c>
      <c r="P70" s="40"/>
      <c r="Q70" s="20">
        <f t="shared" ca="1" si="10"/>
        <v>834.89136490250701</v>
      </c>
      <c r="R70" s="1">
        <f t="shared" si="4"/>
        <v>1471</v>
      </c>
      <c r="S70" s="243">
        <f>IF(AND($K$2&gt;=DATEVALUE("03/04/2020"),$K$2&lt;=DATEVALUE("31/12/2020")),0,IF(Resumo!$C$19="PF",IF(R70&lt;360,0.0082%*R70,3%),IF(R70&lt;360,0.0041%*R70,1.5%)))</f>
        <v>1.4999999999999999E-2</v>
      </c>
      <c r="T70" s="172">
        <f t="shared" ca="1" si="11"/>
        <v>12.523370473537605</v>
      </c>
      <c r="X70" s="20">
        <f t="shared" ca="1" si="12"/>
        <v>2636.456942646013</v>
      </c>
    </row>
    <row r="71" spans="2:24">
      <c r="B71" s="37">
        <f t="shared" si="5"/>
        <v>49</v>
      </c>
      <c r="C71" s="163">
        <f t="shared" si="6"/>
        <v>46249</v>
      </c>
      <c r="D71" s="38">
        <f t="shared" ca="1" si="0"/>
        <v>842.74931039701278</v>
      </c>
      <c r="E71" s="38">
        <f t="shared" ca="1" si="7"/>
        <v>1787.9769369383002</v>
      </c>
      <c r="F71" s="38">
        <f t="shared" ca="1" si="1"/>
        <v>2630.726247335313</v>
      </c>
      <c r="G71" s="38">
        <f ca="1">IF(B71&lt;=$D$16,G70*(1+$D$13)^((C71-C70)/_xlfn.DAYS(EDATE(C70,1),C70)),G70-D71)+IF(B71&lt;=$D$16,G70*Resumo!$F$12,0)+IF(B71&lt;=$D$16,$D$15*Resumo!$F$13,0)+IF(B71&lt;=$D$16,25,0)-IF(AND($D$16&gt;3,B71&lt;=$D$16),K71,0)</f>
        <v>262095.03553347068</v>
      </c>
      <c r="H71" s="38">
        <f ca="1">IF(AND(B71&lt;&gt;"",L71&lt;&gt;$D$17,$D$16&gt;3),G71*Resumo!$F$12,IF(AND(B71&lt;&gt;"",L71&lt;&gt;$D$17,B71&gt;$D$16),G71*Resumo!$F$12,0))</f>
        <v>55.039957462028845</v>
      </c>
      <c r="I71" s="38">
        <f>IF(AND(B71&lt;&gt;"",L71&lt;&gt;$D$17,$D$16&gt;3,$B71&lt;=$D$16),$D$15*Resumo!$F$13,IF(AND(B71&lt;&gt;"",L71&lt;&gt;$D$17,B71&gt;$D$16),$D$15*Resumo!$F$13,0))</f>
        <v>34.369999999999997</v>
      </c>
      <c r="J71" s="38">
        <f>IF(AND(B71&lt;&gt;"",L71&lt;&gt;$D$17,$D$16&gt;3,$B71&lt;=$D$16),Resumo!$F$11,IF(AND(B71&lt;&gt;"",L71&lt;&gt;$D$17,B71&gt;$D$16),Resumo!$F$11,0))</f>
        <v>25</v>
      </c>
      <c r="K71" s="38">
        <f t="shared" ca="1" si="2"/>
        <v>2745.1362047973416</v>
      </c>
      <c r="L71" s="39" t="str">
        <f>IF(B71&lt;&gt;"",VLOOKUP(MONTH(C71),Sheet2!$F$1:$G$12,2,0),"")</f>
        <v>Agosto</v>
      </c>
      <c r="M71" s="200">
        <f t="shared" ca="1" si="8"/>
        <v>0</v>
      </c>
      <c r="N71" s="40">
        <f t="shared" ca="1" si="9"/>
        <v>2630.726247335313</v>
      </c>
      <c r="O71" s="40">
        <f t="shared" ca="1" si="3"/>
        <v>2745.1362047973416</v>
      </c>
      <c r="P71" s="40"/>
      <c r="Q71" s="20">
        <f t="shared" ca="1" si="10"/>
        <v>834.89136490250701</v>
      </c>
      <c r="R71" s="1">
        <f t="shared" si="4"/>
        <v>1502</v>
      </c>
      <c r="S71" s="243">
        <f>IF(AND($K$2&gt;=DATEVALUE("03/04/2020"),$K$2&lt;=DATEVALUE("31/12/2020")),0,IF(Resumo!$C$19="PF",IF(R71&lt;360,0.0082%*R71,3%),IF(R71&lt;360,0.0041%*R71,1.5%)))</f>
        <v>1.4999999999999999E-2</v>
      </c>
      <c r="T71" s="172">
        <f t="shared" ca="1" si="11"/>
        <v>12.523370473537605</v>
      </c>
      <c r="X71" s="20">
        <f t="shared" ca="1" si="12"/>
        <v>2630.726247335313</v>
      </c>
    </row>
    <row r="72" spans="2:24">
      <c r="B72" s="41">
        <f t="shared" si="5"/>
        <v>50</v>
      </c>
      <c r="C72" s="164">
        <f t="shared" si="6"/>
        <v>46280</v>
      </c>
      <c r="D72" s="42">
        <f t="shared" ca="1" si="0"/>
        <v>842.74931039701278</v>
      </c>
      <c r="E72" s="42">
        <f t="shared" ca="1" si="7"/>
        <v>1782.2462416276005</v>
      </c>
      <c r="F72" s="42">
        <f t="shared" ca="1" si="1"/>
        <v>2624.9955520246131</v>
      </c>
      <c r="G72" s="42">
        <f ca="1">IF(B72&lt;=$D$16,G71*(1+$D$13)^((C72-C71)/_xlfn.DAYS(EDATE(C71,1),C71)),G71-D72)+IF(B72&lt;=$D$16,G71*Resumo!$F$12,0)+IF(B72&lt;=$D$16,$D$15*Resumo!$F$13,0)+IF(B72&lt;=$D$16,25,0)-IF(AND($D$16&gt;3,B72&lt;=$D$16),K72,0)</f>
        <v>261252.28622307366</v>
      </c>
      <c r="H72" s="42">
        <f ca="1">IF(AND(B72&lt;&gt;"",L72&lt;&gt;$D$17,$D$16&gt;3),G72*Resumo!$F$12,IF(AND(B72&lt;&gt;"",L72&lt;&gt;$D$17,B72&gt;$D$16),G72*Resumo!$F$12,0))</f>
        <v>54.86298010684547</v>
      </c>
      <c r="I72" s="42">
        <f>IF(AND(B72&lt;&gt;"",L72&lt;&gt;$D$17,$D$16&gt;3,$B72&lt;=$D$16),$D$15*Resumo!$F$13,IF(AND(B72&lt;&gt;"",L72&lt;&gt;$D$17,B72&gt;$D$16),$D$15*Resumo!$F$13,0))</f>
        <v>34.369999999999997</v>
      </c>
      <c r="J72" s="42">
        <f>IF(AND(B72&lt;&gt;"",L72&lt;&gt;$D$17,$D$16&gt;3,$B72&lt;=$D$16),Resumo!$F$11,IF(AND(B72&lt;&gt;"",L72&lt;&gt;$D$17,B72&gt;$D$16),Resumo!$F$11,0))</f>
        <v>25</v>
      </c>
      <c r="K72" s="42">
        <f t="shared" ca="1" si="2"/>
        <v>2739.2285321314585</v>
      </c>
      <c r="L72" s="39" t="str">
        <f>IF(B72&lt;&gt;"",VLOOKUP(MONTH(C72),Sheet2!$F$1:$G$12,2,0),"")</f>
        <v>Setembro</v>
      </c>
      <c r="M72" s="200">
        <f t="shared" ca="1" si="8"/>
        <v>0</v>
      </c>
      <c r="N72" s="40">
        <f t="shared" ca="1" si="9"/>
        <v>2624.9955520246131</v>
      </c>
      <c r="O72" s="40">
        <f t="shared" ca="1" si="3"/>
        <v>2739.2285321314585</v>
      </c>
      <c r="P72" s="40"/>
      <c r="Q72" s="20">
        <f t="shared" ca="1" si="10"/>
        <v>834.89136490250701</v>
      </c>
      <c r="R72" s="1">
        <f t="shared" si="4"/>
        <v>1533</v>
      </c>
      <c r="S72" s="243">
        <f>IF(AND($K$2&gt;=DATEVALUE("03/04/2020"),$K$2&lt;=DATEVALUE("31/12/2020")),0,IF(Resumo!$C$19="PF",IF(R72&lt;360,0.0082%*R72,3%),IF(R72&lt;360,0.0041%*R72,1.5%)))</f>
        <v>1.4999999999999999E-2</v>
      </c>
      <c r="T72" s="172">
        <f t="shared" ca="1" si="11"/>
        <v>12.523370473537605</v>
      </c>
      <c r="X72" s="20">
        <f t="shared" ca="1" si="12"/>
        <v>2624.9955520246131</v>
      </c>
    </row>
    <row r="73" spans="2:24">
      <c r="B73" s="37">
        <f t="shared" si="5"/>
        <v>51</v>
      </c>
      <c r="C73" s="163">
        <f t="shared" si="6"/>
        <v>46310</v>
      </c>
      <c r="D73" s="38">
        <f t="shared" ca="1" si="0"/>
        <v>842.74931039701278</v>
      </c>
      <c r="E73" s="38">
        <f t="shared" ca="1" si="7"/>
        <v>1776.5155463169008</v>
      </c>
      <c r="F73" s="38">
        <f t="shared" ca="1" si="1"/>
        <v>2619.2648567139136</v>
      </c>
      <c r="G73" s="38">
        <f ca="1">IF(B73&lt;=$D$16,G72*(1+$D$13)^((C73-C72)/_xlfn.DAYS(EDATE(C72,1),C72)),G72-D73)+IF(B73&lt;=$D$16,G72*Resumo!$F$12,0)+IF(B73&lt;=$D$16,$D$15*Resumo!$F$13,0)+IF(B73&lt;=$D$16,25,0)-IF(AND($D$16&gt;3,B73&lt;=$D$16),K73,0)</f>
        <v>260409.53691267665</v>
      </c>
      <c r="H73" s="38">
        <f ca="1">IF(AND(B73&lt;&gt;"",L73&lt;&gt;$D$17,$D$16&gt;3),G73*Resumo!$F$12,IF(AND(B73&lt;&gt;"",L73&lt;&gt;$D$17,B73&gt;$D$16),G73*Resumo!$F$12,0))</f>
        <v>54.686002751662095</v>
      </c>
      <c r="I73" s="38">
        <f>IF(AND(B73&lt;&gt;"",L73&lt;&gt;$D$17,$D$16&gt;3,$B73&lt;=$D$16),$D$15*Resumo!$F$13,IF(AND(B73&lt;&gt;"",L73&lt;&gt;$D$17,B73&gt;$D$16),$D$15*Resumo!$F$13,0))</f>
        <v>34.369999999999997</v>
      </c>
      <c r="J73" s="38">
        <f>IF(AND(B73&lt;&gt;"",L73&lt;&gt;$D$17,$D$16&gt;3,$B73&lt;=$D$16),Resumo!$F$11,IF(AND(B73&lt;&gt;"",L73&lt;&gt;$D$17,B73&gt;$D$16),Resumo!$F$11,0))</f>
        <v>25</v>
      </c>
      <c r="K73" s="38">
        <f t="shared" ca="1" si="2"/>
        <v>2733.3208594655757</v>
      </c>
      <c r="L73" s="39" t="str">
        <f>IF(B73&lt;&gt;"",VLOOKUP(MONTH(C73),Sheet2!$F$1:$G$12,2,0),"")</f>
        <v>Outubro</v>
      </c>
      <c r="M73" s="200">
        <f t="shared" ca="1" si="8"/>
        <v>0</v>
      </c>
      <c r="N73" s="40">
        <f t="shared" ca="1" si="9"/>
        <v>2619.2648567139136</v>
      </c>
      <c r="O73" s="40">
        <f t="shared" ca="1" si="3"/>
        <v>2733.3208594655757</v>
      </c>
      <c r="P73" s="40"/>
      <c r="Q73" s="20">
        <f t="shared" ca="1" si="10"/>
        <v>834.89136490250701</v>
      </c>
      <c r="R73" s="1">
        <f t="shared" si="4"/>
        <v>1563</v>
      </c>
      <c r="S73" s="243">
        <f>IF(AND($K$2&gt;=DATEVALUE("03/04/2020"),$K$2&lt;=DATEVALUE("31/12/2020")),0,IF(Resumo!$C$19="PF",IF(R73&lt;360,0.0082%*R73,3%),IF(R73&lt;360,0.0041%*R73,1.5%)))</f>
        <v>1.4999999999999999E-2</v>
      </c>
      <c r="T73" s="172">
        <f t="shared" ca="1" si="11"/>
        <v>12.523370473537605</v>
      </c>
      <c r="X73" s="20">
        <f t="shared" ca="1" si="12"/>
        <v>2619.2648567139136</v>
      </c>
    </row>
    <row r="74" spans="2:24">
      <c r="B74" s="41">
        <f t="shared" si="5"/>
        <v>52</v>
      </c>
      <c r="C74" s="164">
        <f t="shared" si="6"/>
        <v>46341</v>
      </c>
      <c r="D74" s="42">
        <f t="shared" ca="1" si="0"/>
        <v>842.74931039701278</v>
      </c>
      <c r="E74" s="42">
        <f t="shared" ca="1" si="7"/>
        <v>1770.7848510062011</v>
      </c>
      <c r="F74" s="42">
        <f t="shared" ca="1" si="1"/>
        <v>2613.5341614032141</v>
      </c>
      <c r="G74" s="42">
        <f ca="1">IF(B74&lt;=$D$16,G73*(1+$D$13)^((C74-C73)/_xlfn.DAYS(EDATE(C73,1),C73)),G73-D74)+IF(B74&lt;=$D$16,G73*Resumo!$F$12,0)+IF(B74&lt;=$D$16,$D$15*Resumo!$F$13,0)+IF(B74&lt;=$D$16,25,0)-IF(AND($D$16&gt;3,B74&lt;=$D$16),K74,0)</f>
        <v>259566.78760227963</v>
      </c>
      <c r="H74" s="42">
        <f ca="1">IF(AND(B74&lt;&gt;"",L74&lt;&gt;$D$17,$D$16&gt;3),G74*Resumo!$F$12,IF(AND(B74&lt;&gt;"",L74&lt;&gt;$D$17,B74&gt;$D$16),G74*Resumo!$F$12,0))</f>
        <v>54.509025396478727</v>
      </c>
      <c r="I74" s="42">
        <f>IF(AND(B74&lt;&gt;"",L74&lt;&gt;$D$17,$D$16&gt;3,$B74&lt;=$D$16),$D$15*Resumo!$F$13,IF(AND(B74&lt;&gt;"",L74&lt;&gt;$D$17,B74&gt;$D$16),$D$15*Resumo!$F$13,0))</f>
        <v>34.369999999999997</v>
      </c>
      <c r="J74" s="42">
        <f>IF(AND(B74&lt;&gt;"",L74&lt;&gt;$D$17,$D$16&gt;3,$B74&lt;=$D$16),Resumo!$F$11,IF(AND(B74&lt;&gt;"",L74&lt;&gt;$D$17,B74&gt;$D$16),Resumo!$F$11,0))</f>
        <v>25</v>
      </c>
      <c r="K74" s="42">
        <f t="shared" ca="1" si="2"/>
        <v>2727.4131867996925</v>
      </c>
      <c r="L74" s="39" t="str">
        <f>IF(B74&lt;&gt;"",VLOOKUP(MONTH(C74),Sheet2!$F$1:$G$12,2,0),"")</f>
        <v>Novembro</v>
      </c>
      <c r="M74" s="200">
        <f t="shared" ca="1" si="8"/>
        <v>0</v>
      </c>
      <c r="N74" s="40">
        <f t="shared" ca="1" si="9"/>
        <v>2613.5341614032141</v>
      </c>
      <c r="O74" s="40">
        <f t="shared" ca="1" si="3"/>
        <v>2727.4131867996925</v>
      </c>
      <c r="P74" s="40"/>
      <c r="Q74" s="20">
        <f t="shared" ca="1" si="10"/>
        <v>834.89136490250701</v>
      </c>
      <c r="R74" s="1">
        <f t="shared" si="4"/>
        <v>1594</v>
      </c>
      <c r="S74" s="243">
        <f>IF(AND($K$2&gt;=DATEVALUE("03/04/2020"),$K$2&lt;=DATEVALUE("31/12/2020")),0,IF(Resumo!$C$19="PF",IF(R74&lt;360,0.0082%*R74,3%),IF(R74&lt;360,0.0041%*R74,1.5%)))</f>
        <v>1.4999999999999999E-2</v>
      </c>
      <c r="T74" s="172">
        <f t="shared" ca="1" si="11"/>
        <v>12.523370473537605</v>
      </c>
      <c r="X74" s="20">
        <f t="shared" ca="1" si="12"/>
        <v>2613.5341614032141</v>
      </c>
    </row>
    <row r="75" spans="2:24">
      <c r="B75" s="37">
        <f t="shared" si="5"/>
        <v>53</v>
      </c>
      <c r="C75" s="163">
        <f t="shared" si="6"/>
        <v>46371</v>
      </c>
      <c r="D75" s="38">
        <f t="shared" ca="1" si="0"/>
        <v>842.74931039701278</v>
      </c>
      <c r="E75" s="38">
        <f t="shared" ca="1" si="7"/>
        <v>1765.0541556955013</v>
      </c>
      <c r="F75" s="38">
        <f t="shared" ca="1" si="1"/>
        <v>2607.8034660925141</v>
      </c>
      <c r="G75" s="38">
        <f ca="1">IF(B75&lt;=$D$16,G74*(1+$D$13)^((C75-C74)/_xlfn.DAYS(EDATE(C74,1),C74)),G74-D75)+IF(B75&lt;=$D$16,G74*Resumo!$F$12,0)+IF(B75&lt;=$D$16,$D$15*Resumo!$F$13,0)+IF(B75&lt;=$D$16,25,0)-IF(AND($D$16&gt;3,B75&lt;=$D$16),K75,0)</f>
        <v>258724.03829188261</v>
      </c>
      <c r="H75" s="38">
        <f ca="1">IF(AND(B75&lt;&gt;"",L75&lt;&gt;$D$17,$D$16&gt;3),G75*Resumo!$F$12,IF(AND(B75&lt;&gt;"",L75&lt;&gt;$D$17,B75&gt;$D$16),G75*Resumo!$F$12,0))</f>
        <v>54.332048041295351</v>
      </c>
      <c r="I75" s="38">
        <f>IF(AND(B75&lt;&gt;"",L75&lt;&gt;$D$17,$D$16&gt;3,$B75&lt;=$D$16),$D$15*Resumo!$F$13,IF(AND(B75&lt;&gt;"",L75&lt;&gt;$D$17,B75&gt;$D$16),$D$15*Resumo!$F$13,0))</f>
        <v>34.369999999999997</v>
      </c>
      <c r="J75" s="38">
        <f>IF(AND(B75&lt;&gt;"",L75&lt;&gt;$D$17,$D$16&gt;3,$B75&lt;=$D$16),Resumo!$F$11,IF(AND(B75&lt;&gt;"",L75&lt;&gt;$D$17,B75&gt;$D$16),Resumo!$F$11,0))</f>
        <v>25</v>
      </c>
      <c r="K75" s="38">
        <f t="shared" ca="1" si="2"/>
        <v>2721.5055141338094</v>
      </c>
      <c r="L75" s="39" t="str">
        <f>IF(B75&lt;&gt;"",VLOOKUP(MONTH(C75),Sheet2!$F$1:$G$12,2,0),"")</f>
        <v>Dezembro</v>
      </c>
      <c r="M75" s="200">
        <f t="shared" ca="1" si="8"/>
        <v>0</v>
      </c>
      <c r="N75" s="40">
        <f t="shared" ca="1" si="9"/>
        <v>2607.8034660925141</v>
      </c>
      <c r="O75" s="40">
        <f t="shared" ca="1" si="3"/>
        <v>2721.5055141338094</v>
      </c>
      <c r="P75" s="40"/>
      <c r="Q75" s="20">
        <f t="shared" ca="1" si="10"/>
        <v>834.89136490250701</v>
      </c>
      <c r="R75" s="1">
        <f t="shared" si="4"/>
        <v>1624</v>
      </c>
      <c r="S75" s="243">
        <f>IF(AND($K$2&gt;=DATEVALUE("03/04/2020"),$K$2&lt;=DATEVALUE("31/12/2020")),0,IF(Resumo!$C$19="PF",IF(R75&lt;360,0.0082%*R75,3%),IF(R75&lt;360,0.0041%*R75,1.5%)))</f>
        <v>1.4999999999999999E-2</v>
      </c>
      <c r="T75" s="172">
        <f t="shared" ca="1" si="11"/>
        <v>12.523370473537605</v>
      </c>
      <c r="X75" s="20">
        <f t="shared" ca="1" si="12"/>
        <v>2607.8034660925141</v>
      </c>
    </row>
    <row r="76" spans="2:24">
      <c r="B76" s="41">
        <f t="shared" si="5"/>
        <v>54</v>
      </c>
      <c r="C76" s="164">
        <f t="shared" si="6"/>
        <v>46402</v>
      </c>
      <c r="D76" s="42">
        <f t="shared" ca="1" si="0"/>
        <v>842.74931039701278</v>
      </c>
      <c r="E76" s="42">
        <f t="shared" ca="1" si="7"/>
        <v>1759.3234603848016</v>
      </c>
      <c r="F76" s="42">
        <f t="shared" ca="1" si="1"/>
        <v>2602.0727707818141</v>
      </c>
      <c r="G76" s="42">
        <f ca="1">IF(B76&lt;=$D$16,G75*(1+$D$13)^((C76-C75)/_xlfn.DAYS(EDATE(C75,1),C75)),G75-D76)+IF(B76&lt;=$D$16,G75*Resumo!$F$12,0)+IF(B76&lt;=$D$16,$D$15*Resumo!$F$13,0)+IF(B76&lt;=$D$16,25,0)-IF(AND($D$16&gt;3,B76&lt;=$D$16),K76,0)</f>
        <v>257881.28898148559</v>
      </c>
      <c r="H76" s="42">
        <f ca="1">IF(AND(B76&lt;&gt;"",L76&lt;&gt;$D$17,$D$16&gt;3),G76*Resumo!$F$12,IF(AND(B76&lt;&gt;"",L76&lt;&gt;$D$17,B76&gt;$D$16),G76*Resumo!$F$12,0))</f>
        <v>54.155070686111976</v>
      </c>
      <c r="I76" s="42">
        <f>IF(AND(B76&lt;&gt;"",L76&lt;&gt;$D$17,$D$16&gt;3,$B76&lt;=$D$16),$D$15*Resumo!$F$13,IF(AND(B76&lt;&gt;"",L76&lt;&gt;$D$17,B76&gt;$D$16),$D$15*Resumo!$F$13,0))</f>
        <v>34.369999999999997</v>
      </c>
      <c r="J76" s="42">
        <f>IF(AND(B76&lt;&gt;"",L76&lt;&gt;$D$17,$D$16&gt;3,$B76&lt;=$D$16),Resumo!$F$11,IF(AND(B76&lt;&gt;"",L76&lt;&gt;$D$17,B76&gt;$D$16),Resumo!$F$11,0))</f>
        <v>25</v>
      </c>
      <c r="K76" s="42">
        <f t="shared" ca="1" si="2"/>
        <v>2715.5978414679262</v>
      </c>
      <c r="L76" s="39" t="str">
        <f>IF(B76&lt;&gt;"",VLOOKUP(MONTH(C76),Sheet2!$F$1:$G$12,2,0),"")</f>
        <v>Janeiro</v>
      </c>
      <c r="M76" s="200">
        <f t="shared" ca="1" si="8"/>
        <v>0</v>
      </c>
      <c r="N76" s="40">
        <f t="shared" ca="1" si="9"/>
        <v>2602.0727707818141</v>
      </c>
      <c r="O76" s="40">
        <f t="shared" ca="1" si="3"/>
        <v>2715.5978414679262</v>
      </c>
      <c r="P76" s="40"/>
      <c r="Q76" s="20">
        <f t="shared" ca="1" si="10"/>
        <v>834.89136490250701</v>
      </c>
      <c r="R76" s="1">
        <f t="shared" si="4"/>
        <v>1655</v>
      </c>
      <c r="S76" s="243">
        <f>IF(AND($K$2&gt;=DATEVALUE("03/04/2020"),$K$2&lt;=DATEVALUE("31/12/2020")),0,IF(Resumo!$C$19="PF",IF(R76&lt;360,0.0082%*R76,3%),IF(R76&lt;360,0.0041%*R76,1.5%)))</f>
        <v>1.4999999999999999E-2</v>
      </c>
      <c r="T76" s="172">
        <f t="shared" ca="1" si="11"/>
        <v>12.523370473537605</v>
      </c>
      <c r="X76" s="20">
        <f t="shared" ca="1" si="12"/>
        <v>2602.0727707818141</v>
      </c>
    </row>
    <row r="77" spans="2:24">
      <c r="B77" s="37">
        <f t="shared" si="5"/>
        <v>55</v>
      </c>
      <c r="C77" s="163">
        <f t="shared" si="6"/>
        <v>46433</v>
      </c>
      <c r="D77" s="38">
        <f t="shared" ca="1" si="0"/>
        <v>842.74931039701278</v>
      </c>
      <c r="E77" s="38">
        <f t="shared" ca="1" si="7"/>
        <v>1753.5927650741019</v>
      </c>
      <c r="F77" s="38">
        <f t="shared" ca="1" si="1"/>
        <v>2596.3420754711146</v>
      </c>
      <c r="G77" s="38">
        <f ca="1">IF(B77&lt;=$D$16,G76*(1+$D$13)^((C77-C76)/_xlfn.DAYS(EDATE(C76,1),C76)),G76-D77)+IF(B77&lt;=$D$16,G76*Resumo!$F$12,0)+IF(B77&lt;=$D$16,$D$15*Resumo!$F$13,0)+IF(B77&lt;=$D$16,25,0)-IF(AND($D$16&gt;3,B77&lt;=$D$16),K77,0)</f>
        <v>257038.53967108857</v>
      </c>
      <c r="H77" s="38">
        <f ca="1">IF(AND(B77&lt;&gt;"",L77&lt;&gt;$D$17,$D$16&gt;3),G77*Resumo!$F$12,IF(AND(B77&lt;&gt;"",L77&lt;&gt;$D$17,B77&gt;$D$16),G77*Resumo!$F$12,0))</f>
        <v>53.978093330928601</v>
      </c>
      <c r="I77" s="38">
        <f>IF(AND(B77&lt;&gt;"",L77&lt;&gt;$D$17,$D$16&gt;3,$B77&lt;=$D$16),$D$15*Resumo!$F$13,IF(AND(B77&lt;&gt;"",L77&lt;&gt;$D$17,B77&gt;$D$16),$D$15*Resumo!$F$13,0))</f>
        <v>34.369999999999997</v>
      </c>
      <c r="J77" s="38">
        <f>IF(AND(B77&lt;&gt;"",L77&lt;&gt;$D$17,$D$16&gt;3,$B77&lt;=$D$16),Resumo!$F$11,IF(AND(B77&lt;&gt;"",L77&lt;&gt;$D$17,B77&gt;$D$16),Resumo!$F$11,0))</f>
        <v>25</v>
      </c>
      <c r="K77" s="38">
        <f t="shared" ca="1" si="2"/>
        <v>2709.690168802043</v>
      </c>
      <c r="L77" s="39" t="str">
        <f>IF(B77&lt;&gt;"",VLOOKUP(MONTH(C77),Sheet2!$F$1:$G$12,2,0),"")</f>
        <v>Fevereiro</v>
      </c>
      <c r="M77" s="200">
        <f t="shared" ca="1" si="8"/>
        <v>0</v>
      </c>
      <c r="N77" s="40">
        <f t="shared" ca="1" si="9"/>
        <v>2596.3420754711146</v>
      </c>
      <c r="O77" s="40">
        <f t="shared" ca="1" si="3"/>
        <v>2709.690168802043</v>
      </c>
      <c r="P77" s="40"/>
      <c r="Q77" s="20">
        <f t="shared" ca="1" si="10"/>
        <v>834.89136490250701</v>
      </c>
      <c r="R77" s="1">
        <f t="shared" si="4"/>
        <v>1686</v>
      </c>
      <c r="S77" s="243">
        <f>IF(AND($K$2&gt;=DATEVALUE("03/04/2020"),$K$2&lt;=DATEVALUE("31/12/2020")),0,IF(Resumo!$C$19="PF",IF(R77&lt;360,0.0082%*R77,3%),IF(R77&lt;360,0.0041%*R77,1.5%)))</f>
        <v>1.4999999999999999E-2</v>
      </c>
      <c r="T77" s="172">
        <f t="shared" ca="1" si="11"/>
        <v>12.523370473537605</v>
      </c>
      <c r="X77" s="20">
        <f t="shared" ca="1" si="12"/>
        <v>2596.3420754711146</v>
      </c>
    </row>
    <row r="78" spans="2:24">
      <c r="B78" s="41">
        <f t="shared" si="5"/>
        <v>56</v>
      </c>
      <c r="C78" s="164">
        <f t="shared" si="6"/>
        <v>46461</v>
      </c>
      <c r="D78" s="42">
        <f t="shared" ca="1" si="0"/>
        <v>842.74931039701278</v>
      </c>
      <c r="E78" s="42">
        <f t="shared" ca="1" si="7"/>
        <v>1747.8620697634021</v>
      </c>
      <c r="F78" s="42">
        <f t="shared" ca="1" si="1"/>
        <v>2590.6113801604151</v>
      </c>
      <c r="G78" s="42">
        <f ca="1">IF(B78&lt;=$D$16,G77*(1+$D$13)^((C78-C77)/_xlfn.DAYS(EDATE(C77,1),C77)),G77-D78)+IF(B78&lt;=$D$16,G77*Resumo!$F$12,0)+IF(B78&lt;=$D$16,$D$15*Resumo!$F$13,0)+IF(B78&lt;=$D$16,25,0)-IF(AND($D$16&gt;3,B78&lt;=$D$16),K78,0)</f>
        <v>256195.79036069155</v>
      </c>
      <c r="H78" s="42">
        <f ca="1">IF(AND(B78&lt;&gt;"",L78&lt;&gt;$D$17,$D$16&gt;3),G78*Resumo!$F$12,IF(AND(B78&lt;&gt;"",L78&lt;&gt;$D$17,B78&gt;$D$16),G78*Resumo!$F$12,0))</f>
        <v>53.801115975745226</v>
      </c>
      <c r="I78" s="42">
        <f>IF(AND(B78&lt;&gt;"",L78&lt;&gt;$D$17,$D$16&gt;3,$B78&lt;=$D$16),$D$15*Resumo!$F$13,IF(AND(B78&lt;&gt;"",L78&lt;&gt;$D$17,B78&gt;$D$16),$D$15*Resumo!$F$13,0))</f>
        <v>34.369999999999997</v>
      </c>
      <c r="J78" s="42">
        <f>IF(AND(B78&lt;&gt;"",L78&lt;&gt;$D$17,$D$16&gt;3,$B78&lt;=$D$16),Resumo!$F$11,IF(AND(B78&lt;&gt;"",L78&lt;&gt;$D$17,B78&gt;$D$16),Resumo!$F$11,0))</f>
        <v>25</v>
      </c>
      <c r="K78" s="42">
        <f t="shared" ca="1" si="2"/>
        <v>2703.7824961361603</v>
      </c>
      <c r="L78" s="39" t="str">
        <f>IF(B78&lt;&gt;"",VLOOKUP(MONTH(C78),Sheet2!$F$1:$G$12,2,0),"")</f>
        <v>Março</v>
      </c>
      <c r="M78" s="200">
        <f t="shared" ca="1" si="8"/>
        <v>0</v>
      </c>
      <c r="N78" s="40">
        <f t="shared" ca="1" si="9"/>
        <v>2590.6113801604151</v>
      </c>
      <c r="O78" s="40">
        <f t="shared" ca="1" si="3"/>
        <v>2703.7824961361603</v>
      </c>
      <c r="P78" s="40"/>
      <c r="Q78" s="20">
        <f t="shared" ca="1" si="10"/>
        <v>834.89136490250701</v>
      </c>
      <c r="R78" s="1">
        <f t="shared" si="4"/>
        <v>1714</v>
      </c>
      <c r="S78" s="243">
        <f>IF(AND($K$2&gt;=DATEVALUE("03/04/2020"),$K$2&lt;=DATEVALUE("31/12/2020")),0,IF(Resumo!$C$19="PF",IF(R78&lt;360,0.0082%*R78,3%),IF(R78&lt;360,0.0041%*R78,1.5%)))</f>
        <v>1.4999999999999999E-2</v>
      </c>
      <c r="T78" s="172">
        <f t="shared" ca="1" si="11"/>
        <v>12.523370473537605</v>
      </c>
      <c r="X78" s="20">
        <f t="shared" ca="1" si="12"/>
        <v>2590.6113801604151</v>
      </c>
    </row>
    <row r="79" spans="2:24">
      <c r="B79" s="37">
        <f t="shared" si="5"/>
        <v>57</v>
      </c>
      <c r="C79" s="163">
        <f t="shared" si="6"/>
        <v>46492</v>
      </c>
      <c r="D79" s="38">
        <f t="shared" ca="1" si="0"/>
        <v>842.74931039701278</v>
      </c>
      <c r="E79" s="38">
        <f t="shared" ca="1" si="7"/>
        <v>1742.1313744527024</v>
      </c>
      <c r="F79" s="38">
        <f t="shared" ca="1" si="1"/>
        <v>2584.8806848497152</v>
      </c>
      <c r="G79" s="38">
        <f ca="1">IF(B79&lt;=$D$16,G78*(1+$D$13)^((C79-C78)/_xlfn.DAYS(EDATE(C78,1),C78)),G78-D79)+IF(B79&lt;=$D$16,G78*Resumo!$F$12,0)+IF(B79&lt;=$D$16,$D$15*Resumo!$F$13,0)+IF(B79&lt;=$D$16,25,0)-IF(AND($D$16&gt;3,B79&lt;=$D$16),K79,0)</f>
        <v>255353.04105029453</v>
      </c>
      <c r="H79" s="38">
        <f ca="1">IF(AND(B79&lt;&gt;"",L79&lt;&gt;$D$17,$D$16&gt;3),G79*Resumo!$F$12,IF(AND(B79&lt;&gt;"",L79&lt;&gt;$D$17,B79&gt;$D$16),G79*Resumo!$F$12,0))</f>
        <v>53.624138620561851</v>
      </c>
      <c r="I79" s="38">
        <f>IF(AND(B79&lt;&gt;"",L79&lt;&gt;$D$17,$D$16&gt;3,$B79&lt;=$D$16),$D$15*Resumo!$F$13,IF(AND(B79&lt;&gt;"",L79&lt;&gt;$D$17,B79&gt;$D$16),$D$15*Resumo!$F$13,0))</f>
        <v>34.369999999999997</v>
      </c>
      <c r="J79" s="38">
        <f>IF(AND(B79&lt;&gt;"",L79&lt;&gt;$D$17,$D$16&gt;3,$B79&lt;=$D$16),Resumo!$F$11,IF(AND(B79&lt;&gt;"",L79&lt;&gt;$D$17,B79&gt;$D$16),Resumo!$F$11,0))</f>
        <v>25</v>
      </c>
      <c r="K79" s="38">
        <f t="shared" ca="1" si="2"/>
        <v>2697.8748234702771</v>
      </c>
      <c r="L79" s="39" t="str">
        <f>IF(B79&lt;&gt;"",VLOOKUP(MONTH(C79),Sheet2!$F$1:$G$12,2,0),"")</f>
        <v>Abril</v>
      </c>
      <c r="M79" s="200">
        <f t="shared" ca="1" si="8"/>
        <v>0</v>
      </c>
      <c r="N79" s="40">
        <f t="shared" ca="1" si="9"/>
        <v>2584.8806848497152</v>
      </c>
      <c r="O79" s="40">
        <f t="shared" ca="1" si="3"/>
        <v>2697.8748234702771</v>
      </c>
      <c r="P79" s="40"/>
      <c r="Q79" s="20">
        <f t="shared" ca="1" si="10"/>
        <v>834.89136490250701</v>
      </c>
      <c r="R79" s="1">
        <f t="shared" si="4"/>
        <v>1745</v>
      </c>
      <c r="S79" s="243">
        <f>IF(AND($K$2&gt;=DATEVALUE("03/04/2020"),$K$2&lt;=DATEVALUE("31/12/2020")),0,IF(Resumo!$C$19="PF",IF(R79&lt;360,0.0082%*R79,3%),IF(R79&lt;360,0.0041%*R79,1.5%)))</f>
        <v>1.4999999999999999E-2</v>
      </c>
      <c r="T79" s="172">
        <f t="shared" ca="1" si="11"/>
        <v>12.523370473537605</v>
      </c>
      <c r="X79" s="20">
        <f t="shared" ca="1" si="12"/>
        <v>2584.8806848497152</v>
      </c>
    </row>
    <row r="80" spans="2:24">
      <c r="B80" s="41">
        <f t="shared" si="5"/>
        <v>58</v>
      </c>
      <c r="C80" s="164">
        <f t="shared" si="6"/>
        <v>46522</v>
      </c>
      <c r="D80" s="42">
        <f t="shared" ca="1" si="0"/>
        <v>842.74931039701278</v>
      </c>
      <c r="E80" s="42">
        <f t="shared" ca="1" si="7"/>
        <v>1736.4006791420027</v>
      </c>
      <c r="F80" s="42">
        <f t="shared" ca="1" si="1"/>
        <v>2579.1499895390152</v>
      </c>
      <c r="G80" s="42">
        <f ca="1">IF(B80&lt;=$D$16,G79*(1+$D$13)^((C80-C79)/_xlfn.DAYS(EDATE(C79,1),C79)),G79-D80)+IF(B80&lt;=$D$16,G79*Resumo!$F$12,0)+IF(B80&lt;=$D$16,$D$15*Resumo!$F$13,0)+IF(B80&lt;=$D$16,25,0)-IF(AND($D$16&gt;3,B80&lt;=$D$16),K80,0)</f>
        <v>254510.29173989751</v>
      </c>
      <c r="H80" s="42">
        <f ca="1">IF(AND(B80&lt;&gt;"",L80&lt;&gt;$D$17,$D$16&gt;3),G80*Resumo!$F$12,IF(AND(B80&lt;&gt;"",L80&lt;&gt;$D$17,B80&gt;$D$16),G80*Resumo!$F$12,0))</f>
        <v>53.447161265378483</v>
      </c>
      <c r="I80" s="42">
        <f>IF(AND(B80&lt;&gt;"",L80&lt;&gt;$D$17,$D$16&gt;3,$B80&lt;=$D$16),$D$15*Resumo!$F$13,IF(AND(B80&lt;&gt;"",L80&lt;&gt;$D$17,B80&gt;$D$16),$D$15*Resumo!$F$13,0))</f>
        <v>34.369999999999997</v>
      </c>
      <c r="J80" s="42">
        <f>IF(AND(B80&lt;&gt;"",L80&lt;&gt;$D$17,$D$16&gt;3,$B80&lt;=$D$16),Resumo!$F$11,IF(AND(B80&lt;&gt;"",L80&lt;&gt;$D$17,B80&gt;$D$16),Resumo!$F$11,0))</f>
        <v>25</v>
      </c>
      <c r="K80" s="42">
        <f t="shared" ca="1" si="2"/>
        <v>2691.9671508043934</v>
      </c>
      <c r="L80" s="39" t="str">
        <f>IF(B80&lt;&gt;"",VLOOKUP(MONTH(C80),Sheet2!$F$1:$G$12,2,0),"")</f>
        <v>Maio</v>
      </c>
      <c r="M80" s="200">
        <f t="shared" ca="1" si="8"/>
        <v>0</v>
      </c>
      <c r="N80" s="40">
        <f t="shared" ca="1" si="9"/>
        <v>2579.1499895390152</v>
      </c>
      <c r="O80" s="40">
        <f t="shared" ca="1" si="3"/>
        <v>2691.9671508043934</v>
      </c>
      <c r="P80" s="40"/>
      <c r="Q80" s="20">
        <f t="shared" ca="1" si="10"/>
        <v>834.89136490250701</v>
      </c>
      <c r="R80" s="1">
        <f t="shared" si="4"/>
        <v>1775</v>
      </c>
      <c r="S80" s="243">
        <f>IF(AND($K$2&gt;=DATEVALUE("03/04/2020"),$K$2&lt;=DATEVALUE("31/12/2020")),0,IF(Resumo!$C$19="PF",IF(R80&lt;360,0.0082%*R80,3%),IF(R80&lt;360,0.0041%*R80,1.5%)))</f>
        <v>1.4999999999999999E-2</v>
      </c>
      <c r="T80" s="172">
        <f t="shared" ca="1" si="11"/>
        <v>12.523370473537605</v>
      </c>
      <c r="X80" s="20">
        <f t="shared" ca="1" si="12"/>
        <v>2579.1499895390152</v>
      </c>
    </row>
    <row r="81" spans="2:24">
      <c r="B81" s="37">
        <f t="shared" si="5"/>
        <v>59</v>
      </c>
      <c r="C81" s="163">
        <f t="shared" si="6"/>
        <v>46553</v>
      </c>
      <c r="D81" s="38">
        <f t="shared" ca="1" si="0"/>
        <v>842.74931039701278</v>
      </c>
      <c r="E81" s="38">
        <f t="shared" ca="1" si="7"/>
        <v>1730.6699838313029</v>
      </c>
      <c r="F81" s="38">
        <f t="shared" ca="1" si="1"/>
        <v>2573.4192942283157</v>
      </c>
      <c r="G81" s="38">
        <f ca="1">IF(B81&lt;=$D$16,G80*(1+$D$13)^((C81-C80)/_xlfn.DAYS(EDATE(C80,1),C80)),G80-D81)+IF(B81&lt;=$D$16,G80*Resumo!$F$12,0)+IF(B81&lt;=$D$16,$D$15*Resumo!$F$13,0)+IF(B81&lt;=$D$16,25,0)-IF(AND($D$16&gt;3,B81&lt;=$D$16),K81,0)</f>
        <v>253667.54242950049</v>
      </c>
      <c r="H81" s="38">
        <f ca="1">IF(AND(B81&lt;&gt;"",L81&lt;&gt;$D$17,$D$16&gt;3),G81*Resumo!$F$12,IF(AND(B81&lt;&gt;"",L81&lt;&gt;$D$17,B81&gt;$D$16),G81*Resumo!$F$12,0))</f>
        <v>53.270183910195108</v>
      </c>
      <c r="I81" s="38">
        <f>IF(AND(B81&lt;&gt;"",L81&lt;&gt;$D$17,$D$16&gt;3,$B81&lt;=$D$16),$D$15*Resumo!$F$13,IF(AND(B81&lt;&gt;"",L81&lt;&gt;$D$17,B81&gt;$D$16),$D$15*Resumo!$F$13,0))</f>
        <v>34.369999999999997</v>
      </c>
      <c r="J81" s="38">
        <f>IF(AND(B81&lt;&gt;"",L81&lt;&gt;$D$17,$D$16&gt;3,$B81&lt;=$D$16),Resumo!$F$11,IF(AND(B81&lt;&gt;"",L81&lt;&gt;$D$17,B81&gt;$D$16),Resumo!$F$11,0))</f>
        <v>25</v>
      </c>
      <c r="K81" s="38">
        <f t="shared" ca="1" si="2"/>
        <v>2686.0594781385107</v>
      </c>
      <c r="L81" s="39" t="str">
        <f>IF(B81&lt;&gt;"",VLOOKUP(MONTH(C81),Sheet2!$F$1:$G$12,2,0),"")</f>
        <v>Junho</v>
      </c>
      <c r="M81" s="200">
        <f t="shared" ca="1" si="8"/>
        <v>0</v>
      </c>
      <c r="N81" s="40">
        <f t="shared" ca="1" si="9"/>
        <v>2573.4192942283157</v>
      </c>
      <c r="O81" s="40">
        <f t="shared" ca="1" si="3"/>
        <v>2686.0594781385107</v>
      </c>
      <c r="P81" s="40"/>
      <c r="Q81" s="20">
        <f t="shared" ca="1" si="10"/>
        <v>834.89136490250701</v>
      </c>
      <c r="R81" s="1">
        <f t="shared" si="4"/>
        <v>1806</v>
      </c>
      <c r="S81" s="243">
        <f>IF(AND($K$2&gt;=DATEVALUE("03/04/2020"),$K$2&lt;=DATEVALUE("31/12/2020")),0,IF(Resumo!$C$19="PF",IF(R81&lt;360,0.0082%*R81,3%),IF(R81&lt;360,0.0041%*R81,1.5%)))</f>
        <v>1.4999999999999999E-2</v>
      </c>
      <c r="T81" s="172">
        <f t="shared" ca="1" si="11"/>
        <v>12.523370473537605</v>
      </c>
      <c r="X81" s="20">
        <f t="shared" ca="1" si="12"/>
        <v>2573.4192942283157</v>
      </c>
    </row>
    <row r="82" spans="2:24">
      <c r="B82" s="41">
        <f t="shared" si="5"/>
        <v>60</v>
      </c>
      <c r="C82" s="164">
        <f t="shared" si="6"/>
        <v>46583</v>
      </c>
      <c r="D82" s="42">
        <f t="shared" ca="1" si="0"/>
        <v>842.74931039701278</v>
      </c>
      <c r="E82" s="42">
        <f t="shared" ca="1" si="7"/>
        <v>1724.9392885206032</v>
      </c>
      <c r="F82" s="42">
        <f t="shared" ca="1" si="1"/>
        <v>2567.6885989176162</v>
      </c>
      <c r="G82" s="42">
        <f ca="1">IF(B82&lt;=$D$16,G81*(1+$D$13)^((C82-C81)/_xlfn.DAYS(EDATE(C81,1),C81)),G81-D82)+IF(B82&lt;=$D$16,G81*Resumo!$F$12,0)+IF(B82&lt;=$D$16,$D$15*Resumo!$F$13,0)+IF(B82&lt;=$D$16,25,0)-IF(AND($D$16&gt;3,B82&lt;=$D$16),K82,0)</f>
        <v>252824.79311910347</v>
      </c>
      <c r="H82" s="42">
        <f ca="1">IF(AND(B82&lt;&gt;"",L82&lt;&gt;$D$17,$D$16&gt;3),G82*Resumo!$F$12,IF(AND(B82&lt;&gt;"",L82&lt;&gt;$D$17,B82&gt;$D$16),G82*Resumo!$F$12,0))</f>
        <v>53.093206555011733</v>
      </c>
      <c r="I82" s="42">
        <f>IF(AND(B82&lt;&gt;"",L82&lt;&gt;$D$17,$D$16&gt;3,$B82&lt;=$D$16),$D$15*Resumo!$F$13,IF(AND(B82&lt;&gt;"",L82&lt;&gt;$D$17,B82&gt;$D$16),$D$15*Resumo!$F$13,0))</f>
        <v>34.369999999999997</v>
      </c>
      <c r="J82" s="42">
        <f>IF(AND(B82&lt;&gt;"",L82&lt;&gt;$D$17,$D$16&gt;3,$B82&lt;=$D$16),Resumo!$F$11,IF(AND(B82&lt;&gt;"",L82&lt;&gt;$D$17,B82&gt;$D$16),Resumo!$F$11,0))</f>
        <v>25</v>
      </c>
      <c r="K82" s="42">
        <f t="shared" ca="1" si="2"/>
        <v>2680.151805472628</v>
      </c>
      <c r="L82" s="39" t="str">
        <f>IF(B82&lt;&gt;"",VLOOKUP(MONTH(C82),Sheet2!$F$1:$G$12,2,0),"")</f>
        <v>Julho</v>
      </c>
      <c r="M82" s="200">
        <f t="shared" ca="1" si="8"/>
        <v>0</v>
      </c>
      <c r="N82" s="40">
        <f t="shared" ca="1" si="9"/>
        <v>2567.6885989176162</v>
      </c>
      <c r="O82" s="40">
        <f t="shared" ca="1" si="3"/>
        <v>2680.151805472628</v>
      </c>
      <c r="P82" s="40"/>
      <c r="Q82" s="20">
        <f t="shared" ca="1" si="10"/>
        <v>834.89136490250701</v>
      </c>
      <c r="R82" s="1">
        <f t="shared" si="4"/>
        <v>1836</v>
      </c>
      <c r="S82" s="243">
        <f>IF(AND($K$2&gt;=DATEVALUE("03/04/2020"),$K$2&lt;=DATEVALUE("31/12/2020")),0,IF(Resumo!$C$19="PF",IF(R82&lt;360,0.0082%*R82,3%),IF(R82&lt;360,0.0041%*R82,1.5%)))</f>
        <v>1.4999999999999999E-2</v>
      </c>
      <c r="T82" s="172">
        <f t="shared" ca="1" si="11"/>
        <v>12.523370473537605</v>
      </c>
      <c r="X82" s="20">
        <f t="shared" ca="1" si="12"/>
        <v>2567.6885989176162</v>
      </c>
    </row>
    <row r="83" spans="2:24">
      <c r="B83" s="37">
        <f t="shared" si="5"/>
        <v>61</v>
      </c>
      <c r="C83" s="163">
        <f t="shared" si="6"/>
        <v>46614</v>
      </c>
      <c r="D83" s="38">
        <f t="shared" ca="1" si="0"/>
        <v>842.74931039701278</v>
      </c>
      <c r="E83" s="38">
        <f t="shared" ca="1" si="7"/>
        <v>1719.2085932099035</v>
      </c>
      <c r="F83" s="38">
        <f t="shared" ca="1" si="1"/>
        <v>2561.9579036069163</v>
      </c>
      <c r="G83" s="38">
        <f ca="1">IF(B83&lt;=$D$16,G82*(1+$D$13)^((C83-C82)/_xlfn.DAYS(EDATE(C82,1),C82)),G82-D83)+IF(B83&lt;=$D$16,G82*Resumo!$F$12,0)+IF(B83&lt;=$D$16,$D$15*Resumo!$F$13,0)+IF(B83&lt;=$D$16,25,0)-IF(AND($D$16&gt;3,B83&lt;=$D$16),K83,0)</f>
        <v>251982.04380870645</v>
      </c>
      <c r="H83" s="38">
        <f ca="1">IF(AND(B83&lt;&gt;"",L83&lt;&gt;$D$17,$D$16&gt;3),G83*Resumo!$F$12,IF(AND(B83&lt;&gt;"",L83&lt;&gt;$D$17,B83&gt;$D$16),G83*Resumo!$F$12,0))</f>
        <v>52.916229199828358</v>
      </c>
      <c r="I83" s="38">
        <f>IF(AND(B83&lt;&gt;"",L83&lt;&gt;$D$17,$D$16&gt;3,$B83&lt;=$D$16),$D$15*Resumo!$F$13,IF(AND(B83&lt;&gt;"",L83&lt;&gt;$D$17,B83&gt;$D$16),$D$15*Resumo!$F$13,0))</f>
        <v>34.369999999999997</v>
      </c>
      <c r="J83" s="38">
        <f>IF(AND(B83&lt;&gt;"",L83&lt;&gt;$D$17,$D$16&gt;3,$B83&lt;=$D$16),Resumo!$F$11,IF(AND(B83&lt;&gt;"",L83&lt;&gt;$D$17,B83&gt;$D$16),Resumo!$F$11,0))</f>
        <v>25</v>
      </c>
      <c r="K83" s="38">
        <f t="shared" ca="1" si="2"/>
        <v>2674.2441328067443</v>
      </c>
      <c r="L83" s="39" t="str">
        <f>IF(B83&lt;&gt;"",VLOOKUP(MONTH(C83),Sheet2!$F$1:$G$12,2,0),"")</f>
        <v>Agosto</v>
      </c>
      <c r="M83" s="200">
        <f t="shared" ca="1" si="8"/>
        <v>0</v>
      </c>
      <c r="N83" s="40">
        <f t="shared" ca="1" si="9"/>
        <v>2561.9579036069163</v>
      </c>
      <c r="O83" s="40">
        <f t="shared" ca="1" si="3"/>
        <v>2674.2441328067443</v>
      </c>
      <c r="P83" s="40"/>
      <c r="Q83" s="20">
        <f t="shared" ca="1" si="10"/>
        <v>834.89136490250701</v>
      </c>
      <c r="R83" s="1">
        <f t="shared" si="4"/>
        <v>1867</v>
      </c>
      <c r="S83" s="243">
        <f>IF(AND($K$2&gt;=DATEVALUE("03/04/2020"),$K$2&lt;=DATEVALUE("31/12/2020")),0,IF(Resumo!$C$19="PF",IF(R83&lt;360,0.0082%*R83,3%),IF(R83&lt;360,0.0041%*R83,1.5%)))</f>
        <v>1.4999999999999999E-2</v>
      </c>
      <c r="T83" s="172">
        <f t="shared" ca="1" si="11"/>
        <v>12.523370473537605</v>
      </c>
      <c r="X83" s="20">
        <f t="shared" ca="1" si="12"/>
        <v>2561.9579036069163</v>
      </c>
    </row>
    <row r="84" spans="2:24">
      <c r="B84" s="41">
        <f t="shared" si="5"/>
        <v>62</v>
      </c>
      <c r="C84" s="164">
        <f t="shared" si="6"/>
        <v>46645</v>
      </c>
      <c r="D84" s="42">
        <f t="shared" ca="1" si="0"/>
        <v>842.74931039701278</v>
      </c>
      <c r="E84" s="42">
        <f t="shared" ca="1" si="7"/>
        <v>1713.4778978992038</v>
      </c>
      <c r="F84" s="42">
        <f t="shared" ca="1" si="1"/>
        <v>2556.2272082962163</v>
      </c>
      <c r="G84" s="42">
        <f ca="1">IF(B84&lt;=$D$16,G83*(1+$D$13)^((C84-C83)/_xlfn.DAYS(EDATE(C83,1),C83)),G83-D84)+IF(B84&lt;=$D$16,G83*Resumo!$F$12,0)+IF(B84&lt;=$D$16,$D$15*Resumo!$F$13,0)+IF(B84&lt;=$D$16,25,0)-IF(AND($D$16&gt;3,B84&lt;=$D$16),K84,0)</f>
        <v>251139.29449830943</v>
      </c>
      <c r="H84" s="42">
        <f ca="1">IF(AND(B84&lt;&gt;"",L84&lt;&gt;$D$17,$D$16&gt;3),G84*Resumo!$F$12,IF(AND(B84&lt;&gt;"",L84&lt;&gt;$D$17,B84&gt;$D$16),G84*Resumo!$F$12,0))</f>
        <v>52.739251844644983</v>
      </c>
      <c r="I84" s="42">
        <f>IF(AND(B84&lt;&gt;"",L84&lt;&gt;$D$17,$D$16&gt;3,$B84&lt;=$D$16),$D$15*Resumo!$F$13,IF(AND(B84&lt;&gt;"",L84&lt;&gt;$D$17,B84&gt;$D$16),$D$15*Resumo!$F$13,0))</f>
        <v>34.369999999999997</v>
      </c>
      <c r="J84" s="42">
        <f>IF(AND(B84&lt;&gt;"",L84&lt;&gt;$D$17,$D$16&gt;3,$B84&lt;=$D$16),Resumo!$F$11,IF(AND(B84&lt;&gt;"",L84&lt;&gt;$D$17,B84&gt;$D$16),Resumo!$F$11,0))</f>
        <v>25</v>
      </c>
      <c r="K84" s="42">
        <f t="shared" ca="1" si="2"/>
        <v>2668.3364601408612</v>
      </c>
      <c r="L84" s="39" t="str">
        <f>IF(B84&lt;&gt;"",VLOOKUP(MONTH(C84),Sheet2!$F$1:$G$12,2,0),"")</f>
        <v>Setembro</v>
      </c>
      <c r="M84" s="200">
        <f t="shared" ca="1" si="8"/>
        <v>0</v>
      </c>
      <c r="N84" s="40">
        <f t="shared" ca="1" si="9"/>
        <v>2556.2272082962163</v>
      </c>
      <c r="O84" s="40">
        <f t="shared" ca="1" si="3"/>
        <v>2668.3364601408612</v>
      </c>
      <c r="P84" s="40"/>
      <c r="Q84" s="20">
        <f t="shared" ca="1" si="10"/>
        <v>834.89136490250701</v>
      </c>
      <c r="R84" s="1">
        <f t="shared" si="4"/>
        <v>1898</v>
      </c>
      <c r="S84" s="243">
        <f>IF(AND($K$2&gt;=DATEVALUE("03/04/2020"),$K$2&lt;=DATEVALUE("31/12/2020")),0,IF(Resumo!$C$19="PF",IF(R84&lt;360,0.0082%*R84,3%),IF(R84&lt;360,0.0041%*R84,1.5%)))</f>
        <v>1.4999999999999999E-2</v>
      </c>
      <c r="T84" s="172">
        <f t="shared" ca="1" si="11"/>
        <v>12.523370473537605</v>
      </c>
      <c r="X84" s="20">
        <f t="shared" ca="1" si="12"/>
        <v>2556.2272082962163</v>
      </c>
    </row>
    <row r="85" spans="2:24">
      <c r="B85" s="37">
        <f t="shared" si="5"/>
        <v>63</v>
      </c>
      <c r="C85" s="163">
        <f t="shared" si="6"/>
        <v>46675</v>
      </c>
      <c r="D85" s="38">
        <f t="shared" ca="1" si="0"/>
        <v>842.74931039701278</v>
      </c>
      <c r="E85" s="38">
        <f t="shared" ca="1" si="7"/>
        <v>1707.747202588504</v>
      </c>
      <c r="F85" s="38">
        <f t="shared" ca="1" si="1"/>
        <v>2550.4965129855168</v>
      </c>
      <c r="G85" s="38">
        <f ca="1">IF(B85&lt;=$D$16,G84*(1+$D$13)^((C85-C84)/_xlfn.DAYS(EDATE(C84,1),C84)),G84-D85)+IF(B85&lt;=$D$16,G84*Resumo!$F$12,0)+IF(B85&lt;=$D$16,$D$15*Resumo!$F$13,0)+IF(B85&lt;=$D$16,25,0)-IF(AND($D$16&gt;3,B85&lt;=$D$16),K85,0)</f>
        <v>250296.54518791242</v>
      </c>
      <c r="H85" s="38">
        <f ca="1">IF(AND(B85&lt;&gt;"",L85&lt;&gt;$D$17,$D$16&gt;3),G85*Resumo!$F$12,IF(AND(B85&lt;&gt;"",L85&lt;&gt;$D$17,B85&gt;$D$16),G85*Resumo!$F$12,0))</f>
        <v>52.562274489461608</v>
      </c>
      <c r="I85" s="38">
        <f>IF(AND(B85&lt;&gt;"",L85&lt;&gt;$D$17,$D$16&gt;3,$B85&lt;=$D$16),$D$15*Resumo!$F$13,IF(AND(B85&lt;&gt;"",L85&lt;&gt;$D$17,B85&gt;$D$16),$D$15*Resumo!$F$13,0))</f>
        <v>34.369999999999997</v>
      </c>
      <c r="J85" s="38">
        <f>IF(AND(B85&lt;&gt;"",L85&lt;&gt;$D$17,$D$16&gt;3,$B85&lt;=$D$16),Resumo!$F$11,IF(AND(B85&lt;&gt;"",L85&lt;&gt;$D$17,B85&gt;$D$16),Resumo!$F$11,0))</f>
        <v>25</v>
      </c>
      <c r="K85" s="38">
        <f t="shared" ca="1" si="2"/>
        <v>2662.4287874749784</v>
      </c>
      <c r="L85" s="39" t="str">
        <f>IF(B85&lt;&gt;"",VLOOKUP(MONTH(C85),Sheet2!$F$1:$G$12,2,0),"")</f>
        <v>Outubro</v>
      </c>
      <c r="M85" s="200">
        <f t="shared" ca="1" si="8"/>
        <v>0</v>
      </c>
      <c r="N85" s="40">
        <f t="shared" ca="1" si="9"/>
        <v>2550.4965129855168</v>
      </c>
      <c r="O85" s="40">
        <f t="shared" ca="1" si="3"/>
        <v>2662.4287874749784</v>
      </c>
      <c r="P85" s="40"/>
      <c r="Q85" s="20">
        <f t="shared" ca="1" si="10"/>
        <v>834.89136490250701</v>
      </c>
      <c r="R85" s="1">
        <f t="shared" si="4"/>
        <v>1928</v>
      </c>
      <c r="S85" s="243">
        <f>IF(AND($K$2&gt;=DATEVALUE("03/04/2020"),$K$2&lt;=DATEVALUE("31/12/2020")),0,IF(Resumo!$C$19="PF",IF(R85&lt;360,0.0082%*R85,3%),IF(R85&lt;360,0.0041%*R85,1.5%)))</f>
        <v>1.4999999999999999E-2</v>
      </c>
      <c r="T85" s="172">
        <f t="shared" ca="1" si="11"/>
        <v>12.523370473537605</v>
      </c>
      <c r="X85" s="20">
        <f t="shared" ca="1" si="12"/>
        <v>2550.4965129855168</v>
      </c>
    </row>
    <row r="86" spans="2:24">
      <c r="B86" s="41">
        <f t="shared" si="5"/>
        <v>64</v>
      </c>
      <c r="C86" s="164">
        <f t="shared" si="6"/>
        <v>46706</v>
      </c>
      <c r="D86" s="42">
        <f t="shared" ca="1" si="0"/>
        <v>842.74931039701278</v>
      </c>
      <c r="E86" s="42">
        <f t="shared" ca="1" si="7"/>
        <v>1702.0165072778043</v>
      </c>
      <c r="F86" s="42">
        <f t="shared" ca="1" si="1"/>
        <v>2544.7658176748173</v>
      </c>
      <c r="G86" s="42">
        <f ca="1">IF(B86&lt;=$D$16,G85*(1+$D$13)^((C86-C85)/_xlfn.DAYS(EDATE(C85,1),C85)),G85-D86)+IF(B86&lt;=$D$16,G85*Resumo!$F$12,0)+IF(B86&lt;=$D$16,$D$15*Resumo!$F$13,0)+IF(B86&lt;=$D$16,25,0)-IF(AND($D$16&gt;3,B86&lt;=$D$16),K86,0)</f>
        <v>249453.7958775154</v>
      </c>
      <c r="H86" s="42">
        <f ca="1">IF(AND(B86&lt;&gt;"",L86&lt;&gt;$D$17,$D$16&gt;3),G86*Resumo!$F$12,IF(AND(B86&lt;&gt;"",L86&lt;&gt;$D$17,B86&gt;$D$16),G86*Resumo!$F$12,0))</f>
        <v>52.385297134278233</v>
      </c>
      <c r="I86" s="42">
        <f>IF(AND(B86&lt;&gt;"",L86&lt;&gt;$D$17,$D$16&gt;3,$B86&lt;=$D$16),$D$15*Resumo!$F$13,IF(AND(B86&lt;&gt;"",L86&lt;&gt;$D$17,B86&gt;$D$16),$D$15*Resumo!$F$13,0))</f>
        <v>34.369999999999997</v>
      </c>
      <c r="J86" s="42">
        <f>IF(AND(B86&lt;&gt;"",L86&lt;&gt;$D$17,$D$16&gt;3,$B86&lt;=$D$16),Resumo!$F$11,IF(AND(B86&lt;&gt;"",L86&lt;&gt;$D$17,B86&gt;$D$16),Resumo!$F$11,0))</f>
        <v>25</v>
      </c>
      <c r="K86" s="42">
        <f t="shared" ca="1" si="2"/>
        <v>2656.5211148090953</v>
      </c>
      <c r="L86" s="39" t="str">
        <f>IF(B86&lt;&gt;"",VLOOKUP(MONTH(C86),Sheet2!$F$1:$G$12,2,0),"")</f>
        <v>Novembro</v>
      </c>
      <c r="M86" s="200">
        <f t="shared" ca="1" si="8"/>
        <v>0</v>
      </c>
      <c r="N86" s="40">
        <f t="shared" ca="1" si="9"/>
        <v>2544.7658176748173</v>
      </c>
      <c r="O86" s="40">
        <f t="shared" ca="1" si="3"/>
        <v>2656.5211148090953</v>
      </c>
      <c r="P86" s="40"/>
      <c r="Q86" s="20">
        <f t="shared" ca="1" si="10"/>
        <v>834.89136490250701</v>
      </c>
      <c r="R86" s="1">
        <f t="shared" si="4"/>
        <v>1959</v>
      </c>
      <c r="S86" s="243">
        <f>IF(AND($K$2&gt;=DATEVALUE("03/04/2020"),$K$2&lt;=DATEVALUE("31/12/2020")),0,IF(Resumo!$C$19="PF",IF(R86&lt;360,0.0082%*R86,3%),IF(R86&lt;360,0.0041%*R86,1.5%)))</f>
        <v>1.4999999999999999E-2</v>
      </c>
      <c r="T86" s="172">
        <f t="shared" ca="1" si="11"/>
        <v>12.523370473537605</v>
      </c>
      <c r="X86" s="20">
        <f t="shared" ca="1" si="12"/>
        <v>2544.7658176748173</v>
      </c>
    </row>
    <row r="87" spans="2:24">
      <c r="B87" s="37">
        <f t="shared" si="5"/>
        <v>65</v>
      </c>
      <c r="C87" s="163">
        <f t="shared" si="6"/>
        <v>46736</v>
      </c>
      <c r="D87" s="38">
        <f t="shared" ref="D87:D150" ca="1" si="13">IF(AND(B87&lt;&gt;"",L87&lt;&gt;$D$17,B87&gt;$D$16),VLOOKUP(IF($D$16=0,"I",$D$16),B:G,6,0)/($D$12-$E$17-$D$16),0)</f>
        <v>842.74931039701278</v>
      </c>
      <c r="E87" s="38">
        <f t="shared" ca="1" si="7"/>
        <v>1696.2858119671046</v>
      </c>
      <c r="F87" s="38">
        <f t="shared" ref="F87:F150" ca="1" si="14">D87+E87</f>
        <v>2539.0351223641173</v>
      </c>
      <c r="G87" s="38">
        <f ca="1">IF(B87&lt;=$D$16,G86*(1+$D$13)^((C87-C86)/_xlfn.DAYS(EDATE(C86,1),C86)),G86-D87)+IF(B87&lt;=$D$16,G86*Resumo!$F$12,0)+IF(B87&lt;=$D$16,$D$15*Resumo!$F$13,0)+IF(B87&lt;=$D$16,25,0)-IF(AND($D$16&gt;3,B87&lt;=$D$16),K87,0)</f>
        <v>248611.04656711838</v>
      </c>
      <c r="H87" s="38">
        <f ca="1">IF(AND(B87&lt;&gt;"",L87&lt;&gt;$D$17,$D$16&gt;3),G87*Resumo!$F$12,IF(AND(B87&lt;&gt;"",L87&lt;&gt;$D$17,B87&gt;$D$16),G87*Resumo!$F$12,0))</f>
        <v>52.208319779094865</v>
      </c>
      <c r="I87" s="38">
        <f>IF(AND(B87&lt;&gt;"",L87&lt;&gt;$D$17,$D$16&gt;3,$B87&lt;=$D$16),$D$15*Resumo!$F$13,IF(AND(B87&lt;&gt;"",L87&lt;&gt;$D$17,B87&gt;$D$16),$D$15*Resumo!$F$13,0))</f>
        <v>34.369999999999997</v>
      </c>
      <c r="J87" s="38">
        <f>IF(AND(B87&lt;&gt;"",L87&lt;&gt;$D$17,$D$16&gt;3,$B87&lt;=$D$16),Resumo!$F$11,IF(AND(B87&lt;&gt;"",L87&lt;&gt;$D$17,B87&gt;$D$16),Resumo!$F$11,0))</f>
        <v>25</v>
      </c>
      <c r="K87" s="38">
        <f t="shared" ref="K87:K150" ca="1" si="15">IF(B87&lt;&gt;"",D87+E87+H87+I87+J87,"")</f>
        <v>2650.6134421432121</v>
      </c>
      <c r="L87" s="39" t="str">
        <f>IF(B87&lt;&gt;"",VLOOKUP(MONTH(C87),Sheet2!$F$1:$G$12,2,0),"")</f>
        <v>Dezembro</v>
      </c>
      <c r="M87" s="200">
        <f t="shared" ca="1" si="8"/>
        <v>0</v>
      </c>
      <c r="N87" s="40">
        <f t="shared" ca="1" si="9"/>
        <v>2539.0351223641173</v>
      </c>
      <c r="O87" s="40">
        <f t="shared" ref="O87:O150" ca="1" si="16">K87</f>
        <v>2650.6134421432121</v>
      </c>
      <c r="P87" s="40"/>
      <c r="Q87" s="20">
        <f t="shared" ca="1" si="10"/>
        <v>834.89136490250701</v>
      </c>
      <c r="R87" s="1">
        <f t="shared" ref="R87:R150" si="17">IFERROR(C87-$K$2,0)</f>
        <v>1989</v>
      </c>
      <c r="S87" s="243">
        <f>IF(AND($K$2&gt;=DATEVALUE("03/04/2020"),$K$2&lt;=DATEVALUE("31/12/2020")),0,IF(Resumo!$C$19="PF",IF(R87&lt;360,0.0082%*R87,3%),IF(R87&lt;360,0.0041%*R87,1.5%)))</f>
        <v>1.4999999999999999E-2</v>
      </c>
      <c r="T87" s="172">
        <f t="shared" ca="1" si="11"/>
        <v>12.523370473537605</v>
      </c>
      <c r="X87" s="20">
        <f t="shared" ca="1" si="12"/>
        <v>2539.0351223641173</v>
      </c>
    </row>
    <row r="88" spans="2:24">
      <c r="B88" s="41">
        <f t="shared" ref="B88:B151" si="18">IF(B87&lt;$D$12,B87+1,"")</f>
        <v>66</v>
      </c>
      <c r="C88" s="164">
        <f t="shared" ref="C88:C151" si="19">IF(B88&lt;&gt;"",EDATE($C$22,B88),"")</f>
        <v>46767</v>
      </c>
      <c r="D88" s="42">
        <f t="shared" ca="1" si="13"/>
        <v>842.74931039701278</v>
      </c>
      <c r="E88" s="42">
        <f t="shared" ref="E88:E151" ca="1" si="20">IF(AND(B88&lt;&gt;"",L88&lt;&gt;$D$17,B88&lt;$D$16,$D$16&lt;4),0,IF(AND(B88&lt;&gt;"",L88&lt;&gt;$D$17,B88&lt;=$D$16,$D$16&gt;3),G87*$D$13,IF(AND(B88&lt;&gt;"",L88&lt;&gt;$D$17,B88&gt;$D$16),G87*$D$13,0)))</f>
        <v>1690.5551166564048</v>
      </c>
      <c r="F88" s="42">
        <f t="shared" ca="1" si="14"/>
        <v>2533.3044270534174</v>
      </c>
      <c r="G88" s="42">
        <f ca="1">IF(B88&lt;=$D$16,G87*(1+$D$13)^((C88-C87)/_xlfn.DAYS(EDATE(C87,1),C87)),G87-D88)+IF(B88&lt;=$D$16,G87*Resumo!$F$12,0)+IF(B88&lt;=$D$16,$D$15*Resumo!$F$13,0)+IF(B88&lt;=$D$16,25,0)-IF(AND($D$16&gt;3,B88&lt;=$D$16),K88,0)</f>
        <v>247768.29725672136</v>
      </c>
      <c r="H88" s="42">
        <f ca="1">IF(AND(B88&lt;&gt;"",L88&lt;&gt;$D$17,$D$16&gt;3),G88*Resumo!$F$12,IF(AND(B88&lt;&gt;"",L88&lt;&gt;$D$17,B88&gt;$D$16),G88*Resumo!$F$12,0))</f>
        <v>52.031342423911489</v>
      </c>
      <c r="I88" s="42">
        <f>IF(AND(B88&lt;&gt;"",L88&lt;&gt;$D$17,$D$16&gt;3,$B88&lt;=$D$16),$D$15*Resumo!$F$13,IF(AND(B88&lt;&gt;"",L88&lt;&gt;$D$17,B88&gt;$D$16),$D$15*Resumo!$F$13,0))</f>
        <v>34.369999999999997</v>
      </c>
      <c r="J88" s="42">
        <f>IF(AND(B88&lt;&gt;"",L88&lt;&gt;$D$17,$D$16&gt;3,$B88&lt;=$D$16),Resumo!$F$11,IF(AND(B88&lt;&gt;"",L88&lt;&gt;$D$17,B88&gt;$D$16),Resumo!$F$11,0))</f>
        <v>25</v>
      </c>
      <c r="K88" s="42">
        <f t="shared" ca="1" si="15"/>
        <v>2644.7057694773289</v>
      </c>
      <c r="L88" s="39" t="str">
        <f>IF(B88&lt;&gt;"",VLOOKUP(MONTH(C88),Sheet2!$F$1:$G$12,2,0),"")</f>
        <v>Janeiro</v>
      </c>
      <c r="M88" s="200">
        <f t="shared" ref="M88:M151" ca="1" si="21">IF(AND(M87=0,K88&gt;K87),C88,0)</f>
        <v>0</v>
      </c>
      <c r="N88" s="40">
        <f t="shared" ref="N88:N151" ca="1" si="22">D88+E88</f>
        <v>2533.3044270534174</v>
      </c>
      <c r="O88" s="40">
        <f t="shared" ca="1" si="16"/>
        <v>2644.7057694773289</v>
      </c>
      <c r="P88" s="40"/>
      <c r="Q88" s="20">
        <f t="shared" ref="Q88:Q151" ca="1" si="23">IF(D88=0,0,$G$21/($D$12-$E$17-$D$16))</f>
        <v>834.89136490250701</v>
      </c>
      <c r="R88" s="1">
        <f t="shared" si="17"/>
        <v>2020</v>
      </c>
      <c r="S88" s="243">
        <f>IF(AND($K$2&gt;=DATEVALUE("03/04/2020"),$K$2&lt;=DATEVALUE("31/12/2020")),0,IF(Resumo!$C$19="PF",IF(R88&lt;360,0.0082%*R88,3%),IF(R88&lt;360,0.0041%*R88,1.5%)))</f>
        <v>1.4999999999999999E-2</v>
      </c>
      <c r="T88" s="172">
        <f t="shared" ref="T88:T151" ca="1" si="24">S88*Q88</f>
        <v>12.523370473537605</v>
      </c>
      <c r="X88" s="20">
        <f t="shared" ref="X88:X151" ca="1" si="25">F88</f>
        <v>2533.3044270534174</v>
      </c>
    </row>
    <row r="89" spans="2:24">
      <c r="B89" s="37">
        <f t="shared" si="18"/>
        <v>67</v>
      </c>
      <c r="C89" s="163">
        <f t="shared" si="19"/>
        <v>46798</v>
      </c>
      <c r="D89" s="38">
        <f t="shared" ca="1" si="13"/>
        <v>842.74931039701278</v>
      </c>
      <c r="E89" s="38">
        <f t="shared" ca="1" si="20"/>
        <v>1684.8244213457051</v>
      </c>
      <c r="F89" s="38">
        <f t="shared" ca="1" si="14"/>
        <v>2527.5737317427179</v>
      </c>
      <c r="G89" s="38">
        <f ca="1">IF(B89&lt;=$D$16,G88*(1+$D$13)^((C89-C88)/_xlfn.DAYS(EDATE(C88,1),C88)),G88-D89)+IF(B89&lt;=$D$16,G88*Resumo!$F$12,0)+IF(B89&lt;=$D$16,$D$15*Resumo!$F$13,0)+IF(B89&lt;=$D$16,25,0)-IF(AND($D$16&gt;3,B89&lt;=$D$16),K89,0)</f>
        <v>246925.54794632434</v>
      </c>
      <c r="H89" s="38">
        <f ca="1">IF(AND(B89&lt;&gt;"",L89&lt;&gt;$D$17,$D$16&gt;3),G89*Resumo!$F$12,IF(AND(B89&lt;&gt;"",L89&lt;&gt;$D$17,B89&gt;$D$16),G89*Resumo!$F$12,0))</f>
        <v>51.854365068728114</v>
      </c>
      <c r="I89" s="38">
        <f>IF(AND(B89&lt;&gt;"",L89&lt;&gt;$D$17,$D$16&gt;3,$B89&lt;=$D$16),$D$15*Resumo!$F$13,IF(AND(B89&lt;&gt;"",L89&lt;&gt;$D$17,B89&gt;$D$16),$D$15*Resumo!$F$13,0))</f>
        <v>34.369999999999997</v>
      </c>
      <c r="J89" s="38">
        <f>IF(AND(B89&lt;&gt;"",L89&lt;&gt;$D$17,$D$16&gt;3,$B89&lt;=$D$16),Resumo!$F$11,IF(AND(B89&lt;&gt;"",L89&lt;&gt;$D$17,B89&gt;$D$16),Resumo!$F$11,0))</f>
        <v>25</v>
      </c>
      <c r="K89" s="38">
        <f t="shared" ca="1" si="15"/>
        <v>2638.7980968114457</v>
      </c>
      <c r="L89" s="39" t="str">
        <f>IF(B89&lt;&gt;"",VLOOKUP(MONTH(C89),Sheet2!$F$1:$G$12,2,0),"")</f>
        <v>Fevereiro</v>
      </c>
      <c r="M89" s="200">
        <f t="shared" ca="1" si="21"/>
        <v>0</v>
      </c>
      <c r="N89" s="40">
        <f t="shared" ca="1" si="22"/>
        <v>2527.5737317427179</v>
      </c>
      <c r="O89" s="40">
        <f t="shared" ca="1" si="16"/>
        <v>2638.7980968114457</v>
      </c>
      <c r="P89" s="40"/>
      <c r="Q89" s="20">
        <f t="shared" ca="1" si="23"/>
        <v>834.89136490250701</v>
      </c>
      <c r="R89" s="1">
        <f t="shared" si="17"/>
        <v>2051</v>
      </c>
      <c r="S89" s="243">
        <f>IF(AND($K$2&gt;=DATEVALUE("03/04/2020"),$K$2&lt;=DATEVALUE("31/12/2020")),0,IF(Resumo!$C$19="PF",IF(R89&lt;360,0.0082%*R89,3%),IF(R89&lt;360,0.0041%*R89,1.5%)))</f>
        <v>1.4999999999999999E-2</v>
      </c>
      <c r="T89" s="172">
        <f t="shared" ca="1" si="24"/>
        <v>12.523370473537605</v>
      </c>
      <c r="X89" s="20">
        <f t="shared" ca="1" si="25"/>
        <v>2527.5737317427179</v>
      </c>
    </row>
    <row r="90" spans="2:24">
      <c r="B90" s="41">
        <f t="shared" si="18"/>
        <v>68</v>
      </c>
      <c r="C90" s="164">
        <f t="shared" si="19"/>
        <v>46827</v>
      </c>
      <c r="D90" s="42">
        <f t="shared" ca="1" si="13"/>
        <v>842.74931039701278</v>
      </c>
      <c r="E90" s="42">
        <f t="shared" ca="1" si="20"/>
        <v>1679.0937260350054</v>
      </c>
      <c r="F90" s="42">
        <f t="shared" ca="1" si="14"/>
        <v>2521.8430364320184</v>
      </c>
      <c r="G90" s="42">
        <f ca="1">IF(B90&lt;=$D$16,G89*(1+$D$13)^((C90-C89)/_xlfn.DAYS(EDATE(C89,1),C89)),G89-D90)+IF(B90&lt;=$D$16,G89*Resumo!$F$12,0)+IF(B90&lt;=$D$16,$D$15*Resumo!$F$13,0)+IF(B90&lt;=$D$16,25,0)-IF(AND($D$16&gt;3,B90&lt;=$D$16),K90,0)</f>
        <v>246082.79863592732</v>
      </c>
      <c r="H90" s="42">
        <f ca="1">IF(AND(B90&lt;&gt;"",L90&lt;&gt;$D$17,$D$16&gt;3),G90*Resumo!$F$12,IF(AND(B90&lt;&gt;"",L90&lt;&gt;$D$17,B90&gt;$D$16),G90*Resumo!$F$12,0))</f>
        <v>51.677387713544739</v>
      </c>
      <c r="I90" s="42">
        <f>IF(AND(B90&lt;&gt;"",L90&lt;&gt;$D$17,$D$16&gt;3,$B90&lt;=$D$16),$D$15*Resumo!$F$13,IF(AND(B90&lt;&gt;"",L90&lt;&gt;$D$17,B90&gt;$D$16),$D$15*Resumo!$F$13,0))</f>
        <v>34.369999999999997</v>
      </c>
      <c r="J90" s="42">
        <f>IF(AND(B90&lt;&gt;"",L90&lt;&gt;$D$17,$D$16&gt;3,$B90&lt;=$D$16),Resumo!$F$11,IF(AND(B90&lt;&gt;"",L90&lt;&gt;$D$17,B90&gt;$D$16),Resumo!$F$11,0))</f>
        <v>25</v>
      </c>
      <c r="K90" s="42">
        <f t="shared" ca="1" si="15"/>
        <v>2632.890424145563</v>
      </c>
      <c r="L90" s="39" t="str">
        <f>IF(B90&lt;&gt;"",VLOOKUP(MONTH(C90),Sheet2!$F$1:$G$12,2,0),"")</f>
        <v>Março</v>
      </c>
      <c r="M90" s="200">
        <f t="shared" ca="1" si="21"/>
        <v>0</v>
      </c>
      <c r="N90" s="40">
        <f t="shared" ca="1" si="22"/>
        <v>2521.8430364320184</v>
      </c>
      <c r="O90" s="40">
        <f t="shared" ca="1" si="16"/>
        <v>2632.890424145563</v>
      </c>
      <c r="P90" s="40"/>
      <c r="Q90" s="20">
        <f t="shared" ca="1" si="23"/>
        <v>834.89136490250701</v>
      </c>
      <c r="R90" s="1">
        <f t="shared" si="17"/>
        <v>2080</v>
      </c>
      <c r="S90" s="243">
        <f>IF(AND($K$2&gt;=DATEVALUE("03/04/2020"),$K$2&lt;=DATEVALUE("31/12/2020")),0,IF(Resumo!$C$19="PF",IF(R90&lt;360,0.0082%*R90,3%),IF(R90&lt;360,0.0041%*R90,1.5%)))</f>
        <v>1.4999999999999999E-2</v>
      </c>
      <c r="T90" s="172">
        <f t="shared" ca="1" si="24"/>
        <v>12.523370473537605</v>
      </c>
      <c r="X90" s="20">
        <f t="shared" ca="1" si="25"/>
        <v>2521.8430364320184</v>
      </c>
    </row>
    <row r="91" spans="2:24">
      <c r="B91" s="37">
        <f t="shared" si="18"/>
        <v>69</v>
      </c>
      <c r="C91" s="163">
        <f t="shared" si="19"/>
        <v>46858</v>
      </c>
      <c r="D91" s="38">
        <f t="shared" ca="1" si="13"/>
        <v>842.74931039701278</v>
      </c>
      <c r="E91" s="38">
        <f t="shared" ca="1" si="20"/>
        <v>1673.3630307243056</v>
      </c>
      <c r="F91" s="38">
        <f t="shared" ca="1" si="14"/>
        <v>2516.1123411213184</v>
      </c>
      <c r="G91" s="38">
        <f ca="1">IF(B91&lt;=$D$16,G90*(1+$D$13)^((C91-C90)/_xlfn.DAYS(EDATE(C90,1),C90)),G90-D91)+IF(B91&lt;=$D$16,G90*Resumo!$F$12,0)+IF(B91&lt;=$D$16,$D$15*Resumo!$F$13,0)+IF(B91&lt;=$D$16,25,0)-IF(AND($D$16&gt;3,B91&lt;=$D$16),K91,0)</f>
        <v>245240.0493255303</v>
      </c>
      <c r="H91" s="38">
        <f ca="1">IF(AND(B91&lt;&gt;"",L91&lt;&gt;$D$17,$D$16&gt;3),G91*Resumo!$F$12,IF(AND(B91&lt;&gt;"",L91&lt;&gt;$D$17,B91&gt;$D$16),G91*Resumo!$F$12,0))</f>
        <v>51.500410358361364</v>
      </c>
      <c r="I91" s="38">
        <f>IF(AND(B91&lt;&gt;"",L91&lt;&gt;$D$17,$D$16&gt;3,$B91&lt;=$D$16),$D$15*Resumo!$F$13,IF(AND(B91&lt;&gt;"",L91&lt;&gt;$D$17,B91&gt;$D$16),$D$15*Resumo!$F$13,0))</f>
        <v>34.369999999999997</v>
      </c>
      <c r="J91" s="38">
        <f>IF(AND(B91&lt;&gt;"",L91&lt;&gt;$D$17,$D$16&gt;3,$B91&lt;=$D$16),Resumo!$F$11,IF(AND(B91&lt;&gt;"",L91&lt;&gt;$D$17,B91&gt;$D$16),Resumo!$F$11,0))</f>
        <v>25</v>
      </c>
      <c r="K91" s="38">
        <f t="shared" ca="1" si="15"/>
        <v>2626.9827514796798</v>
      </c>
      <c r="L91" s="39" t="str">
        <f>IF(B91&lt;&gt;"",VLOOKUP(MONTH(C91),Sheet2!$F$1:$G$12,2,0),"")</f>
        <v>Abril</v>
      </c>
      <c r="M91" s="200">
        <f t="shared" ca="1" si="21"/>
        <v>0</v>
      </c>
      <c r="N91" s="40">
        <f t="shared" ca="1" si="22"/>
        <v>2516.1123411213184</v>
      </c>
      <c r="O91" s="40">
        <f t="shared" ca="1" si="16"/>
        <v>2626.9827514796798</v>
      </c>
      <c r="P91" s="40"/>
      <c r="Q91" s="20">
        <f t="shared" ca="1" si="23"/>
        <v>834.89136490250701</v>
      </c>
      <c r="R91" s="1">
        <f t="shared" si="17"/>
        <v>2111</v>
      </c>
      <c r="S91" s="243">
        <f>IF(AND($K$2&gt;=DATEVALUE("03/04/2020"),$K$2&lt;=DATEVALUE("31/12/2020")),0,IF(Resumo!$C$19="PF",IF(R91&lt;360,0.0082%*R91,3%),IF(R91&lt;360,0.0041%*R91,1.5%)))</f>
        <v>1.4999999999999999E-2</v>
      </c>
      <c r="T91" s="172">
        <f t="shared" ca="1" si="24"/>
        <v>12.523370473537605</v>
      </c>
      <c r="X91" s="20">
        <f t="shared" ca="1" si="25"/>
        <v>2516.1123411213184</v>
      </c>
    </row>
    <row r="92" spans="2:24">
      <c r="B92" s="41">
        <f t="shared" si="18"/>
        <v>70</v>
      </c>
      <c r="C92" s="164">
        <f t="shared" si="19"/>
        <v>46888</v>
      </c>
      <c r="D92" s="42">
        <f t="shared" ca="1" si="13"/>
        <v>842.74931039701278</v>
      </c>
      <c r="E92" s="42">
        <f t="shared" ca="1" si="20"/>
        <v>1667.6323354136059</v>
      </c>
      <c r="F92" s="42">
        <f t="shared" ca="1" si="14"/>
        <v>2510.3816458106185</v>
      </c>
      <c r="G92" s="42">
        <f ca="1">IF(B92&lt;=$D$16,G91*(1+$D$13)^((C92-C91)/_xlfn.DAYS(EDATE(C91,1),C91)),G91-D92)+IF(B92&lt;=$D$16,G91*Resumo!$F$12,0)+IF(B92&lt;=$D$16,$D$15*Resumo!$F$13,0)+IF(B92&lt;=$D$16,25,0)-IF(AND($D$16&gt;3,B92&lt;=$D$16),K92,0)</f>
        <v>244397.30001513328</v>
      </c>
      <c r="H92" s="42">
        <f ca="1">IF(AND(B92&lt;&gt;"",L92&lt;&gt;$D$17,$D$16&gt;3),G92*Resumo!$F$12,IF(AND(B92&lt;&gt;"",L92&lt;&gt;$D$17,B92&gt;$D$16),G92*Resumo!$F$12,0))</f>
        <v>51.323433003177989</v>
      </c>
      <c r="I92" s="42">
        <f>IF(AND(B92&lt;&gt;"",L92&lt;&gt;$D$17,$D$16&gt;3,$B92&lt;=$D$16),$D$15*Resumo!$F$13,IF(AND(B92&lt;&gt;"",L92&lt;&gt;$D$17,B92&gt;$D$16),$D$15*Resumo!$F$13,0))</f>
        <v>34.369999999999997</v>
      </c>
      <c r="J92" s="42">
        <f>IF(AND(B92&lt;&gt;"",L92&lt;&gt;$D$17,$D$16&gt;3,$B92&lt;=$D$16),Resumo!$F$11,IF(AND(B92&lt;&gt;"",L92&lt;&gt;$D$17,B92&gt;$D$16),Resumo!$F$11,0))</f>
        <v>25</v>
      </c>
      <c r="K92" s="42">
        <f t="shared" ca="1" si="15"/>
        <v>2621.0750788137962</v>
      </c>
      <c r="L92" s="39" t="str">
        <f>IF(B92&lt;&gt;"",VLOOKUP(MONTH(C92),Sheet2!$F$1:$G$12,2,0),"")</f>
        <v>Maio</v>
      </c>
      <c r="M92" s="200">
        <f t="shared" ca="1" si="21"/>
        <v>0</v>
      </c>
      <c r="N92" s="40">
        <f t="shared" ca="1" si="22"/>
        <v>2510.3816458106185</v>
      </c>
      <c r="O92" s="40">
        <f t="shared" ca="1" si="16"/>
        <v>2621.0750788137962</v>
      </c>
      <c r="P92" s="40"/>
      <c r="Q92" s="20">
        <f t="shared" ca="1" si="23"/>
        <v>834.89136490250701</v>
      </c>
      <c r="R92" s="1">
        <f t="shared" si="17"/>
        <v>2141</v>
      </c>
      <c r="S92" s="243">
        <f>IF(AND($K$2&gt;=DATEVALUE("03/04/2020"),$K$2&lt;=DATEVALUE("31/12/2020")),0,IF(Resumo!$C$19="PF",IF(R92&lt;360,0.0082%*R92,3%),IF(R92&lt;360,0.0041%*R92,1.5%)))</f>
        <v>1.4999999999999999E-2</v>
      </c>
      <c r="T92" s="172">
        <f t="shared" ca="1" si="24"/>
        <v>12.523370473537605</v>
      </c>
      <c r="X92" s="20">
        <f t="shared" ca="1" si="25"/>
        <v>2510.3816458106185</v>
      </c>
    </row>
    <row r="93" spans="2:24">
      <c r="B93" s="37">
        <f t="shared" si="18"/>
        <v>71</v>
      </c>
      <c r="C93" s="163">
        <f t="shared" si="19"/>
        <v>46919</v>
      </c>
      <c r="D93" s="38">
        <f t="shared" ca="1" si="13"/>
        <v>842.74931039701278</v>
      </c>
      <c r="E93" s="38">
        <f t="shared" ca="1" si="20"/>
        <v>1661.9016401029062</v>
      </c>
      <c r="F93" s="38">
        <f t="shared" ca="1" si="14"/>
        <v>2504.650950499919</v>
      </c>
      <c r="G93" s="38">
        <f ca="1">IF(B93&lt;=$D$16,G92*(1+$D$13)^((C93-C92)/_xlfn.DAYS(EDATE(C92,1),C92)),G92-D93)+IF(B93&lt;=$D$16,G92*Resumo!$F$12,0)+IF(B93&lt;=$D$16,$D$15*Resumo!$F$13,0)+IF(B93&lt;=$D$16,25,0)-IF(AND($D$16&gt;3,B93&lt;=$D$16),K93,0)</f>
        <v>243554.55070473626</v>
      </c>
      <c r="H93" s="38">
        <f ca="1">IF(AND(B93&lt;&gt;"",L93&lt;&gt;$D$17,$D$16&gt;3),G93*Resumo!$F$12,IF(AND(B93&lt;&gt;"",L93&lt;&gt;$D$17,B93&gt;$D$16),G93*Resumo!$F$12,0))</f>
        <v>51.146455647994614</v>
      </c>
      <c r="I93" s="38">
        <f>IF(AND(B93&lt;&gt;"",L93&lt;&gt;$D$17,$D$16&gt;3,$B93&lt;=$D$16),$D$15*Resumo!$F$13,IF(AND(B93&lt;&gt;"",L93&lt;&gt;$D$17,B93&gt;$D$16),$D$15*Resumo!$F$13,0))</f>
        <v>34.369999999999997</v>
      </c>
      <c r="J93" s="38">
        <f>IF(AND(B93&lt;&gt;"",L93&lt;&gt;$D$17,$D$16&gt;3,$B93&lt;=$D$16),Resumo!$F$11,IF(AND(B93&lt;&gt;"",L93&lt;&gt;$D$17,B93&gt;$D$16),Resumo!$F$11,0))</f>
        <v>25</v>
      </c>
      <c r="K93" s="38">
        <f t="shared" ca="1" si="15"/>
        <v>2615.1674061479134</v>
      </c>
      <c r="L93" s="39" t="str">
        <f>IF(B93&lt;&gt;"",VLOOKUP(MONTH(C93),Sheet2!$F$1:$G$12,2,0),"")</f>
        <v>Junho</v>
      </c>
      <c r="M93" s="200">
        <f t="shared" ca="1" si="21"/>
        <v>0</v>
      </c>
      <c r="N93" s="40">
        <f t="shared" ca="1" si="22"/>
        <v>2504.650950499919</v>
      </c>
      <c r="O93" s="40">
        <f t="shared" ca="1" si="16"/>
        <v>2615.1674061479134</v>
      </c>
      <c r="P93" s="40"/>
      <c r="Q93" s="20">
        <f t="shared" ca="1" si="23"/>
        <v>834.89136490250701</v>
      </c>
      <c r="R93" s="1">
        <f t="shared" si="17"/>
        <v>2172</v>
      </c>
      <c r="S93" s="243">
        <f>IF(AND($K$2&gt;=DATEVALUE("03/04/2020"),$K$2&lt;=DATEVALUE("31/12/2020")),0,IF(Resumo!$C$19="PF",IF(R93&lt;360,0.0082%*R93,3%),IF(R93&lt;360,0.0041%*R93,1.5%)))</f>
        <v>1.4999999999999999E-2</v>
      </c>
      <c r="T93" s="172">
        <f t="shared" ca="1" si="24"/>
        <v>12.523370473537605</v>
      </c>
      <c r="X93" s="20">
        <f t="shared" ca="1" si="25"/>
        <v>2504.650950499919</v>
      </c>
    </row>
    <row r="94" spans="2:24">
      <c r="B94" s="41">
        <f t="shared" si="18"/>
        <v>72</v>
      </c>
      <c r="C94" s="164">
        <f t="shared" si="19"/>
        <v>46949</v>
      </c>
      <c r="D94" s="42">
        <f t="shared" ca="1" si="13"/>
        <v>842.74931039701278</v>
      </c>
      <c r="E94" s="42">
        <f t="shared" ca="1" si="20"/>
        <v>1656.1709447922065</v>
      </c>
      <c r="F94" s="42">
        <f t="shared" ca="1" si="14"/>
        <v>2498.9202551892195</v>
      </c>
      <c r="G94" s="42">
        <f ca="1">IF(B94&lt;=$D$16,G93*(1+$D$13)^((C94-C93)/_xlfn.DAYS(EDATE(C93,1),C93)),G93-D94)+IF(B94&lt;=$D$16,G93*Resumo!$F$12,0)+IF(B94&lt;=$D$16,$D$15*Resumo!$F$13,0)+IF(B94&lt;=$D$16,25,0)-IF(AND($D$16&gt;3,B94&lt;=$D$16),K94,0)</f>
        <v>242711.80139433924</v>
      </c>
      <c r="H94" s="42">
        <f ca="1">IF(AND(B94&lt;&gt;"",L94&lt;&gt;$D$17,$D$16&gt;3),G94*Resumo!$F$12,IF(AND(B94&lt;&gt;"",L94&lt;&gt;$D$17,B94&gt;$D$16),G94*Resumo!$F$12,0))</f>
        <v>50.969478292811246</v>
      </c>
      <c r="I94" s="42">
        <f>IF(AND(B94&lt;&gt;"",L94&lt;&gt;$D$17,$D$16&gt;3,$B94&lt;=$D$16),$D$15*Resumo!$F$13,IF(AND(B94&lt;&gt;"",L94&lt;&gt;$D$17,B94&gt;$D$16),$D$15*Resumo!$F$13,0))</f>
        <v>34.369999999999997</v>
      </c>
      <c r="J94" s="42">
        <f>IF(AND(B94&lt;&gt;"",L94&lt;&gt;$D$17,$D$16&gt;3,$B94&lt;=$D$16),Resumo!$F$11,IF(AND(B94&lt;&gt;"",L94&lt;&gt;$D$17,B94&gt;$D$16),Resumo!$F$11,0))</f>
        <v>25</v>
      </c>
      <c r="K94" s="42">
        <f t="shared" ca="1" si="15"/>
        <v>2609.2597334820307</v>
      </c>
      <c r="L94" s="39" t="str">
        <f>IF(B94&lt;&gt;"",VLOOKUP(MONTH(C94),Sheet2!$F$1:$G$12,2,0),"")</f>
        <v>Julho</v>
      </c>
      <c r="M94" s="200">
        <f t="shared" ca="1" si="21"/>
        <v>0</v>
      </c>
      <c r="N94" s="40">
        <f t="shared" ca="1" si="22"/>
        <v>2498.9202551892195</v>
      </c>
      <c r="O94" s="40">
        <f t="shared" ca="1" si="16"/>
        <v>2609.2597334820307</v>
      </c>
      <c r="P94" s="40"/>
      <c r="Q94" s="20">
        <f t="shared" ca="1" si="23"/>
        <v>834.89136490250701</v>
      </c>
      <c r="R94" s="1">
        <f t="shared" si="17"/>
        <v>2202</v>
      </c>
      <c r="S94" s="243">
        <f>IF(AND($K$2&gt;=DATEVALUE("03/04/2020"),$K$2&lt;=DATEVALUE("31/12/2020")),0,IF(Resumo!$C$19="PF",IF(R94&lt;360,0.0082%*R94,3%),IF(R94&lt;360,0.0041%*R94,1.5%)))</f>
        <v>1.4999999999999999E-2</v>
      </c>
      <c r="T94" s="172">
        <f t="shared" ca="1" si="24"/>
        <v>12.523370473537605</v>
      </c>
      <c r="X94" s="20">
        <f t="shared" ca="1" si="25"/>
        <v>2498.9202551892195</v>
      </c>
    </row>
    <row r="95" spans="2:24">
      <c r="B95" s="37">
        <f t="shared" si="18"/>
        <v>73</v>
      </c>
      <c r="C95" s="163">
        <f t="shared" si="19"/>
        <v>46980</v>
      </c>
      <c r="D95" s="38">
        <f t="shared" ca="1" si="13"/>
        <v>842.74931039701278</v>
      </c>
      <c r="E95" s="38">
        <f t="shared" ca="1" si="20"/>
        <v>1650.4402494815067</v>
      </c>
      <c r="F95" s="38">
        <f t="shared" ca="1" si="14"/>
        <v>2493.1895598785195</v>
      </c>
      <c r="G95" s="38">
        <f ca="1">IF(B95&lt;=$D$16,G94*(1+$D$13)^((C95-C94)/_xlfn.DAYS(EDATE(C94,1),C94)),G94-D95)+IF(B95&lt;=$D$16,G94*Resumo!$F$12,0)+IF(B95&lt;=$D$16,$D$15*Resumo!$F$13,0)+IF(B95&lt;=$D$16,25,0)-IF(AND($D$16&gt;3,B95&lt;=$D$16),K95,0)</f>
        <v>241869.05208394222</v>
      </c>
      <c r="H95" s="38">
        <f ca="1">IF(AND(B95&lt;&gt;"",L95&lt;&gt;$D$17,$D$16&gt;3),G95*Resumo!$F$12,IF(AND(B95&lt;&gt;"",L95&lt;&gt;$D$17,B95&gt;$D$16),G95*Resumo!$F$12,0))</f>
        <v>50.792500937627871</v>
      </c>
      <c r="I95" s="38">
        <f>IF(AND(B95&lt;&gt;"",L95&lt;&gt;$D$17,$D$16&gt;3,$B95&lt;=$D$16),$D$15*Resumo!$F$13,IF(AND(B95&lt;&gt;"",L95&lt;&gt;$D$17,B95&gt;$D$16),$D$15*Resumo!$F$13,0))</f>
        <v>34.369999999999997</v>
      </c>
      <c r="J95" s="38">
        <f>IF(AND(B95&lt;&gt;"",L95&lt;&gt;$D$17,$D$16&gt;3,$B95&lt;=$D$16),Resumo!$F$11,IF(AND(B95&lt;&gt;"",L95&lt;&gt;$D$17,B95&gt;$D$16),Resumo!$F$11,0))</f>
        <v>25</v>
      </c>
      <c r="K95" s="38">
        <f t="shared" ca="1" si="15"/>
        <v>2603.3520608161471</v>
      </c>
      <c r="L95" s="39" t="str">
        <f>IF(B95&lt;&gt;"",VLOOKUP(MONTH(C95),Sheet2!$F$1:$G$12,2,0),"")</f>
        <v>Agosto</v>
      </c>
      <c r="M95" s="200">
        <f t="shared" ca="1" si="21"/>
        <v>0</v>
      </c>
      <c r="N95" s="40">
        <f t="shared" ca="1" si="22"/>
        <v>2493.1895598785195</v>
      </c>
      <c r="O95" s="40">
        <f t="shared" ca="1" si="16"/>
        <v>2603.3520608161471</v>
      </c>
      <c r="P95" s="40"/>
      <c r="Q95" s="20">
        <f t="shared" ca="1" si="23"/>
        <v>834.89136490250701</v>
      </c>
      <c r="R95" s="1">
        <f t="shared" si="17"/>
        <v>2233</v>
      </c>
      <c r="S95" s="243">
        <f>IF(AND($K$2&gt;=DATEVALUE("03/04/2020"),$K$2&lt;=DATEVALUE("31/12/2020")),0,IF(Resumo!$C$19="PF",IF(R95&lt;360,0.0082%*R95,3%),IF(R95&lt;360,0.0041%*R95,1.5%)))</f>
        <v>1.4999999999999999E-2</v>
      </c>
      <c r="T95" s="172">
        <f t="shared" ca="1" si="24"/>
        <v>12.523370473537605</v>
      </c>
      <c r="X95" s="20">
        <f t="shared" ca="1" si="25"/>
        <v>2493.1895598785195</v>
      </c>
    </row>
    <row r="96" spans="2:24">
      <c r="B96" s="41">
        <f t="shared" si="18"/>
        <v>74</v>
      </c>
      <c r="C96" s="164">
        <f t="shared" si="19"/>
        <v>47011</v>
      </c>
      <c r="D96" s="42">
        <f t="shared" ca="1" si="13"/>
        <v>842.74931039701278</v>
      </c>
      <c r="E96" s="42">
        <f t="shared" ca="1" si="20"/>
        <v>1644.709554170807</v>
      </c>
      <c r="F96" s="42">
        <f t="shared" ca="1" si="14"/>
        <v>2487.4588645678195</v>
      </c>
      <c r="G96" s="42">
        <f ca="1">IF(B96&lt;=$D$16,G95*(1+$D$13)^((C96-C95)/_xlfn.DAYS(EDATE(C95,1),C95)),G95-D96)+IF(B96&lt;=$D$16,G95*Resumo!$F$12,0)+IF(B96&lt;=$D$16,$D$15*Resumo!$F$13,0)+IF(B96&lt;=$D$16,25,0)-IF(AND($D$16&gt;3,B96&lt;=$D$16),K96,0)</f>
        <v>241026.30277354521</v>
      </c>
      <c r="H96" s="42">
        <f ca="1">IF(AND(B96&lt;&gt;"",L96&lt;&gt;$D$17,$D$16&gt;3),G96*Resumo!$F$12,IF(AND(B96&lt;&gt;"",L96&lt;&gt;$D$17,B96&gt;$D$16),G96*Resumo!$F$12,0))</f>
        <v>50.615523582444496</v>
      </c>
      <c r="I96" s="42">
        <f>IF(AND(B96&lt;&gt;"",L96&lt;&gt;$D$17,$D$16&gt;3,$B96&lt;=$D$16),$D$15*Resumo!$F$13,IF(AND(B96&lt;&gt;"",L96&lt;&gt;$D$17,B96&gt;$D$16),$D$15*Resumo!$F$13,0))</f>
        <v>34.369999999999997</v>
      </c>
      <c r="J96" s="42">
        <f>IF(AND(B96&lt;&gt;"",L96&lt;&gt;$D$17,$D$16&gt;3,$B96&lt;=$D$16),Resumo!$F$11,IF(AND(B96&lt;&gt;"",L96&lt;&gt;$D$17,B96&gt;$D$16),Resumo!$F$11,0))</f>
        <v>25</v>
      </c>
      <c r="K96" s="42">
        <f t="shared" ca="1" si="15"/>
        <v>2597.4443881502639</v>
      </c>
      <c r="L96" s="39" t="str">
        <f>IF(B96&lt;&gt;"",VLOOKUP(MONTH(C96),Sheet2!$F$1:$G$12,2,0),"")</f>
        <v>Setembro</v>
      </c>
      <c r="M96" s="200">
        <f t="shared" ca="1" si="21"/>
        <v>0</v>
      </c>
      <c r="N96" s="40">
        <f t="shared" ca="1" si="22"/>
        <v>2487.4588645678195</v>
      </c>
      <c r="O96" s="40">
        <f t="shared" ca="1" si="16"/>
        <v>2597.4443881502639</v>
      </c>
      <c r="P96" s="40"/>
      <c r="Q96" s="20">
        <f t="shared" ca="1" si="23"/>
        <v>834.89136490250701</v>
      </c>
      <c r="R96" s="1">
        <f t="shared" si="17"/>
        <v>2264</v>
      </c>
      <c r="S96" s="243">
        <f>IF(AND($K$2&gt;=DATEVALUE("03/04/2020"),$K$2&lt;=DATEVALUE("31/12/2020")),0,IF(Resumo!$C$19="PF",IF(R96&lt;360,0.0082%*R96,3%),IF(R96&lt;360,0.0041%*R96,1.5%)))</f>
        <v>1.4999999999999999E-2</v>
      </c>
      <c r="T96" s="172">
        <f t="shared" ca="1" si="24"/>
        <v>12.523370473537605</v>
      </c>
      <c r="X96" s="20">
        <f t="shared" ca="1" si="25"/>
        <v>2487.4588645678195</v>
      </c>
    </row>
    <row r="97" spans="2:24">
      <c r="B97" s="37">
        <f t="shared" si="18"/>
        <v>75</v>
      </c>
      <c r="C97" s="163">
        <f t="shared" si="19"/>
        <v>47041</v>
      </c>
      <c r="D97" s="38">
        <f t="shared" ca="1" si="13"/>
        <v>842.74931039701278</v>
      </c>
      <c r="E97" s="38">
        <f t="shared" ca="1" si="20"/>
        <v>1638.9788588601073</v>
      </c>
      <c r="F97" s="38">
        <f t="shared" ca="1" si="14"/>
        <v>2481.72816925712</v>
      </c>
      <c r="G97" s="38">
        <f ca="1">IF(B97&lt;=$D$16,G96*(1+$D$13)^((C97-C96)/_xlfn.DAYS(EDATE(C96,1),C96)),G96-D97)+IF(B97&lt;=$D$16,G96*Resumo!$F$12,0)+IF(B97&lt;=$D$16,$D$15*Resumo!$F$13,0)+IF(B97&lt;=$D$16,25,0)-IF(AND($D$16&gt;3,B97&lt;=$D$16),K97,0)</f>
        <v>240183.55346314819</v>
      </c>
      <c r="H97" s="38">
        <f ca="1">IF(AND(B97&lt;&gt;"",L97&lt;&gt;$D$17,$D$16&gt;3),G97*Resumo!$F$12,IF(AND(B97&lt;&gt;"",L97&lt;&gt;$D$17,B97&gt;$D$16),G97*Resumo!$F$12,0))</f>
        <v>50.438546227261121</v>
      </c>
      <c r="I97" s="38">
        <f>IF(AND(B97&lt;&gt;"",L97&lt;&gt;$D$17,$D$16&gt;3,$B97&lt;=$D$16),$D$15*Resumo!$F$13,IF(AND(B97&lt;&gt;"",L97&lt;&gt;$D$17,B97&gt;$D$16),$D$15*Resumo!$F$13,0))</f>
        <v>34.369999999999997</v>
      </c>
      <c r="J97" s="38">
        <f>IF(AND(B97&lt;&gt;"",L97&lt;&gt;$D$17,$D$16&gt;3,$B97&lt;=$D$16),Resumo!$F$11,IF(AND(B97&lt;&gt;"",L97&lt;&gt;$D$17,B97&gt;$D$16),Resumo!$F$11,0))</f>
        <v>25</v>
      </c>
      <c r="K97" s="38">
        <f t="shared" ca="1" si="15"/>
        <v>2591.5367154843811</v>
      </c>
      <c r="L97" s="39" t="str">
        <f>IF(B97&lt;&gt;"",VLOOKUP(MONTH(C97),Sheet2!$F$1:$G$12,2,0),"")</f>
        <v>Outubro</v>
      </c>
      <c r="M97" s="200">
        <f t="shared" ca="1" si="21"/>
        <v>0</v>
      </c>
      <c r="N97" s="40">
        <f t="shared" ca="1" si="22"/>
        <v>2481.72816925712</v>
      </c>
      <c r="O97" s="40">
        <f t="shared" ca="1" si="16"/>
        <v>2591.5367154843811</v>
      </c>
      <c r="P97" s="40"/>
      <c r="Q97" s="20">
        <f t="shared" ca="1" si="23"/>
        <v>834.89136490250701</v>
      </c>
      <c r="R97" s="1">
        <f t="shared" si="17"/>
        <v>2294</v>
      </c>
      <c r="S97" s="243">
        <f>IF(AND($K$2&gt;=DATEVALUE("03/04/2020"),$K$2&lt;=DATEVALUE("31/12/2020")),0,IF(Resumo!$C$19="PF",IF(R97&lt;360,0.0082%*R97,3%),IF(R97&lt;360,0.0041%*R97,1.5%)))</f>
        <v>1.4999999999999999E-2</v>
      </c>
      <c r="T97" s="172">
        <f t="shared" ca="1" si="24"/>
        <v>12.523370473537605</v>
      </c>
      <c r="X97" s="20">
        <f t="shared" ca="1" si="25"/>
        <v>2481.72816925712</v>
      </c>
    </row>
    <row r="98" spans="2:24">
      <c r="B98" s="41">
        <f t="shared" si="18"/>
        <v>76</v>
      </c>
      <c r="C98" s="164">
        <f t="shared" si="19"/>
        <v>47072</v>
      </c>
      <c r="D98" s="42">
        <f t="shared" ca="1" si="13"/>
        <v>842.74931039701278</v>
      </c>
      <c r="E98" s="42">
        <f t="shared" ca="1" si="20"/>
        <v>1633.2481635494075</v>
      </c>
      <c r="F98" s="42">
        <f t="shared" ca="1" si="14"/>
        <v>2475.9974739464205</v>
      </c>
      <c r="G98" s="42">
        <f ca="1">IF(B98&lt;=$D$16,G97*(1+$D$13)^((C98-C97)/_xlfn.DAYS(EDATE(C97,1),C97)),G97-D98)+IF(B98&lt;=$D$16,G97*Resumo!$F$12,0)+IF(B98&lt;=$D$16,$D$15*Resumo!$F$13,0)+IF(B98&lt;=$D$16,25,0)-IF(AND($D$16&gt;3,B98&lt;=$D$16),K98,0)</f>
        <v>239340.80415275117</v>
      </c>
      <c r="H98" s="42">
        <f ca="1">IF(AND(B98&lt;&gt;"",L98&lt;&gt;$D$17,$D$16&gt;3),G98*Resumo!$F$12,IF(AND(B98&lt;&gt;"",L98&lt;&gt;$D$17,B98&gt;$D$16),G98*Resumo!$F$12,0))</f>
        <v>50.261568872077746</v>
      </c>
      <c r="I98" s="42">
        <f>IF(AND(B98&lt;&gt;"",L98&lt;&gt;$D$17,$D$16&gt;3,$B98&lt;=$D$16),$D$15*Resumo!$F$13,IF(AND(B98&lt;&gt;"",L98&lt;&gt;$D$17,B98&gt;$D$16),$D$15*Resumo!$F$13,0))</f>
        <v>34.369999999999997</v>
      </c>
      <c r="J98" s="42">
        <f>IF(AND(B98&lt;&gt;"",L98&lt;&gt;$D$17,$D$16&gt;3,$B98&lt;=$D$16),Resumo!$F$11,IF(AND(B98&lt;&gt;"",L98&lt;&gt;$D$17,B98&gt;$D$16),Resumo!$F$11,0))</f>
        <v>25</v>
      </c>
      <c r="K98" s="42">
        <f t="shared" ca="1" si="15"/>
        <v>2585.629042818498</v>
      </c>
      <c r="L98" s="39" t="str">
        <f>IF(B98&lt;&gt;"",VLOOKUP(MONTH(C98),Sheet2!$F$1:$G$12,2,0),"")</f>
        <v>Novembro</v>
      </c>
      <c r="M98" s="200">
        <f t="shared" ca="1" si="21"/>
        <v>0</v>
      </c>
      <c r="N98" s="40">
        <f t="shared" ca="1" si="22"/>
        <v>2475.9974739464205</v>
      </c>
      <c r="O98" s="40">
        <f t="shared" ca="1" si="16"/>
        <v>2585.629042818498</v>
      </c>
      <c r="P98" s="40"/>
      <c r="Q98" s="20">
        <f t="shared" ca="1" si="23"/>
        <v>834.89136490250701</v>
      </c>
      <c r="R98" s="1">
        <f t="shared" si="17"/>
        <v>2325</v>
      </c>
      <c r="S98" s="243">
        <f>IF(AND($K$2&gt;=DATEVALUE("03/04/2020"),$K$2&lt;=DATEVALUE("31/12/2020")),0,IF(Resumo!$C$19="PF",IF(R98&lt;360,0.0082%*R98,3%),IF(R98&lt;360,0.0041%*R98,1.5%)))</f>
        <v>1.4999999999999999E-2</v>
      </c>
      <c r="T98" s="172">
        <f t="shared" ca="1" si="24"/>
        <v>12.523370473537605</v>
      </c>
      <c r="X98" s="20">
        <f t="shared" ca="1" si="25"/>
        <v>2475.9974739464205</v>
      </c>
    </row>
    <row r="99" spans="2:24">
      <c r="B99" s="37">
        <f t="shared" si="18"/>
        <v>77</v>
      </c>
      <c r="C99" s="163">
        <f t="shared" si="19"/>
        <v>47102</v>
      </c>
      <c r="D99" s="38">
        <f t="shared" ca="1" si="13"/>
        <v>842.74931039701278</v>
      </c>
      <c r="E99" s="38">
        <f t="shared" ca="1" si="20"/>
        <v>1627.5174682387078</v>
      </c>
      <c r="F99" s="38">
        <f t="shared" ca="1" si="14"/>
        <v>2470.2667786357206</v>
      </c>
      <c r="G99" s="38">
        <f ca="1">IF(B99&lt;=$D$16,G98*(1+$D$13)^((C99-C98)/_xlfn.DAYS(EDATE(C98,1),C98)),G98-D99)+IF(B99&lt;=$D$16,G98*Resumo!$F$12,0)+IF(B99&lt;=$D$16,$D$15*Resumo!$F$13,0)+IF(B99&lt;=$D$16,25,0)-IF(AND($D$16&gt;3,B99&lt;=$D$16),K99,0)</f>
        <v>238498.05484235415</v>
      </c>
      <c r="H99" s="38">
        <f ca="1">IF(AND(B99&lt;&gt;"",L99&lt;&gt;$D$17,$D$16&gt;3),G99*Resumo!$F$12,IF(AND(B99&lt;&gt;"",L99&lt;&gt;$D$17,B99&gt;$D$16),G99*Resumo!$F$12,0))</f>
        <v>50.08459151689437</v>
      </c>
      <c r="I99" s="38">
        <f>IF(AND(B99&lt;&gt;"",L99&lt;&gt;$D$17,$D$16&gt;3,$B99&lt;=$D$16),$D$15*Resumo!$F$13,IF(AND(B99&lt;&gt;"",L99&lt;&gt;$D$17,B99&gt;$D$16),$D$15*Resumo!$F$13,0))</f>
        <v>34.369999999999997</v>
      </c>
      <c r="J99" s="38">
        <f>IF(AND(B99&lt;&gt;"",L99&lt;&gt;$D$17,$D$16&gt;3,$B99&lt;=$D$16),Resumo!$F$11,IF(AND(B99&lt;&gt;"",L99&lt;&gt;$D$17,B99&gt;$D$16),Resumo!$F$11,0))</f>
        <v>25</v>
      </c>
      <c r="K99" s="38">
        <f t="shared" ca="1" si="15"/>
        <v>2579.7213701526148</v>
      </c>
      <c r="L99" s="39" t="str">
        <f>IF(B99&lt;&gt;"",VLOOKUP(MONTH(C99),Sheet2!$F$1:$G$12,2,0),"")</f>
        <v>Dezembro</v>
      </c>
      <c r="M99" s="200">
        <f t="shared" ca="1" si="21"/>
        <v>0</v>
      </c>
      <c r="N99" s="40">
        <f t="shared" ca="1" si="22"/>
        <v>2470.2667786357206</v>
      </c>
      <c r="O99" s="40">
        <f t="shared" ca="1" si="16"/>
        <v>2579.7213701526148</v>
      </c>
      <c r="P99" s="40"/>
      <c r="Q99" s="20">
        <f t="shared" ca="1" si="23"/>
        <v>834.89136490250701</v>
      </c>
      <c r="R99" s="1">
        <f t="shared" si="17"/>
        <v>2355</v>
      </c>
      <c r="S99" s="243">
        <f>IF(AND($K$2&gt;=DATEVALUE("03/04/2020"),$K$2&lt;=DATEVALUE("31/12/2020")),0,IF(Resumo!$C$19="PF",IF(R99&lt;360,0.0082%*R99,3%),IF(R99&lt;360,0.0041%*R99,1.5%)))</f>
        <v>1.4999999999999999E-2</v>
      </c>
      <c r="T99" s="172">
        <f t="shared" ca="1" si="24"/>
        <v>12.523370473537605</v>
      </c>
      <c r="X99" s="20">
        <f t="shared" ca="1" si="25"/>
        <v>2470.2667786357206</v>
      </c>
    </row>
    <row r="100" spans="2:24">
      <c r="B100" s="41">
        <f t="shared" si="18"/>
        <v>78</v>
      </c>
      <c r="C100" s="164">
        <f t="shared" si="19"/>
        <v>47133</v>
      </c>
      <c r="D100" s="42">
        <f t="shared" ca="1" si="13"/>
        <v>842.74931039701278</v>
      </c>
      <c r="E100" s="42">
        <f t="shared" ca="1" si="20"/>
        <v>1621.7867729280081</v>
      </c>
      <c r="F100" s="42">
        <f t="shared" ca="1" si="14"/>
        <v>2464.5360833250206</v>
      </c>
      <c r="G100" s="42">
        <f ca="1">IF(B100&lt;=$D$16,G99*(1+$D$13)^((C100-C99)/_xlfn.DAYS(EDATE(C99,1),C99)),G99-D100)+IF(B100&lt;=$D$16,G99*Resumo!$F$12,0)+IF(B100&lt;=$D$16,$D$15*Resumo!$F$13,0)+IF(B100&lt;=$D$16,25,0)-IF(AND($D$16&gt;3,B100&lt;=$D$16),K100,0)</f>
        <v>237655.30553195713</v>
      </c>
      <c r="H100" s="42">
        <f ca="1">IF(AND(B100&lt;&gt;"",L100&lt;&gt;$D$17,$D$16&gt;3),G100*Resumo!$F$12,IF(AND(B100&lt;&gt;"",L100&lt;&gt;$D$17,B100&gt;$D$16),G100*Resumo!$F$12,0))</f>
        <v>49.907614161711003</v>
      </c>
      <c r="I100" s="42">
        <f>IF(AND(B100&lt;&gt;"",L100&lt;&gt;$D$17,$D$16&gt;3,$B100&lt;=$D$16),$D$15*Resumo!$F$13,IF(AND(B100&lt;&gt;"",L100&lt;&gt;$D$17,B100&gt;$D$16),$D$15*Resumo!$F$13,0))</f>
        <v>34.369999999999997</v>
      </c>
      <c r="J100" s="42">
        <f>IF(AND(B100&lt;&gt;"",L100&lt;&gt;$D$17,$D$16&gt;3,$B100&lt;=$D$16),Resumo!$F$11,IF(AND(B100&lt;&gt;"",L100&lt;&gt;$D$17,B100&gt;$D$16),Resumo!$F$11,0))</f>
        <v>25</v>
      </c>
      <c r="K100" s="42">
        <f t="shared" ca="1" si="15"/>
        <v>2573.8136974867316</v>
      </c>
      <c r="L100" s="39" t="str">
        <f>IF(B100&lt;&gt;"",VLOOKUP(MONTH(C100),Sheet2!$F$1:$G$12,2,0),"")</f>
        <v>Janeiro</v>
      </c>
      <c r="M100" s="200">
        <f t="shared" ca="1" si="21"/>
        <v>0</v>
      </c>
      <c r="N100" s="40">
        <f t="shared" ca="1" si="22"/>
        <v>2464.5360833250206</v>
      </c>
      <c r="O100" s="40">
        <f t="shared" ca="1" si="16"/>
        <v>2573.8136974867316</v>
      </c>
      <c r="P100" s="40"/>
      <c r="Q100" s="20">
        <f t="shared" ca="1" si="23"/>
        <v>834.89136490250701</v>
      </c>
      <c r="R100" s="1">
        <f t="shared" si="17"/>
        <v>2386</v>
      </c>
      <c r="S100" s="243">
        <f>IF(AND($K$2&gt;=DATEVALUE("03/04/2020"),$K$2&lt;=DATEVALUE("31/12/2020")),0,IF(Resumo!$C$19="PF",IF(R100&lt;360,0.0082%*R100,3%),IF(R100&lt;360,0.0041%*R100,1.5%)))</f>
        <v>1.4999999999999999E-2</v>
      </c>
      <c r="T100" s="172">
        <f t="shared" ca="1" si="24"/>
        <v>12.523370473537605</v>
      </c>
      <c r="X100" s="20">
        <f t="shared" ca="1" si="25"/>
        <v>2464.5360833250206</v>
      </c>
    </row>
    <row r="101" spans="2:24">
      <c r="B101" s="37">
        <f t="shared" si="18"/>
        <v>79</v>
      </c>
      <c r="C101" s="163">
        <f t="shared" si="19"/>
        <v>47164</v>
      </c>
      <c r="D101" s="38">
        <f t="shared" ca="1" si="13"/>
        <v>842.74931039701278</v>
      </c>
      <c r="E101" s="38">
        <f t="shared" ca="1" si="20"/>
        <v>1616.0560776173083</v>
      </c>
      <c r="F101" s="38">
        <f t="shared" ca="1" si="14"/>
        <v>2458.8053880143211</v>
      </c>
      <c r="G101" s="38">
        <f ca="1">IF(B101&lt;=$D$16,G100*(1+$D$13)^((C101-C100)/_xlfn.DAYS(EDATE(C100,1),C100)),G100-D101)+IF(B101&lt;=$D$16,G100*Resumo!$F$12,0)+IF(B101&lt;=$D$16,$D$15*Resumo!$F$13,0)+IF(B101&lt;=$D$16,25,0)-IF(AND($D$16&gt;3,B101&lt;=$D$16),K101,0)</f>
        <v>236812.55622156011</v>
      </c>
      <c r="H101" s="38">
        <f ca="1">IF(AND(B101&lt;&gt;"",L101&lt;&gt;$D$17,$D$16&gt;3),G101*Resumo!$F$12,IF(AND(B101&lt;&gt;"",L101&lt;&gt;$D$17,B101&gt;$D$16),G101*Resumo!$F$12,0))</f>
        <v>49.730636806527627</v>
      </c>
      <c r="I101" s="38">
        <f>IF(AND(B101&lt;&gt;"",L101&lt;&gt;$D$17,$D$16&gt;3,$B101&lt;=$D$16),$D$15*Resumo!$F$13,IF(AND(B101&lt;&gt;"",L101&lt;&gt;$D$17,B101&gt;$D$16),$D$15*Resumo!$F$13,0))</f>
        <v>34.369999999999997</v>
      </c>
      <c r="J101" s="38">
        <f>IF(AND(B101&lt;&gt;"",L101&lt;&gt;$D$17,$D$16&gt;3,$B101&lt;=$D$16),Resumo!$F$11,IF(AND(B101&lt;&gt;"",L101&lt;&gt;$D$17,B101&gt;$D$16),Resumo!$F$11,0))</f>
        <v>25</v>
      </c>
      <c r="K101" s="38">
        <f t="shared" ca="1" si="15"/>
        <v>2567.9060248208489</v>
      </c>
      <c r="L101" s="39" t="str">
        <f>IF(B101&lt;&gt;"",VLOOKUP(MONTH(C101),Sheet2!$F$1:$G$12,2,0),"")</f>
        <v>Fevereiro</v>
      </c>
      <c r="M101" s="200">
        <f t="shared" ca="1" si="21"/>
        <v>0</v>
      </c>
      <c r="N101" s="40">
        <f t="shared" ca="1" si="22"/>
        <v>2458.8053880143211</v>
      </c>
      <c r="O101" s="40">
        <f t="shared" ca="1" si="16"/>
        <v>2567.9060248208489</v>
      </c>
      <c r="P101" s="40"/>
      <c r="Q101" s="20">
        <f t="shared" ca="1" si="23"/>
        <v>834.89136490250701</v>
      </c>
      <c r="R101" s="1">
        <f t="shared" si="17"/>
        <v>2417</v>
      </c>
      <c r="S101" s="243">
        <f>IF(AND($K$2&gt;=DATEVALUE("03/04/2020"),$K$2&lt;=DATEVALUE("31/12/2020")),0,IF(Resumo!$C$19="PF",IF(R101&lt;360,0.0082%*R101,3%),IF(R101&lt;360,0.0041%*R101,1.5%)))</f>
        <v>1.4999999999999999E-2</v>
      </c>
      <c r="T101" s="172">
        <f t="shared" ca="1" si="24"/>
        <v>12.523370473537605</v>
      </c>
      <c r="X101" s="20">
        <f t="shared" ca="1" si="25"/>
        <v>2458.8053880143211</v>
      </c>
    </row>
    <row r="102" spans="2:24">
      <c r="B102" s="41">
        <f t="shared" si="18"/>
        <v>80</v>
      </c>
      <c r="C102" s="164">
        <f t="shared" si="19"/>
        <v>47192</v>
      </c>
      <c r="D102" s="42">
        <f t="shared" ca="1" si="13"/>
        <v>842.74931039701278</v>
      </c>
      <c r="E102" s="42">
        <f t="shared" ca="1" si="20"/>
        <v>1610.3253823066086</v>
      </c>
      <c r="F102" s="42">
        <f t="shared" ca="1" si="14"/>
        <v>2453.0746927036216</v>
      </c>
      <c r="G102" s="42">
        <f ca="1">IF(B102&lt;=$D$16,G101*(1+$D$13)^((C102-C101)/_xlfn.DAYS(EDATE(C101,1),C101)),G101-D102)+IF(B102&lt;=$D$16,G101*Resumo!$F$12,0)+IF(B102&lt;=$D$16,$D$15*Resumo!$F$13,0)+IF(B102&lt;=$D$16,25,0)-IF(AND($D$16&gt;3,B102&lt;=$D$16),K102,0)</f>
        <v>235969.80691116309</v>
      </c>
      <c r="H102" s="42">
        <f ca="1">IF(AND(B102&lt;&gt;"",L102&lt;&gt;$D$17,$D$16&gt;3),G102*Resumo!$F$12,IF(AND(B102&lt;&gt;"",L102&lt;&gt;$D$17,B102&gt;$D$16),G102*Resumo!$F$12,0))</f>
        <v>49.553659451344252</v>
      </c>
      <c r="I102" s="42">
        <f>IF(AND(B102&lt;&gt;"",L102&lt;&gt;$D$17,$D$16&gt;3,$B102&lt;=$D$16),$D$15*Resumo!$F$13,IF(AND(B102&lt;&gt;"",L102&lt;&gt;$D$17,B102&gt;$D$16),$D$15*Resumo!$F$13,0))</f>
        <v>34.369999999999997</v>
      </c>
      <c r="J102" s="42">
        <f>IF(AND(B102&lt;&gt;"",L102&lt;&gt;$D$17,$D$16&gt;3,$B102&lt;=$D$16),Resumo!$F$11,IF(AND(B102&lt;&gt;"",L102&lt;&gt;$D$17,B102&gt;$D$16),Resumo!$F$11,0))</f>
        <v>25</v>
      </c>
      <c r="K102" s="42">
        <f t="shared" ca="1" si="15"/>
        <v>2561.9983521549657</v>
      </c>
      <c r="L102" s="39" t="str">
        <f>IF(B102&lt;&gt;"",VLOOKUP(MONTH(C102),Sheet2!$F$1:$G$12,2,0),"")</f>
        <v>Março</v>
      </c>
      <c r="M102" s="200">
        <f t="shared" ca="1" si="21"/>
        <v>0</v>
      </c>
      <c r="N102" s="40">
        <f t="shared" ca="1" si="22"/>
        <v>2453.0746927036216</v>
      </c>
      <c r="O102" s="40">
        <f t="shared" ca="1" si="16"/>
        <v>2561.9983521549657</v>
      </c>
      <c r="P102" s="40"/>
      <c r="Q102" s="20">
        <f t="shared" ca="1" si="23"/>
        <v>834.89136490250701</v>
      </c>
      <c r="R102" s="1">
        <f t="shared" si="17"/>
        <v>2445</v>
      </c>
      <c r="S102" s="243">
        <f>IF(AND($K$2&gt;=DATEVALUE("03/04/2020"),$K$2&lt;=DATEVALUE("31/12/2020")),0,IF(Resumo!$C$19="PF",IF(R102&lt;360,0.0082%*R102,3%),IF(R102&lt;360,0.0041%*R102,1.5%)))</f>
        <v>1.4999999999999999E-2</v>
      </c>
      <c r="T102" s="172">
        <f t="shared" ca="1" si="24"/>
        <v>12.523370473537605</v>
      </c>
      <c r="X102" s="20">
        <f t="shared" ca="1" si="25"/>
        <v>2453.0746927036216</v>
      </c>
    </row>
    <row r="103" spans="2:24">
      <c r="B103" s="37">
        <f t="shared" si="18"/>
        <v>81</v>
      </c>
      <c r="C103" s="163">
        <f t="shared" si="19"/>
        <v>47223</v>
      </c>
      <c r="D103" s="38">
        <f t="shared" ca="1" si="13"/>
        <v>842.74931039701278</v>
      </c>
      <c r="E103" s="38">
        <f t="shared" ca="1" si="20"/>
        <v>1604.5946869959089</v>
      </c>
      <c r="F103" s="38">
        <f t="shared" ca="1" si="14"/>
        <v>2447.3439973929217</v>
      </c>
      <c r="G103" s="38">
        <f ca="1">IF(B103&lt;=$D$16,G102*(1+$D$13)^((C103-C102)/_xlfn.DAYS(EDATE(C102,1),C102)),G102-D103)+IF(B103&lt;=$D$16,G102*Resumo!$F$12,0)+IF(B103&lt;=$D$16,$D$15*Resumo!$F$13,0)+IF(B103&lt;=$D$16,25,0)-IF(AND($D$16&gt;3,B103&lt;=$D$16),K103,0)</f>
        <v>235127.05760076607</v>
      </c>
      <c r="H103" s="38">
        <f ca="1">IF(AND(B103&lt;&gt;"",L103&lt;&gt;$D$17,$D$16&gt;3),G103*Resumo!$F$12,IF(AND(B103&lt;&gt;"",L103&lt;&gt;$D$17,B103&gt;$D$16),G103*Resumo!$F$12,0))</f>
        <v>49.376682096160877</v>
      </c>
      <c r="I103" s="38">
        <f>IF(AND(B103&lt;&gt;"",L103&lt;&gt;$D$17,$D$16&gt;3,$B103&lt;=$D$16),$D$15*Resumo!$F$13,IF(AND(B103&lt;&gt;"",L103&lt;&gt;$D$17,B103&gt;$D$16),$D$15*Resumo!$F$13,0))</f>
        <v>34.369999999999997</v>
      </c>
      <c r="J103" s="38">
        <f>IF(AND(B103&lt;&gt;"",L103&lt;&gt;$D$17,$D$16&gt;3,$B103&lt;=$D$16),Resumo!$F$11,IF(AND(B103&lt;&gt;"",L103&lt;&gt;$D$17,B103&gt;$D$16),Resumo!$F$11,0))</f>
        <v>25</v>
      </c>
      <c r="K103" s="38">
        <f t="shared" ca="1" si="15"/>
        <v>2556.0906794890825</v>
      </c>
      <c r="L103" s="39" t="str">
        <f>IF(B103&lt;&gt;"",VLOOKUP(MONTH(C103),Sheet2!$F$1:$G$12,2,0),"")</f>
        <v>Abril</v>
      </c>
      <c r="M103" s="200">
        <f t="shared" ca="1" si="21"/>
        <v>0</v>
      </c>
      <c r="N103" s="40">
        <f t="shared" ca="1" si="22"/>
        <v>2447.3439973929217</v>
      </c>
      <c r="O103" s="40">
        <f t="shared" ca="1" si="16"/>
        <v>2556.0906794890825</v>
      </c>
      <c r="P103" s="40"/>
      <c r="Q103" s="20">
        <f t="shared" ca="1" si="23"/>
        <v>834.89136490250701</v>
      </c>
      <c r="R103" s="1">
        <f t="shared" si="17"/>
        <v>2476</v>
      </c>
      <c r="S103" s="243">
        <f>IF(AND($K$2&gt;=DATEVALUE("03/04/2020"),$K$2&lt;=DATEVALUE("31/12/2020")),0,IF(Resumo!$C$19="PF",IF(R103&lt;360,0.0082%*R103,3%),IF(R103&lt;360,0.0041%*R103,1.5%)))</f>
        <v>1.4999999999999999E-2</v>
      </c>
      <c r="T103" s="172">
        <f t="shared" ca="1" si="24"/>
        <v>12.523370473537605</v>
      </c>
      <c r="X103" s="20">
        <f t="shared" ca="1" si="25"/>
        <v>2447.3439973929217</v>
      </c>
    </row>
    <row r="104" spans="2:24">
      <c r="B104" s="41">
        <f t="shared" si="18"/>
        <v>82</v>
      </c>
      <c r="C104" s="164">
        <f t="shared" si="19"/>
        <v>47253</v>
      </c>
      <c r="D104" s="42">
        <f t="shared" ca="1" si="13"/>
        <v>842.74931039701278</v>
      </c>
      <c r="E104" s="42">
        <f t="shared" ca="1" si="20"/>
        <v>1598.8639916852092</v>
      </c>
      <c r="F104" s="42">
        <f t="shared" ca="1" si="14"/>
        <v>2441.6133020822217</v>
      </c>
      <c r="G104" s="42">
        <f ca="1">IF(B104&lt;=$D$16,G103*(1+$D$13)^((C104-C103)/_xlfn.DAYS(EDATE(C103,1),C103)),G103-D104)+IF(B104&lt;=$D$16,G103*Resumo!$F$12,0)+IF(B104&lt;=$D$16,$D$15*Resumo!$F$13,0)+IF(B104&lt;=$D$16,25,0)-IF(AND($D$16&gt;3,B104&lt;=$D$16),K104,0)</f>
        <v>234284.30829036905</v>
      </c>
      <c r="H104" s="42">
        <f ca="1">IF(AND(B104&lt;&gt;"",L104&lt;&gt;$D$17,$D$16&gt;3),G104*Resumo!$F$12,IF(AND(B104&lt;&gt;"",L104&lt;&gt;$D$17,B104&gt;$D$16),G104*Resumo!$F$12,0))</f>
        <v>49.199704740977502</v>
      </c>
      <c r="I104" s="42">
        <f>IF(AND(B104&lt;&gt;"",L104&lt;&gt;$D$17,$D$16&gt;3,$B104&lt;=$D$16),$D$15*Resumo!$F$13,IF(AND(B104&lt;&gt;"",L104&lt;&gt;$D$17,B104&gt;$D$16),$D$15*Resumo!$F$13,0))</f>
        <v>34.369999999999997</v>
      </c>
      <c r="J104" s="42">
        <f>IF(AND(B104&lt;&gt;"",L104&lt;&gt;$D$17,$D$16&gt;3,$B104&lt;=$D$16),Resumo!$F$11,IF(AND(B104&lt;&gt;"",L104&lt;&gt;$D$17,B104&gt;$D$16),Resumo!$F$11,0))</f>
        <v>25</v>
      </c>
      <c r="K104" s="42">
        <f t="shared" ca="1" si="15"/>
        <v>2550.1830068231993</v>
      </c>
      <c r="L104" s="39" t="str">
        <f>IF(B104&lt;&gt;"",VLOOKUP(MONTH(C104),Sheet2!$F$1:$G$12,2,0),"")</f>
        <v>Maio</v>
      </c>
      <c r="M104" s="200">
        <f t="shared" ca="1" si="21"/>
        <v>0</v>
      </c>
      <c r="N104" s="40">
        <f t="shared" ca="1" si="22"/>
        <v>2441.6133020822217</v>
      </c>
      <c r="O104" s="40">
        <f t="shared" ca="1" si="16"/>
        <v>2550.1830068231993</v>
      </c>
      <c r="P104" s="40"/>
      <c r="Q104" s="20">
        <f t="shared" ca="1" si="23"/>
        <v>834.89136490250701</v>
      </c>
      <c r="R104" s="1">
        <f t="shared" si="17"/>
        <v>2506</v>
      </c>
      <c r="S104" s="243">
        <f>IF(AND($K$2&gt;=DATEVALUE("03/04/2020"),$K$2&lt;=DATEVALUE("31/12/2020")),0,IF(Resumo!$C$19="PF",IF(R104&lt;360,0.0082%*R104,3%),IF(R104&lt;360,0.0041%*R104,1.5%)))</f>
        <v>1.4999999999999999E-2</v>
      </c>
      <c r="T104" s="172">
        <f t="shared" ca="1" si="24"/>
        <v>12.523370473537605</v>
      </c>
      <c r="X104" s="20">
        <f t="shared" ca="1" si="25"/>
        <v>2441.6133020822217</v>
      </c>
    </row>
    <row r="105" spans="2:24">
      <c r="B105" s="37">
        <f t="shared" si="18"/>
        <v>83</v>
      </c>
      <c r="C105" s="163">
        <f t="shared" si="19"/>
        <v>47284</v>
      </c>
      <c r="D105" s="38">
        <f t="shared" ca="1" si="13"/>
        <v>842.74931039701278</v>
      </c>
      <c r="E105" s="38">
        <f t="shared" ca="1" si="20"/>
        <v>1593.1332963745094</v>
      </c>
      <c r="F105" s="38">
        <f t="shared" ca="1" si="14"/>
        <v>2435.8826067715222</v>
      </c>
      <c r="G105" s="38">
        <f ca="1">IF(B105&lt;=$D$16,G104*(1+$D$13)^((C105-C104)/_xlfn.DAYS(EDATE(C104,1),C104)),G104-D105)+IF(B105&lt;=$D$16,G104*Resumo!$F$12,0)+IF(B105&lt;=$D$16,$D$15*Resumo!$F$13,0)+IF(B105&lt;=$D$16,25,0)-IF(AND($D$16&gt;3,B105&lt;=$D$16),K105,0)</f>
        <v>233441.55897997203</v>
      </c>
      <c r="H105" s="38">
        <f ca="1">IF(AND(B105&lt;&gt;"",L105&lt;&gt;$D$17,$D$16&gt;3),G105*Resumo!$F$12,IF(AND(B105&lt;&gt;"",L105&lt;&gt;$D$17,B105&gt;$D$16),G105*Resumo!$F$12,0))</f>
        <v>49.022727385794127</v>
      </c>
      <c r="I105" s="38">
        <f>IF(AND(B105&lt;&gt;"",L105&lt;&gt;$D$17,$D$16&gt;3,$B105&lt;=$D$16),$D$15*Resumo!$F$13,IF(AND(B105&lt;&gt;"",L105&lt;&gt;$D$17,B105&gt;$D$16),$D$15*Resumo!$F$13,0))</f>
        <v>34.369999999999997</v>
      </c>
      <c r="J105" s="38">
        <f>IF(AND(B105&lt;&gt;"",L105&lt;&gt;$D$17,$D$16&gt;3,$B105&lt;=$D$16),Resumo!$F$11,IF(AND(B105&lt;&gt;"",L105&lt;&gt;$D$17,B105&gt;$D$16),Resumo!$F$11,0))</f>
        <v>25</v>
      </c>
      <c r="K105" s="38">
        <f t="shared" ca="1" si="15"/>
        <v>2544.2753341573161</v>
      </c>
      <c r="L105" s="39" t="str">
        <f>IF(B105&lt;&gt;"",VLOOKUP(MONTH(C105),Sheet2!$F$1:$G$12,2,0),"")</f>
        <v>Junho</v>
      </c>
      <c r="M105" s="200">
        <f t="shared" ca="1" si="21"/>
        <v>0</v>
      </c>
      <c r="N105" s="40">
        <f t="shared" ca="1" si="22"/>
        <v>2435.8826067715222</v>
      </c>
      <c r="O105" s="40">
        <f t="shared" ca="1" si="16"/>
        <v>2544.2753341573161</v>
      </c>
      <c r="P105" s="40"/>
      <c r="Q105" s="20">
        <f t="shared" ca="1" si="23"/>
        <v>834.89136490250701</v>
      </c>
      <c r="R105" s="1">
        <f t="shared" si="17"/>
        <v>2537</v>
      </c>
      <c r="S105" s="243">
        <f>IF(AND($K$2&gt;=DATEVALUE("03/04/2020"),$K$2&lt;=DATEVALUE("31/12/2020")),0,IF(Resumo!$C$19="PF",IF(R105&lt;360,0.0082%*R105,3%),IF(R105&lt;360,0.0041%*R105,1.5%)))</f>
        <v>1.4999999999999999E-2</v>
      </c>
      <c r="T105" s="172">
        <f t="shared" ca="1" si="24"/>
        <v>12.523370473537605</v>
      </c>
      <c r="X105" s="20">
        <f t="shared" ca="1" si="25"/>
        <v>2435.8826067715222</v>
      </c>
    </row>
    <row r="106" spans="2:24">
      <c r="B106" s="41">
        <f t="shared" si="18"/>
        <v>84</v>
      </c>
      <c r="C106" s="164">
        <f t="shared" si="19"/>
        <v>47314</v>
      </c>
      <c r="D106" s="42">
        <f t="shared" ca="1" si="13"/>
        <v>842.74931039701278</v>
      </c>
      <c r="E106" s="42">
        <f t="shared" ca="1" si="20"/>
        <v>1587.4026010638097</v>
      </c>
      <c r="F106" s="42">
        <f t="shared" ca="1" si="14"/>
        <v>2430.1519114608227</v>
      </c>
      <c r="G106" s="42">
        <f ca="1">IF(B106&lt;=$D$16,G105*(1+$D$13)^((C106-C105)/_xlfn.DAYS(EDATE(C105,1),C105)),G105-D106)+IF(B106&lt;=$D$16,G105*Resumo!$F$12,0)+IF(B106&lt;=$D$16,$D$15*Resumo!$F$13,0)+IF(B106&lt;=$D$16,25,0)-IF(AND($D$16&gt;3,B106&lt;=$D$16),K106,0)</f>
        <v>232598.80966957501</v>
      </c>
      <c r="H106" s="42">
        <f ca="1">IF(AND(B106&lt;&gt;"",L106&lt;&gt;$D$17,$D$16&gt;3),G106*Resumo!$F$12,IF(AND(B106&lt;&gt;"",L106&lt;&gt;$D$17,B106&gt;$D$16),G106*Resumo!$F$12,0))</f>
        <v>48.845750030610752</v>
      </c>
      <c r="I106" s="42">
        <f>IF(AND(B106&lt;&gt;"",L106&lt;&gt;$D$17,$D$16&gt;3,$B106&lt;=$D$16),$D$15*Resumo!$F$13,IF(AND(B106&lt;&gt;"",L106&lt;&gt;$D$17,B106&gt;$D$16),$D$15*Resumo!$F$13,0))</f>
        <v>34.369999999999997</v>
      </c>
      <c r="J106" s="42">
        <f>IF(AND(B106&lt;&gt;"",L106&lt;&gt;$D$17,$D$16&gt;3,$B106&lt;=$D$16),Resumo!$F$11,IF(AND(B106&lt;&gt;"",L106&lt;&gt;$D$17,B106&gt;$D$16),Resumo!$F$11,0))</f>
        <v>25</v>
      </c>
      <c r="K106" s="42">
        <f t="shared" ca="1" si="15"/>
        <v>2538.3676614914334</v>
      </c>
      <c r="L106" s="39" t="str">
        <f>IF(B106&lt;&gt;"",VLOOKUP(MONTH(C106),Sheet2!$F$1:$G$12,2,0),"")</f>
        <v>Julho</v>
      </c>
      <c r="M106" s="200">
        <f t="shared" ca="1" si="21"/>
        <v>0</v>
      </c>
      <c r="N106" s="40">
        <f t="shared" ca="1" si="22"/>
        <v>2430.1519114608227</v>
      </c>
      <c r="O106" s="40">
        <f t="shared" ca="1" si="16"/>
        <v>2538.3676614914334</v>
      </c>
      <c r="P106" s="40"/>
      <c r="Q106" s="20">
        <f t="shared" ca="1" si="23"/>
        <v>834.89136490250701</v>
      </c>
      <c r="R106" s="1">
        <f t="shared" si="17"/>
        <v>2567</v>
      </c>
      <c r="S106" s="243">
        <f>IF(AND($K$2&gt;=DATEVALUE("03/04/2020"),$K$2&lt;=DATEVALUE("31/12/2020")),0,IF(Resumo!$C$19="PF",IF(R106&lt;360,0.0082%*R106,3%),IF(R106&lt;360,0.0041%*R106,1.5%)))</f>
        <v>1.4999999999999999E-2</v>
      </c>
      <c r="T106" s="172">
        <f t="shared" ca="1" si="24"/>
        <v>12.523370473537605</v>
      </c>
      <c r="X106" s="20">
        <f t="shared" ca="1" si="25"/>
        <v>2430.1519114608227</v>
      </c>
    </row>
    <row r="107" spans="2:24">
      <c r="B107" s="37">
        <f t="shared" si="18"/>
        <v>85</v>
      </c>
      <c r="C107" s="163">
        <f t="shared" si="19"/>
        <v>47345</v>
      </c>
      <c r="D107" s="38">
        <f t="shared" ca="1" si="13"/>
        <v>842.74931039701278</v>
      </c>
      <c r="E107" s="38">
        <f t="shared" ca="1" si="20"/>
        <v>1581.67190575311</v>
      </c>
      <c r="F107" s="38">
        <f t="shared" ca="1" si="14"/>
        <v>2424.4212161501227</v>
      </c>
      <c r="G107" s="38">
        <f ca="1">IF(B107&lt;=$D$16,G106*(1+$D$13)^((C107-C106)/_xlfn.DAYS(EDATE(C106,1),C106)),G106-D107)+IF(B107&lt;=$D$16,G106*Resumo!$F$12,0)+IF(B107&lt;=$D$16,$D$15*Resumo!$F$13,0)+IF(B107&lt;=$D$16,25,0)-IF(AND($D$16&gt;3,B107&lt;=$D$16),K107,0)</f>
        <v>231756.06035917799</v>
      </c>
      <c r="H107" s="38">
        <f ca="1">IF(AND(B107&lt;&gt;"",L107&lt;&gt;$D$17,$D$16&gt;3),G107*Resumo!$F$12,IF(AND(B107&lt;&gt;"",L107&lt;&gt;$D$17,B107&gt;$D$16),G107*Resumo!$F$12,0))</f>
        <v>48.668772675427384</v>
      </c>
      <c r="I107" s="38">
        <f>IF(AND(B107&lt;&gt;"",L107&lt;&gt;$D$17,$D$16&gt;3,$B107&lt;=$D$16),$D$15*Resumo!$F$13,IF(AND(B107&lt;&gt;"",L107&lt;&gt;$D$17,B107&gt;$D$16),$D$15*Resumo!$F$13,0))</f>
        <v>34.369999999999997</v>
      </c>
      <c r="J107" s="38">
        <f>IF(AND(B107&lt;&gt;"",L107&lt;&gt;$D$17,$D$16&gt;3,$B107&lt;=$D$16),Resumo!$F$11,IF(AND(B107&lt;&gt;"",L107&lt;&gt;$D$17,B107&gt;$D$16),Resumo!$F$11,0))</f>
        <v>25</v>
      </c>
      <c r="K107" s="38">
        <f t="shared" ca="1" si="15"/>
        <v>2532.4599888255502</v>
      </c>
      <c r="L107" s="39" t="str">
        <f>IF(B107&lt;&gt;"",VLOOKUP(MONTH(C107),Sheet2!$F$1:$G$12,2,0),"")</f>
        <v>Agosto</v>
      </c>
      <c r="M107" s="200">
        <f t="shared" ca="1" si="21"/>
        <v>0</v>
      </c>
      <c r="N107" s="40">
        <f t="shared" ca="1" si="22"/>
        <v>2424.4212161501227</v>
      </c>
      <c r="O107" s="40">
        <f t="shared" ca="1" si="16"/>
        <v>2532.4599888255502</v>
      </c>
      <c r="P107" s="40"/>
      <c r="Q107" s="20">
        <f t="shared" ca="1" si="23"/>
        <v>834.89136490250701</v>
      </c>
      <c r="R107" s="1">
        <f t="shared" si="17"/>
        <v>2598</v>
      </c>
      <c r="S107" s="243">
        <f>IF(AND($K$2&gt;=DATEVALUE("03/04/2020"),$K$2&lt;=DATEVALUE("31/12/2020")),0,IF(Resumo!$C$19="PF",IF(R107&lt;360,0.0082%*R107,3%),IF(R107&lt;360,0.0041%*R107,1.5%)))</f>
        <v>1.4999999999999999E-2</v>
      </c>
      <c r="T107" s="172">
        <f t="shared" ca="1" si="24"/>
        <v>12.523370473537605</v>
      </c>
      <c r="X107" s="20">
        <f t="shared" ca="1" si="25"/>
        <v>2424.4212161501227</v>
      </c>
    </row>
    <row r="108" spans="2:24">
      <c r="B108" s="41">
        <f t="shared" si="18"/>
        <v>86</v>
      </c>
      <c r="C108" s="164">
        <f t="shared" si="19"/>
        <v>47376</v>
      </c>
      <c r="D108" s="42">
        <f t="shared" ca="1" si="13"/>
        <v>842.74931039701278</v>
      </c>
      <c r="E108" s="42">
        <f t="shared" ca="1" si="20"/>
        <v>1575.9412104424102</v>
      </c>
      <c r="F108" s="42">
        <f t="shared" ca="1" si="14"/>
        <v>2418.6905208394228</v>
      </c>
      <c r="G108" s="42">
        <f ca="1">IF(B108&lt;=$D$16,G107*(1+$D$13)^((C108-C107)/_xlfn.DAYS(EDATE(C107,1),C107)),G107-D108)+IF(B108&lt;=$D$16,G107*Resumo!$F$12,0)+IF(B108&lt;=$D$16,$D$15*Resumo!$F$13,0)+IF(B108&lt;=$D$16,25,0)-IF(AND($D$16&gt;3,B108&lt;=$D$16),K108,0)</f>
        <v>230913.31104878098</v>
      </c>
      <c r="H108" s="42">
        <f ca="1">IF(AND(B108&lt;&gt;"",L108&lt;&gt;$D$17,$D$16&gt;3),G108*Resumo!$F$12,IF(AND(B108&lt;&gt;"",L108&lt;&gt;$D$17,B108&gt;$D$16),G108*Resumo!$F$12,0))</f>
        <v>48.491795320244009</v>
      </c>
      <c r="I108" s="42">
        <f>IF(AND(B108&lt;&gt;"",L108&lt;&gt;$D$17,$D$16&gt;3,$B108&lt;=$D$16),$D$15*Resumo!$F$13,IF(AND(B108&lt;&gt;"",L108&lt;&gt;$D$17,B108&gt;$D$16),$D$15*Resumo!$F$13,0))</f>
        <v>34.369999999999997</v>
      </c>
      <c r="J108" s="42">
        <f>IF(AND(B108&lt;&gt;"",L108&lt;&gt;$D$17,$D$16&gt;3,$B108&lt;=$D$16),Resumo!$F$11,IF(AND(B108&lt;&gt;"",L108&lt;&gt;$D$17,B108&gt;$D$16),Resumo!$F$11,0))</f>
        <v>25</v>
      </c>
      <c r="K108" s="42">
        <f t="shared" ca="1" si="15"/>
        <v>2526.5523161596666</v>
      </c>
      <c r="L108" s="39" t="str">
        <f>IF(B108&lt;&gt;"",VLOOKUP(MONTH(C108),Sheet2!$F$1:$G$12,2,0),"")</f>
        <v>Setembro</v>
      </c>
      <c r="M108" s="200">
        <f t="shared" ca="1" si="21"/>
        <v>0</v>
      </c>
      <c r="N108" s="40">
        <f t="shared" ca="1" si="22"/>
        <v>2418.6905208394228</v>
      </c>
      <c r="O108" s="40">
        <f t="shared" ca="1" si="16"/>
        <v>2526.5523161596666</v>
      </c>
      <c r="P108" s="40"/>
      <c r="Q108" s="20">
        <f t="shared" ca="1" si="23"/>
        <v>834.89136490250701</v>
      </c>
      <c r="R108" s="1">
        <f t="shared" si="17"/>
        <v>2629</v>
      </c>
      <c r="S108" s="243">
        <f>IF(AND($K$2&gt;=DATEVALUE("03/04/2020"),$K$2&lt;=DATEVALUE("31/12/2020")),0,IF(Resumo!$C$19="PF",IF(R108&lt;360,0.0082%*R108,3%),IF(R108&lt;360,0.0041%*R108,1.5%)))</f>
        <v>1.4999999999999999E-2</v>
      </c>
      <c r="T108" s="172">
        <f t="shared" ca="1" si="24"/>
        <v>12.523370473537605</v>
      </c>
      <c r="X108" s="20">
        <f t="shared" ca="1" si="25"/>
        <v>2418.6905208394228</v>
      </c>
    </row>
    <row r="109" spans="2:24">
      <c r="B109" s="37">
        <f t="shared" si="18"/>
        <v>87</v>
      </c>
      <c r="C109" s="163">
        <f t="shared" si="19"/>
        <v>47406</v>
      </c>
      <c r="D109" s="38">
        <f t="shared" ca="1" si="13"/>
        <v>842.74931039701278</v>
      </c>
      <c r="E109" s="38">
        <f t="shared" ca="1" si="20"/>
        <v>1570.2105151317105</v>
      </c>
      <c r="F109" s="38">
        <f t="shared" ca="1" si="14"/>
        <v>2412.9598255287233</v>
      </c>
      <c r="G109" s="38">
        <f ca="1">IF(B109&lt;=$D$16,G108*(1+$D$13)^((C109-C108)/_xlfn.DAYS(EDATE(C108,1),C108)),G108-D109)+IF(B109&lt;=$D$16,G108*Resumo!$F$12,0)+IF(B109&lt;=$D$16,$D$15*Resumo!$F$13,0)+IF(B109&lt;=$D$16,25,0)-IF(AND($D$16&gt;3,B109&lt;=$D$16),K109,0)</f>
        <v>230070.56173838396</v>
      </c>
      <c r="H109" s="38">
        <f ca="1">IF(AND(B109&lt;&gt;"",L109&lt;&gt;$D$17,$D$16&gt;3),G109*Resumo!$F$12,IF(AND(B109&lt;&gt;"",L109&lt;&gt;$D$17,B109&gt;$D$16),G109*Resumo!$F$12,0))</f>
        <v>48.314817965060634</v>
      </c>
      <c r="I109" s="38">
        <f>IF(AND(B109&lt;&gt;"",L109&lt;&gt;$D$17,$D$16&gt;3,$B109&lt;=$D$16),$D$15*Resumo!$F$13,IF(AND(B109&lt;&gt;"",L109&lt;&gt;$D$17,B109&gt;$D$16),$D$15*Resumo!$F$13,0))</f>
        <v>34.369999999999997</v>
      </c>
      <c r="J109" s="38">
        <f>IF(AND(B109&lt;&gt;"",L109&lt;&gt;$D$17,$D$16&gt;3,$B109&lt;=$D$16),Resumo!$F$11,IF(AND(B109&lt;&gt;"",L109&lt;&gt;$D$17,B109&gt;$D$16),Resumo!$F$11,0))</f>
        <v>25</v>
      </c>
      <c r="K109" s="38">
        <f t="shared" ca="1" si="15"/>
        <v>2520.6446434937839</v>
      </c>
      <c r="L109" s="39" t="str">
        <f>IF(B109&lt;&gt;"",VLOOKUP(MONTH(C109),Sheet2!$F$1:$G$12,2,0),"")</f>
        <v>Outubro</v>
      </c>
      <c r="M109" s="200">
        <f t="shared" ca="1" si="21"/>
        <v>0</v>
      </c>
      <c r="N109" s="40">
        <f t="shared" ca="1" si="22"/>
        <v>2412.9598255287233</v>
      </c>
      <c r="O109" s="40">
        <f t="shared" ca="1" si="16"/>
        <v>2520.6446434937839</v>
      </c>
      <c r="P109" s="40"/>
      <c r="Q109" s="20">
        <f t="shared" ca="1" si="23"/>
        <v>834.89136490250701</v>
      </c>
      <c r="R109" s="1">
        <f t="shared" si="17"/>
        <v>2659</v>
      </c>
      <c r="S109" s="243">
        <f>IF(AND($K$2&gt;=DATEVALUE("03/04/2020"),$K$2&lt;=DATEVALUE("31/12/2020")),0,IF(Resumo!$C$19="PF",IF(R109&lt;360,0.0082%*R109,3%),IF(R109&lt;360,0.0041%*R109,1.5%)))</f>
        <v>1.4999999999999999E-2</v>
      </c>
      <c r="T109" s="172">
        <f t="shared" ca="1" si="24"/>
        <v>12.523370473537605</v>
      </c>
      <c r="X109" s="20">
        <f t="shared" ca="1" si="25"/>
        <v>2412.9598255287233</v>
      </c>
    </row>
    <row r="110" spans="2:24">
      <c r="B110" s="41">
        <f t="shared" si="18"/>
        <v>88</v>
      </c>
      <c r="C110" s="164">
        <f t="shared" si="19"/>
        <v>47437</v>
      </c>
      <c r="D110" s="42">
        <f t="shared" ca="1" si="13"/>
        <v>842.74931039701278</v>
      </c>
      <c r="E110" s="42">
        <f t="shared" ca="1" si="20"/>
        <v>1564.4798198210108</v>
      </c>
      <c r="F110" s="42">
        <f t="shared" ca="1" si="14"/>
        <v>2407.2291302180238</v>
      </c>
      <c r="G110" s="42">
        <f ca="1">IF(B110&lt;=$D$16,G109*(1+$D$13)^((C110-C109)/_xlfn.DAYS(EDATE(C109,1),C109)),G109-D110)+IF(B110&lt;=$D$16,G109*Resumo!$F$12,0)+IF(B110&lt;=$D$16,$D$15*Resumo!$F$13,0)+IF(B110&lt;=$D$16,25,0)-IF(AND($D$16&gt;3,B110&lt;=$D$16),K110,0)</f>
        <v>229227.81242798694</v>
      </c>
      <c r="H110" s="42">
        <f ca="1">IF(AND(B110&lt;&gt;"",L110&lt;&gt;$D$17,$D$16&gt;3),G110*Resumo!$F$12,IF(AND(B110&lt;&gt;"",L110&lt;&gt;$D$17,B110&gt;$D$16),G110*Resumo!$F$12,0))</f>
        <v>48.137840609877259</v>
      </c>
      <c r="I110" s="42">
        <f>IF(AND(B110&lt;&gt;"",L110&lt;&gt;$D$17,$D$16&gt;3,$B110&lt;=$D$16),$D$15*Resumo!$F$13,IF(AND(B110&lt;&gt;"",L110&lt;&gt;$D$17,B110&gt;$D$16),$D$15*Resumo!$F$13,0))</f>
        <v>34.369999999999997</v>
      </c>
      <c r="J110" s="42">
        <f>IF(AND(B110&lt;&gt;"",L110&lt;&gt;$D$17,$D$16&gt;3,$B110&lt;=$D$16),Resumo!$F$11,IF(AND(B110&lt;&gt;"",L110&lt;&gt;$D$17,B110&gt;$D$16),Resumo!$F$11,0))</f>
        <v>25</v>
      </c>
      <c r="K110" s="42">
        <f t="shared" ca="1" si="15"/>
        <v>2514.7369708279011</v>
      </c>
      <c r="L110" s="39" t="str">
        <f>IF(B110&lt;&gt;"",VLOOKUP(MONTH(C110),Sheet2!$F$1:$G$12,2,0),"")</f>
        <v>Novembro</v>
      </c>
      <c r="M110" s="200">
        <f t="shared" ca="1" si="21"/>
        <v>0</v>
      </c>
      <c r="N110" s="40">
        <f t="shared" ca="1" si="22"/>
        <v>2407.2291302180238</v>
      </c>
      <c r="O110" s="40">
        <f t="shared" ca="1" si="16"/>
        <v>2514.7369708279011</v>
      </c>
      <c r="P110" s="40"/>
      <c r="Q110" s="20">
        <f t="shared" ca="1" si="23"/>
        <v>834.89136490250701</v>
      </c>
      <c r="R110" s="1">
        <f t="shared" si="17"/>
        <v>2690</v>
      </c>
      <c r="S110" s="243">
        <f>IF(AND($K$2&gt;=DATEVALUE("03/04/2020"),$K$2&lt;=DATEVALUE("31/12/2020")),0,IF(Resumo!$C$19="PF",IF(R110&lt;360,0.0082%*R110,3%),IF(R110&lt;360,0.0041%*R110,1.5%)))</f>
        <v>1.4999999999999999E-2</v>
      </c>
      <c r="T110" s="172">
        <f t="shared" ca="1" si="24"/>
        <v>12.523370473537605</v>
      </c>
      <c r="X110" s="20">
        <f t="shared" ca="1" si="25"/>
        <v>2407.2291302180238</v>
      </c>
    </row>
    <row r="111" spans="2:24">
      <c r="B111" s="37">
        <f t="shared" si="18"/>
        <v>89</v>
      </c>
      <c r="C111" s="163">
        <f t="shared" si="19"/>
        <v>47467</v>
      </c>
      <c r="D111" s="38">
        <f t="shared" ca="1" si="13"/>
        <v>842.74931039701278</v>
      </c>
      <c r="E111" s="38">
        <f t="shared" ca="1" si="20"/>
        <v>1558.749124510311</v>
      </c>
      <c r="F111" s="38">
        <f t="shared" ca="1" si="14"/>
        <v>2401.4984349073238</v>
      </c>
      <c r="G111" s="38">
        <f ca="1">IF(B111&lt;=$D$16,G110*(1+$D$13)^((C111-C110)/_xlfn.DAYS(EDATE(C110,1),C110)),G110-D111)+IF(B111&lt;=$D$16,G110*Resumo!$F$12,0)+IF(B111&lt;=$D$16,$D$15*Resumo!$F$13,0)+IF(B111&lt;=$D$16,25,0)-IF(AND($D$16&gt;3,B111&lt;=$D$16),K111,0)</f>
        <v>228385.06311758992</v>
      </c>
      <c r="H111" s="38">
        <f ca="1">IF(AND(B111&lt;&gt;"",L111&lt;&gt;$D$17,$D$16&gt;3),G111*Resumo!$F$12,IF(AND(B111&lt;&gt;"",L111&lt;&gt;$D$17,B111&gt;$D$16),G111*Resumo!$F$12,0))</f>
        <v>47.960863254693884</v>
      </c>
      <c r="I111" s="38">
        <f>IF(AND(B111&lt;&gt;"",L111&lt;&gt;$D$17,$D$16&gt;3,$B111&lt;=$D$16),$D$15*Resumo!$F$13,IF(AND(B111&lt;&gt;"",L111&lt;&gt;$D$17,B111&gt;$D$16),$D$15*Resumo!$F$13,0))</f>
        <v>34.369999999999997</v>
      </c>
      <c r="J111" s="38">
        <f>IF(AND(B111&lt;&gt;"",L111&lt;&gt;$D$17,$D$16&gt;3,$B111&lt;=$D$16),Resumo!$F$11,IF(AND(B111&lt;&gt;"",L111&lt;&gt;$D$17,B111&gt;$D$16),Resumo!$F$11,0))</f>
        <v>25</v>
      </c>
      <c r="K111" s="38">
        <f t="shared" ca="1" si="15"/>
        <v>2508.8292981620175</v>
      </c>
      <c r="L111" s="39" t="str">
        <f>IF(B111&lt;&gt;"",VLOOKUP(MONTH(C111),Sheet2!$F$1:$G$12,2,0),"")</f>
        <v>Dezembro</v>
      </c>
      <c r="M111" s="200">
        <f t="shared" ca="1" si="21"/>
        <v>0</v>
      </c>
      <c r="N111" s="40">
        <f t="shared" ca="1" si="22"/>
        <v>2401.4984349073238</v>
      </c>
      <c r="O111" s="40">
        <f t="shared" ca="1" si="16"/>
        <v>2508.8292981620175</v>
      </c>
      <c r="P111" s="40"/>
      <c r="Q111" s="20">
        <f t="shared" ca="1" si="23"/>
        <v>834.89136490250701</v>
      </c>
      <c r="R111" s="1">
        <f t="shared" si="17"/>
        <v>2720</v>
      </c>
      <c r="S111" s="243">
        <f>IF(AND($K$2&gt;=DATEVALUE("03/04/2020"),$K$2&lt;=DATEVALUE("31/12/2020")),0,IF(Resumo!$C$19="PF",IF(R111&lt;360,0.0082%*R111,3%),IF(R111&lt;360,0.0041%*R111,1.5%)))</f>
        <v>1.4999999999999999E-2</v>
      </c>
      <c r="T111" s="172">
        <f t="shared" ca="1" si="24"/>
        <v>12.523370473537605</v>
      </c>
      <c r="X111" s="20">
        <f t="shared" ca="1" si="25"/>
        <v>2401.4984349073238</v>
      </c>
    </row>
    <row r="112" spans="2:24">
      <c r="B112" s="41">
        <f t="shared" si="18"/>
        <v>90</v>
      </c>
      <c r="C112" s="164">
        <f t="shared" si="19"/>
        <v>47498</v>
      </c>
      <c r="D112" s="42">
        <f t="shared" ca="1" si="13"/>
        <v>842.74931039701278</v>
      </c>
      <c r="E112" s="42">
        <f t="shared" ca="1" si="20"/>
        <v>1553.0184291996113</v>
      </c>
      <c r="F112" s="42">
        <f t="shared" ca="1" si="14"/>
        <v>2395.7677395966239</v>
      </c>
      <c r="G112" s="42">
        <f ca="1">IF(B112&lt;=$D$16,G111*(1+$D$13)^((C112-C111)/_xlfn.DAYS(EDATE(C111,1),C111)),G111-D112)+IF(B112&lt;=$D$16,G111*Resumo!$F$12,0)+IF(B112&lt;=$D$16,$D$15*Resumo!$F$13,0)+IF(B112&lt;=$D$16,25,0)-IF(AND($D$16&gt;3,B112&lt;=$D$16),K112,0)</f>
        <v>227542.3138071929</v>
      </c>
      <c r="H112" s="42">
        <f ca="1">IF(AND(B112&lt;&gt;"",L112&lt;&gt;$D$17,$D$16&gt;3),G112*Resumo!$F$12,IF(AND(B112&lt;&gt;"",L112&lt;&gt;$D$17,B112&gt;$D$16),G112*Resumo!$F$12,0))</f>
        <v>47.783885899510508</v>
      </c>
      <c r="I112" s="42">
        <f>IF(AND(B112&lt;&gt;"",L112&lt;&gt;$D$17,$D$16&gt;3,$B112&lt;=$D$16),$D$15*Resumo!$F$13,IF(AND(B112&lt;&gt;"",L112&lt;&gt;$D$17,B112&gt;$D$16),$D$15*Resumo!$F$13,0))</f>
        <v>34.369999999999997</v>
      </c>
      <c r="J112" s="42">
        <f>IF(AND(B112&lt;&gt;"",L112&lt;&gt;$D$17,$D$16&gt;3,$B112&lt;=$D$16),Resumo!$F$11,IF(AND(B112&lt;&gt;"",L112&lt;&gt;$D$17,B112&gt;$D$16),Resumo!$F$11,0))</f>
        <v>25</v>
      </c>
      <c r="K112" s="42">
        <f t="shared" ca="1" si="15"/>
        <v>2502.9216254961343</v>
      </c>
      <c r="L112" s="39" t="str">
        <f>IF(B112&lt;&gt;"",VLOOKUP(MONTH(C112),Sheet2!$F$1:$G$12,2,0),"")</f>
        <v>Janeiro</v>
      </c>
      <c r="M112" s="200">
        <f t="shared" ca="1" si="21"/>
        <v>0</v>
      </c>
      <c r="N112" s="40">
        <f t="shared" ca="1" si="22"/>
        <v>2395.7677395966239</v>
      </c>
      <c r="O112" s="40">
        <f t="shared" ca="1" si="16"/>
        <v>2502.9216254961343</v>
      </c>
      <c r="P112" s="40"/>
      <c r="Q112" s="20">
        <f t="shared" ca="1" si="23"/>
        <v>834.89136490250701</v>
      </c>
      <c r="R112" s="1">
        <f t="shared" si="17"/>
        <v>2751</v>
      </c>
      <c r="S112" s="243">
        <f>IF(AND($K$2&gt;=DATEVALUE("03/04/2020"),$K$2&lt;=DATEVALUE("31/12/2020")),0,IF(Resumo!$C$19="PF",IF(R112&lt;360,0.0082%*R112,3%),IF(R112&lt;360,0.0041%*R112,1.5%)))</f>
        <v>1.4999999999999999E-2</v>
      </c>
      <c r="T112" s="172">
        <f t="shared" ca="1" si="24"/>
        <v>12.523370473537605</v>
      </c>
      <c r="X112" s="20">
        <f t="shared" ca="1" si="25"/>
        <v>2395.7677395966239</v>
      </c>
    </row>
    <row r="113" spans="2:24">
      <c r="B113" s="37">
        <f t="shared" si="18"/>
        <v>91</v>
      </c>
      <c r="C113" s="163">
        <f t="shared" si="19"/>
        <v>47529</v>
      </c>
      <c r="D113" s="38">
        <f t="shared" ca="1" si="13"/>
        <v>842.74931039701278</v>
      </c>
      <c r="E113" s="38">
        <f t="shared" ca="1" si="20"/>
        <v>1547.2877338889116</v>
      </c>
      <c r="F113" s="38">
        <f t="shared" ca="1" si="14"/>
        <v>2390.0370442859244</v>
      </c>
      <c r="G113" s="38">
        <f ca="1">IF(B113&lt;=$D$16,G112*(1+$D$13)^((C113-C112)/_xlfn.DAYS(EDATE(C112,1),C112)),G112-D113)+IF(B113&lt;=$D$16,G112*Resumo!$F$12,0)+IF(B113&lt;=$D$16,$D$15*Resumo!$F$13,0)+IF(B113&lt;=$D$16,25,0)-IF(AND($D$16&gt;3,B113&lt;=$D$16),K113,0)</f>
        <v>226699.56449679588</v>
      </c>
      <c r="H113" s="38">
        <f ca="1">IF(AND(B113&lt;&gt;"",L113&lt;&gt;$D$17,$D$16&gt;3),G113*Resumo!$F$12,IF(AND(B113&lt;&gt;"",L113&lt;&gt;$D$17,B113&gt;$D$16),G113*Resumo!$F$12,0))</f>
        <v>47.606908544327133</v>
      </c>
      <c r="I113" s="38">
        <f>IF(AND(B113&lt;&gt;"",L113&lt;&gt;$D$17,$D$16&gt;3,$B113&lt;=$D$16),$D$15*Resumo!$F$13,IF(AND(B113&lt;&gt;"",L113&lt;&gt;$D$17,B113&gt;$D$16),$D$15*Resumo!$F$13,0))</f>
        <v>34.369999999999997</v>
      </c>
      <c r="J113" s="38">
        <f>IF(AND(B113&lt;&gt;"",L113&lt;&gt;$D$17,$D$16&gt;3,$B113&lt;=$D$16),Resumo!$F$11,IF(AND(B113&lt;&gt;"",L113&lt;&gt;$D$17,B113&gt;$D$16),Resumo!$F$11,0))</f>
        <v>25</v>
      </c>
      <c r="K113" s="38">
        <f t="shared" ca="1" si="15"/>
        <v>2497.0139528302516</v>
      </c>
      <c r="L113" s="39" t="str">
        <f>IF(B113&lt;&gt;"",VLOOKUP(MONTH(C113),Sheet2!$F$1:$G$12,2,0),"")</f>
        <v>Fevereiro</v>
      </c>
      <c r="M113" s="200">
        <f t="shared" ca="1" si="21"/>
        <v>0</v>
      </c>
      <c r="N113" s="40">
        <f t="shared" ca="1" si="22"/>
        <v>2390.0370442859244</v>
      </c>
      <c r="O113" s="40">
        <f t="shared" ca="1" si="16"/>
        <v>2497.0139528302516</v>
      </c>
      <c r="P113" s="40"/>
      <c r="Q113" s="20">
        <f t="shared" ca="1" si="23"/>
        <v>834.89136490250701</v>
      </c>
      <c r="R113" s="1">
        <f t="shared" si="17"/>
        <v>2782</v>
      </c>
      <c r="S113" s="243">
        <f>IF(AND($K$2&gt;=DATEVALUE("03/04/2020"),$K$2&lt;=DATEVALUE("31/12/2020")),0,IF(Resumo!$C$19="PF",IF(R113&lt;360,0.0082%*R113,3%),IF(R113&lt;360,0.0041%*R113,1.5%)))</f>
        <v>1.4999999999999999E-2</v>
      </c>
      <c r="T113" s="172">
        <f t="shared" ca="1" si="24"/>
        <v>12.523370473537605</v>
      </c>
      <c r="X113" s="20">
        <f t="shared" ca="1" si="25"/>
        <v>2390.0370442859244</v>
      </c>
    </row>
    <row r="114" spans="2:24">
      <c r="B114" s="41">
        <f t="shared" si="18"/>
        <v>92</v>
      </c>
      <c r="C114" s="164">
        <f t="shared" si="19"/>
        <v>47557</v>
      </c>
      <c r="D114" s="42">
        <f t="shared" ca="1" si="13"/>
        <v>842.74931039701278</v>
      </c>
      <c r="E114" s="42">
        <f t="shared" ca="1" si="20"/>
        <v>1541.5570385782119</v>
      </c>
      <c r="F114" s="42">
        <f t="shared" ca="1" si="14"/>
        <v>2384.3063489752249</v>
      </c>
      <c r="G114" s="42">
        <f ca="1">IF(B114&lt;=$D$16,G113*(1+$D$13)^((C114-C113)/_xlfn.DAYS(EDATE(C113,1),C113)),G113-D114)+IF(B114&lt;=$D$16,G113*Resumo!$F$12,0)+IF(B114&lt;=$D$16,$D$15*Resumo!$F$13,0)+IF(B114&lt;=$D$16,25,0)-IF(AND($D$16&gt;3,B114&lt;=$D$16),K114,0)</f>
        <v>225856.81518639886</v>
      </c>
      <c r="H114" s="42">
        <f ca="1">IF(AND(B114&lt;&gt;"",L114&lt;&gt;$D$17,$D$16&gt;3),G114*Resumo!$F$12,IF(AND(B114&lt;&gt;"",L114&lt;&gt;$D$17,B114&gt;$D$16),G114*Resumo!$F$12,0))</f>
        <v>47.429931189143765</v>
      </c>
      <c r="I114" s="42">
        <f>IF(AND(B114&lt;&gt;"",L114&lt;&gt;$D$17,$D$16&gt;3,$B114&lt;=$D$16),$D$15*Resumo!$F$13,IF(AND(B114&lt;&gt;"",L114&lt;&gt;$D$17,B114&gt;$D$16),$D$15*Resumo!$F$13,0))</f>
        <v>34.369999999999997</v>
      </c>
      <c r="J114" s="42">
        <f>IF(AND(B114&lt;&gt;"",L114&lt;&gt;$D$17,$D$16&gt;3,$B114&lt;=$D$16),Resumo!$F$11,IF(AND(B114&lt;&gt;"",L114&lt;&gt;$D$17,B114&gt;$D$16),Resumo!$F$11,0))</f>
        <v>25</v>
      </c>
      <c r="K114" s="42">
        <f t="shared" ca="1" si="15"/>
        <v>2491.1062801643684</v>
      </c>
      <c r="L114" s="39" t="str">
        <f>IF(B114&lt;&gt;"",VLOOKUP(MONTH(C114),Sheet2!$F$1:$G$12,2,0),"")</f>
        <v>Março</v>
      </c>
      <c r="M114" s="200">
        <f t="shared" ca="1" si="21"/>
        <v>0</v>
      </c>
      <c r="N114" s="40">
        <f t="shared" ca="1" si="22"/>
        <v>2384.3063489752249</v>
      </c>
      <c r="O114" s="40">
        <f t="shared" ca="1" si="16"/>
        <v>2491.1062801643684</v>
      </c>
      <c r="P114" s="40"/>
      <c r="Q114" s="20">
        <f t="shared" ca="1" si="23"/>
        <v>834.89136490250701</v>
      </c>
      <c r="R114" s="1">
        <f t="shared" si="17"/>
        <v>2810</v>
      </c>
      <c r="S114" s="243">
        <f>IF(AND($K$2&gt;=DATEVALUE("03/04/2020"),$K$2&lt;=DATEVALUE("31/12/2020")),0,IF(Resumo!$C$19="PF",IF(R114&lt;360,0.0082%*R114,3%),IF(R114&lt;360,0.0041%*R114,1.5%)))</f>
        <v>1.4999999999999999E-2</v>
      </c>
      <c r="T114" s="172">
        <f t="shared" ca="1" si="24"/>
        <v>12.523370473537605</v>
      </c>
      <c r="X114" s="20">
        <f t="shared" ca="1" si="25"/>
        <v>2384.3063489752249</v>
      </c>
    </row>
    <row r="115" spans="2:24">
      <c r="B115" s="37">
        <f t="shared" si="18"/>
        <v>93</v>
      </c>
      <c r="C115" s="163">
        <f t="shared" si="19"/>
        <v>47588</v>
      </c>
      <c r="D115" s="38">
        <f t="shared" ca="1" si="13"/>
        <v>842.74931039701278</v>
      </c>
      <c r="E115" s="38">
        <f t="shared" ca="1" si="20"/>
        <v>1535.8263432675121</v>
      </c>
      <c r="F115" s="38">
        <f t="shared" ca="1" si="14"/>
        <v>2378.5756536645249</v>
      </c>
      <c r="G115" s="38">
        <f ca="1">IF(B115&lt;=$D$16,G114*(1+$D$13)^((C115-C114)/_xlfn.DAYS(EDATE(C114,1),C114)),G114-D115)+IF(B115&lt;=$D$16,G114*Resumo!$F$12,0)+IF(B115&lt;=$D$16,$D$15*Resumo!$F$13,0)+IF(B115&lt;=$D$16,25,0)-IF(AND($D$16&gt;3,B115&lt;=$D$16),K115,0)</f>
        <v>225014.06587600184</v>
      </c>
      <c r="H115" s="38">
        <f ca="1">IF(AND(B115&lt;&gt;"",L115&lt;&gt;$D$17,$D$16&gt;3),G115*Resumo!$F$12,IF(AND(B115&lt;&gt;"",L115&lt;&gt;$D$17,B115&gt;$D$16),G115*Resumo!$F$12,0))</f>
        <v>47.25295383396039</v>
      </c>
      <c r="I115" s="38">
        <f>IF(AND(B115&lt;&gt;"",L115&lt;&gt;$D$17,$D$16&gt;3,$B115&lt;=$D$16),$D$15*Resumo!$F$13,IF(AND(B115&lt;&gt;"",L115&lt;&gt;$D$17,B115&gt;$D$16),$D$15*Resumo!$F$13,0))</f>
        <v>34.369999999999997</v>
      </c>
      <c r="J115" s="38">
        <f>IF(AND(B115&lt;&gt;"",L115&lt;&gt;$D$17,$D$16&gt;3,$B115&lt;=$D$16),Resumo!$F$11,IF(AND(B115&lt;&gt;"",L115&lt;&gt;$D$17,B115&gt;$D$16),Resumo!$F$11,0))</f>
        <v>25</v>
      </c>
      <c r="K115" s="38">
        <f t="shared" ca="1" si="15"/>
        <v>2485.1986074984852</v>
      </c>
      <c r="L115" s="39" t="str">
        <f>IF(B115&lt;&gt;"",VLOOKUP(MONTH(C115),Sheet2!$F$1:$G$12,2,0),"")</f>
        <v>Abril</v>
      </c>
      <c r="M115" s="200">
        <f t="shared" ca="1" si="21"/>
        <v>0</v>
      </c>
      <c r="N115" s="40">
        <f t="shared" ca="1" si="22"/>
        <v>2378.5756536645249</v>
      </c>
      <c r="O115" s="40">
        <f t="shared" ca="1" si="16"/>
        <v>2485.1986074984852</v>
      </c>
      <c r="P115" s="40"/>
      <c r="Q115" s="20">
        <f t="shared" ca="1" si="23"/>
        <v>834.89136490250701</v>
      </c>
      <c r="R115" s="1">
        <f t="shared" si="17"/>
        <v>2841</v>
      </c>
      <c r="S115" s="243">
        <f>IF(AND($K$2&gt;=DATEVALUE("03/04/2020"),$K$2&lt;=DATEVALUE("31/12/2020")),0,IF(Resumo!$C$19="PF",IF(R115&lt;360,0.0082%*R115,3%),IF(R115&lt;360,0.0041%*R115,1.5%)))</f>
        <v>1.4999999999999999E-2</v>
      </c>
      <c r="T115" s="172">
        <f t="shared" ca="1" si="24"/>
        <v>12.523370473537605</v>
      </c>
      <c r="X115" s="20">
        <f t="shared" ca="1" si="25"/>
        <v>2378.5756536645249</v>
      </c>
    </row>
    <row r="116" spans="2:24">
      <c r="B116" s="41">
        <f t="shared" si="18"/>
        <v>94</v>
      </c>
      <c r="C116" s="164">
        <f t="shared" si="19"/>
        <v>47618</v>
      </c>
      <c r="D116" s="42">
        <f t="shared" ca="1" si="13"/>
        <v>842.74931039701278</v>
      </c>
      <c r="E116" s="42">
        <f t="shared" ca="1" si="20"/>
        <v>1530.0956479568124</v>
      </c>
      <c r="F116" s="42">
        <f t="shared" ca="1" si="14"/>
        <v>2372.8449583538249</v>
      </c>
      <c r="G116" s="42">
        <f ca="1">IF(B116&lt;=$D$16,G115*(1+$D$13)^((C116-C115)/_xlfn.DAYS(EDATE(C115,1),C115)),G115-D116)+IF(B116&lt;=$D$16,G115*Resumo!$F$12,0)+IF(B116&lt;=$D$16,$D$15*Resumo!$F$13,0)+IF(B116&lt;=$D$16,25,0)-IF(AND($D$16&gt;3,B116&lt;=$D$16),K116,0)</f>
        <v>224171.31656560482</v>
      </c>
      <c r="H116" s="42">
        <f ca="1">IF(AND(B116&lt;&gt;"",L116&lt;&gt;$D$17,$D$16&gt;3),G116*Resumo!$F$12,IF(AND(B116&lt;&gt;"",L116&lt;&gt;$D$17,B116&gt;$D$16),G116*Resumo!$F$12,0))</f>
        <v>47.075976478777015</v>
      </c>
      <c r="I116" s="42">
        <f>IF(AND(B116&lt;&gt;"",L116&lt;&gt;$D$17,$D$16&gt;3,$B116&lt;=$D$16),$D$15*Resumo!$F$13,IF(AND(B116&lt;&gt;"",L116&lt;&gt;$D$17,B116&gt;$D$16),$D$15*Resumo!$F$13,0))</f>
        <v>34.369999999999997</v>
      </c>
      <c r="J116" s="42">
        <f>IF(AND(B116&lt;&gt;"",L116&lt;&gt;$D$17,$D$16&gt;3,$B116&lt;=$D$16),Resumo!$F$11,IF(AND(B116&lt;&gt;"",L116&lt;&gt;$D$17,B116&gt;$D$16),Resumo!$F$11,0))</f>
        <v>25</v>
      </c>
      <c r="K116" s="42">
        <f t="shared" ca="1" si="15"/>
        <v>2479.290934832602</v>
      </c>
      <c r="L116" s="39" t="str">
        <f>IF(B116&lt;&gt;"",VLOOKUP(MONTH(C116),Sheet2!$F$1:$G$12,2,0),"")</f>
        <v>Maio</v>
      </c>
      <c r="M116" s="200">
        <f t="shared" ca="1" si="21"/>
        <v>0</v>
      </c>
      <c r="N116" s="40">
        <f t="shared" ca="1" si="22"/>
        <v>2372.8449583538249</v>
      </c>
      <c r="O116" s="40">
        <f t="shared" ca="1" si="16"/>
        <v>2479.290934832602</v>
      </c>
      <c r="P116" s="40"/>
      <c r="Q116" s="20">
        <f t="shared" ca="1" si="23"/>
        <v>834.89136490250701</v>
      </c>
      <c r="R116" s="1">
        <f t="shared" si="17"/>
        <v>2871</v>
      </c>
      <c r="S116" s="243">
        <f>IF(AND($K$2&gt;=DATEVALUE("03/04/2020"),$K$2&lt;=DATEVALUE("31/12/2020")),0,IF(Resumo!$C$19="PF",IF(R116&lt;360,0.0082%*R116,3%),IF(R116&lt;360,0.0041%*R116,1.5%)))</f>
        <v>1.4999999999999999E-2</v>
      </c>
      <c r="T116" s="172">
        <f t="shared" ca="1" si="24"/>
        <v>12.523370473537605</v>
      </c>
      <c r="X116" s="20">
        <f t="shared" ca="1" si="25"/>
        <v>2372.8449583538249</v>
      </c>
    </row>
    <row r="117" spans="2:24">
      <c r="B117" s="37">
        <f t="shared" si="18"/>
        <v>95</v>
      </c>
      <c r="C117" s="163">
        <f t="shared" si="19"/>
        <v>47649</v>
      </c>
      <c r="D117" s="38">
        <f t="shared" ca="1" si="13"/>
        <v>842.74931039701278</v>
      </c>
      <c r="E117" s="38">
        <f t="shared" ca="1" si="20"/>
        <v>1524.3649526461127</v>
      </c>
      <c r="F117" s="38">
        <f t="shared" ca="1" si="14"/>
        <v>2367.1142630431254</v>
      </c>
      <c r="G117" s="38">
        <f ca="1">IF(B117&lt;=$D$16,G116*(1+$D$13)^((C117-C116)/_xlfn.DAYS(EDATE(C116,1),C116)),G116-D117)+IF(B117&lt;=$D$16,G116*Resumo!$F$12,0)+IF(B117&lt;=$D$16,$D$15*Resumo!$F$13,0)+IF(B117&lt;=$D$16,25,0)-IF(AND($D$16&gt;3,B117&lt;=$D$16),K117,0)</f>
        <v>223328.5672552078</v>
      </c>
      <c r="H117" s="38">
        <f ca="1">IF(AND(B117&lt;&gt;"",L117&lt;&gt;$D$17,$D$16&gt;3),G117*Resumo!$F$12,IF(AND(B117&lt;&gt;"",L117&lt;&gt;$D$17,B117&gt;$D$16),G117*Resumo!$F$12,0))</f>
        <v>46.89899912359364</v>
      </c>
      <c r="I117" s="38">
        <f>IF(AND(B117&lt;&gt;"",L117&lt;&gt;$D$17,$D$16&gt;3,$B117&lt;=$D$16),$D$15*Resumo!$F$13,IF(AND(B117&lt;&gt;"",L117&lt;&gt;$D$17,B117&gt;$D$16),$D$15*Resumo!$F$13,0))</f>
        <v>34.369999999999997</v>
      </c>
      <c r="J117" s="38">
        <f>IF(AND(B117&lt;&gt;"",L117&lt;&gt;$D$17,$D$16&gt;3,$B117&lt;=$D$16),Resumo!$F$11,IF(AND(B117&lt;&gt;"",L117&lt;&gt;$D$17,B117&gt;$D$16),Resumo!$F$11,0))</f>
        <v>25</v>
      </c>
      <c r="K117" s="38">
        <f t="shared" ca="1" si="15"/>
        <v>2473.3832621667189</v>
      </c>
      <c r="L117" s="39" t="str">
        <f>IF(B117&lt;&gt;"",VLOOKUP(MONTH(C117),Sheet2!$F$1:$G$12,2,0),"")</f>
        <v>Junho</v>
      </c>
      <c r="M117" s="200">
        <f t="shared" ca="1" si="21"/>
        <v>0</v>
      </c>
      <c r="N117" s="40">
        <f t="shared" ca="1" si="22"/>
        <v>2367.1142630431254</v>
      </c>
      <c r="O117" s="40">
        <f t="shared" ca="1" si="16"/>
        <v>2473.3832621667189</v>
      </c>
      <c r="P117" s="40"/>
      <c r="Q117" s="20">
        <f t="shared" ca="1" si="23"/>
        <v>834.89136490250701</v>
      </c>
      <c r="R117" s="1">
        <f t="shared" si="17"/>
        <v>2902</v>
      </c>
      <c r="S117" s="243">
        <f>IF(AND($K$2&gt;=DATEVALUE("03/04/2020"),$K$2&lt;=DATEVALUE("31/12/2020")),0,IF(Resumo!$C$19="PF",IF(R117&lt;360,0.0082%*R117,3%),IF(R117&lt;360,0.0041%*R117,1.5%)))</f>
        <v>1.4999999999999999E-2</v>
      </c>
      <c r="T117" s="172">
        <f t="shared" ca="1" si="24"/>
        <v>12.523370473537605</v>
      </c>
      <c r="X117" s="20">
        <f t="shared" ca="1" si="25"/>
        <v>2367.1142630431254</v>
      </c>
    </row>
    <row r="118" spans="2:24">
      <c r="B118" s="41">
        <f t="shared" si="18"/>
        <v>96</v>
      </c>
      <c r="C118" s="164">
        <f t="shared" si="19"/>
        <v>47679</v>
      </c>
      <c r="D118" s="42">
        <f t="shared" ca="1" si="13"/>
        <v>842.74931039701278</v>
      </c>
      <c r="E118" s="42">
        <f t="shared" ca="1" si="20"/>
        <v>1518.6342573354129</v>
      </c>
      <c r="F118" s="42">
        <f t="shared" ca="1" si="14"/>
        <v>2361.3835677324259</v>
      </c>
      <c r="G118" s="42">
        <f ca="1">IF(B118&lt;=$D$16,G117*(1+$D$13)^((C118-C117)/_xlfn.DAYS(EDATE(C117,1),C117)),G117-D118)+IF(B118&lt;=$D$16,G117*Resumo!$F$12,0)+IF(B118&lt;=$D$16,$D$15*Resumo!$F$13,0)+IF(B118&lt;=$D$16,25,0)-IF(AND($D$16&gt;3,B118&lt;=$D$16),K118,0)</f>
        <v>222485.81794481078</v>
      </c>
      <c r="H118" s="42">
        <f ca="1">IF(AND(B118&lt;&gt;"",L118&lt;&gt;$D$17,$D$16&gt;3),G118*Resumo!$F$12,IF(AND(B118&lt;&gt;"",L118&lt;&gt;$D$17,B118&gt;$D$16),G118*Resumo!$F$12,0))</f>
        <v>46.722021768410265</v>
      </c>
      <c r="I118" s="42">
        <f>IF(AND(B118&lt;&gt;"",L118&lt;&gt;$D$17,$D$16&gt;3,$B118&lt;=$D$16),$D$15*Resumo!$F$13,IF(AND(B118&lt;&gt;"",L118&lt;&gt;$D$17,B118&gt;$D$16),$D$15*Resumo!$F$13,0))</f>
        <v>34.369999999999997</v>
      </c>
      <c r="J118" s="42">
        <f>IF(AND(B118&lt;&gt;"",L118&lt;&gt;$D$17,$D$16&gt;3,$B118&lt;=$D$16),Resumo!$F$11,IF(AND(B118&lt;&gt;"",L118&lt;&gt;$D$17,B118&gt;$D$16),Resumo!$F$11,0))</f>
        <v>25</v>
      </c>
      <c r="K118" s="42">
        <f t="shared" ca="1" si="15"/>
        <v>2467.4755895008361</v>
      </c>
      <c r="L118" s="39" t="str">
        <f>IF(B118&lt;&gt;"",VLOOKUP(MONTH(C118),Sheet2!$F$1:$G$12,2,0),"")</f>
        <v>Julho</v>
      </c>
      <c r="M118" s="200">
        <f t="shared" ca="1" si="21"/>
        <v>0</v>
      </c>
      <c r="N118" s="40">
        <f t="shared" ca="1" si="22"/>
        <v>2361.3835677324259</v>
      </c>
      <c r="O118" s="40">
        <f t="shared" ca="1" si="16"/>
        <v>2467.4755895008361</v>
      </c>
      <c r="P118" s="40"/>
      <c r="Q118" s="20">
        <f t="shared" ca="1" si="23"/>
        <v>834.89136490250701</v>
      </c>
      <c r="R118" s="1">
        <f t="shared" si="17"/>
        <v>2932</v>
      </c>
      <c r="S118" s="243">
        <f>IF(AND($K$2&gt;=DATEVALUE("03/04/2020"),$K$2&lt;=DATEVALUE("31/12/2020")),0,IF(Resumo!$C$19="PF",IF(R118&lt;360,0.0082%*R118,3%),IF(R118&lt;360,0.0041%*R118,1.5%)))</f>
        <v>1.4999999999999999E-2</v>
      </c>
      <c r="T118" s="172">
        <f t="shared" ca="1" si="24"/>
        <v>12.523370473537605</v>
      </c>
      <c r="X118" s="20">
        <f t="shared" ca="1" si="25"/>
        <v>2361.3835677324259</v>
      </c>
    </row>
    <row r="119" spans="2:24">
      <c r="B119" s="37">
        <f t="shared" si="18"/>
        <v>97</v>
      </c>
      <c r="C119" s="163">
        <f t="shared" si="19"/>
        <v>47710</v>
      </c>
      <c r="D119" s="38">
        <f t="shared" ca="1" si="13"/>
        <v>842.74931039701278</v>
      </c>
      <c r="E119" s="38">
        <f t="shared" ca="1" si="20"/>
        <v>1512.9035620247132</v>
      </c>
      <c r="F119" s="38">
        <f t="shared" ca="1" si="14"/>
        <v>2355.652872421726</v>
      </c>
      <c r="G119" s="38">
        <f ca="1">IF(B119&lt;=$D$16,G118*(1+$D$13)^((C119-C118)/_xlfn.DAYS(EDATE(C118,1),C118)),G118-D119)+IF(B119&lt;=$D$16,G118*Resumo!$F$12,0)+IF(B119&lt;=$D$16,$D$15*Resumo!$F$13,0)+IF(B119&lt;=$D$16,25,0)-IF(AND($D$16&gt;3,B119&lt;=$D$16),K119,0)</f>
        <v>221643.06863441376</v>
      </c>
      <c r="H119" s="38">
        <f ca="1">IF(AND(B119&lt;&gt;"",L119&lt;&gt;$D$17,$D$16&gt;3),G119*Resumo!$F$12,IF(AND(B119&lt;&gt;"",L119&lt;&gt;$D$17,B119&gt;$D$16),G119*Resumo!$F$12,0))</f>
        <v>46.54504441322689</v>
      </c>
      <c r="I119" s="38">
        <f>IF(AND(B119&lt;&gt;"",L119&lt;&gt;$D$17,$D$16&gt;3,$B119&lt;=$D$16),$D$15*Resumo!$F$13,IF(AND(B119&lt;&gt;"",L119&lt;&gt;$D$17,B119&gt;$D$16),$D$15*Resumo!$F$13,0))</f>
        <v>34.369999999999997</v>
      </c>
      <c r="J119" s="38">
        <f>IF(AND(B119&lt;&gt;"",L119&lt;&gt;$D$17,$D$16&gt;3,$B119&lt;=$D$16),Resumo!$F$11,IF(AND(B119&lt;&gt;"",L119&lt;&gt;$D$17,B119&gt;$D$16),Resumo!$F$11,0))</f>
        <v>25</v>
      </c>
      <c r="K119" s="38">
        <f t="shared" ca="1" si="15"/>
        <v>2461.5679168349529</v>
      </c>
      <c r="L119" s="39" t="str">
        <f>IF(B119&lt;&gt;"",VLOOKUP(MONTH(C119),Sheet2!$F$1:$G$12,2,0),"")</f>
        <v>Agosto</v>
      </c>
      <c r="M119" s="200">
        <f t="shared" ca="1" si="21"/>
        <v>0</v>
      </c>
      <c r="N119" s="40">
        <f t="shared" ca="1" si="22"/>
        <v>2355.652872421726</v>
      </c>
      <c r="O119" s="40">
        <f t="shared" ca="1" si="16"/>
        <v>2461.5679168349529</v>
      </c>
      <c r="P119" s="40"/>
      <c r="Q119" s="20">
        <f t="shared" ca="1" si="23"/>
        <v>834.89136490250701</v>
      </c>
      <c r="R119" s="1">
        <f t="shared" si="17"/>
        <v>2963</v>
      </c>
      <c r="S119" s="243">
        <f>IF(AND($K$2&gt;=DATEVALUE("03/04/2020"),$K$2&lt;=DATEVALUE("31/12/2020")),0,IF(Resumo!$C$19="PF",IF(R119&lt;360,0.0082%*R119,3%),IF(R119&lt;360,0.0041%*R119,1.5%)))</f>
        <v>1.4999999999999999E-2</v>
      </c>
      <c r="T119" s="172">
        <f t="shared" ca="1" si="24"/>
        <v>12.523370473537605</v>
      </c>
      <c r="X119" s="20">
        <f t="shared" ca="1" si="25"/>
        <v>2355.652872421726</v>
      </c>
    </row>
    <row r="120" spans="2:24">
      <c r="B120" s="41">
        <f t="shared" si="18"/>
        <v>98</v>
      </c>
      <c r="C120" s="164">
        <f t="shared" si="19"/>
        <v>47741</v>
      </c>
      <c r="D120" s="42">
        <f t="shared" ca="1" si="13"/>
        <v>842.74931039701278</v>
      </c>
      <c r="E120" s="42">
        <f t="shared" ca="1" si="20"/>
        <v>1507.1728667140135</v>
      </c>
      <c r="F120" s="42">
        <f t="shared" ca="1" si="14"/>
        <v>2349.922177111026</v>
      </c>
      <c r="G120" s="42">
        <f ca="1">IF(B120&lt;=$D$16,G119*(1+$D$13)^((C120-C119)/_xlfn.DAYS(EDATE(C119,1),C119)),G119-D120)+IF(B120&lt;=$D$16,G119*Resumo!$F$12,0)+IF(B120&lt;=$D$16,$D$15*Resumo!$F$13,0)+IF(B120&lt;=$D$16,25,0)-IF(AND($D$16&gt;3,B120&lt;=$D$16),K120,0)</f>
        <v>220800.31932401675</v>
      </c>
      <c r="H120" s="42">
        <f ca="1">IF(AND(B120&lt;&gt;"",L120&lt;&gt;$D$17,$D$16&gt;3),G120*Resumo!$F$12,IF(AND(B120&lt;&gt;"",L120&lt;&gt;$D$17,B120&gt;$D$16),G120*Resumo!$F$12,0))</f>
        <v>46.368067058043522</v>
      </c>
      <c r="I120" s="42">
        <f>IF(AND(B120&lt;&gt;"",L120&lt;&gt;$D$17,$D$16&gt;3,$B120&lt;=$D$16),$D$15*Resumo!$F$13,IF(AND(B120&lt;&gt;"",L120&lt;&gt;$D$17,B120&gt;$D$16),$D$15*Resumo!$F$13,0))</f>
        <v>34.369999999999997</v>
      </c>
      <c r="J120" s="42">
        <f>IF(AND(B120&lt;&gt;"",L120&lt;&gt;$D$17,$D$16&gt;3,$B120&lt;=$D$16),Resumo!$F$11,IF(AND(B120&lt;&gt;"",L120&lt;&gt;$D$17,B120&gt;$D$16),Resumo!$F$11,0))</f>
        <v>25</v>
      </c>
      <c r="K120" s="42">
        <f t="shared" ca="1" si="15"/>
        <v>2455.6602441690693</v>
      </c>
      <c r="L120" s="39" t="str">
        <f>IF(B120&lt;&gt;"",VLOOKUP(MONTH(C120),Sheet2!$F$1:$G$12,2,0),"")</f>
        <v>Setembro</v>
      </c>
      <c r="M120" s="200">
        <f t="shared" ca="1" si="21"/>
        <v>0</v>
      </c>
      <c r="N120" s="40">
        <f t="shared" ca="1" si="22"/>
        <v>2349.922177111026</v>
      </c>
      <c r="O120" s="40">
        <f t="shared" ca="1" si="16"/>
        <v>2455.6602441690693</v>
      </c>
      <c r="P120" s="40"/>
      <c r="Q120" s="20">
        <f t="shared" ca="1" si="23"/>
        <v>834.89136490250701</v>
      </c>
      <c r="R120" s="1">
        <f t="shared" si="17"/>
        <v>2994</v>
      </c>
      <c r="S120" s="243">
        <f>IF(AND($K$2&gt;=DATEVALUE("03/04/2020"),$K$2&lt;=DATEVALUE("31/12/2020")),0,IF(Resumo!$C$19="PF",IF(R120&lt;360,0.0082%*R120,3%),IF(R120&lt;360,0.0041%*R120,1.5%)))</f>
        <v>1.4999999999999999E-2</v>
      </c>
      <c r="T120" s="172">
        <f t="shared" ca="1" si="24"/>
        <v>12.523370473537605</v>
      </c>
      <c r="X120" s="20">
        <f t="shared" ca="1" si="25"/>
        <v>2349.922177111026</v>
      </c>
    </row>
    <row r="121" spans="2:24">
      <c r="B121" s="37">
        <f t="shared" si="18"/>
        <v>99</v>
      </c>
      <c r="C121" s="163">
        <f t="shared" si="19"/>
        <v>47771</v>
      </c>
      <c r="D121" s="38">
        <f t="shared" ca="1" si="13"/>
        <v>842.74931039701278</v>
      </c>
      <c r="E121" s="38">
        <f t="shared" ca="1" si="20"/>
        <v>1501.4421714033138</v>
      </c>
      <c r="F121" s="38">
        <f t="shared" ca="1" si="14"/>
        <v>2344.1914818003265</v>
      </c>
      <c r="G121" s="38">
        <f ca="1">IF(B121&lt;=$D$16,G120*(1+$D$13)^((C121-C120)/_xlfn.DAYS(EDATE(C120,1),C120)),G120-D121)+IF(B121&lt;=$D$16,G120*Resumo!$F$12,0)+IF(B121&lt;=$D$16,$D$15*Resumo!$F$13,0)+IF(B121&lt;=$D$16,25,0)-IF(AND($D$16&gt;3,B121&lt;=$D$16),K121,0)</f>
        <v>219957.57001361973</v>
      </c>
      <c r="H121" s="38">
        <f ca="1">IF(AND(B121&lt;&gt;"",L121&lt;&gt;$D$17,$D$16&gt;3),G121*Resumo!$F$12,IF(AND(B121&lt;&gt;"",L121&lt;&gt;$D$17,B121&gt;$D$16),G121*Resumo!$F$12,0))</f>
        <v>46.191089702860147</v>
      </c>
      <c r="I121" s="38">
        <f>IF(AND(B121&lt;&gt;"",L121&lt;&gt;$D$17,$D$16&gt;3,$B121&lt;=$D$16),$D$15*Resumo!$F$13,IF(AND(B121&lt;&gt;"",L121&lt;&gt;$D$17,B121&gt;$D$16),$D$15*Resumo!$F$13,0))</f>
        <v>34.369999999999997</v>
      </c>
      <c r="J121" s="38">
        <f>IF(AND(B121&lt;&gt;"",L121&lt;&gt;$D$17,$D$16&gt;3,$B121&lt;=$D$16),Resumo!$F$11,IF(AND(B121&lt;&gt;"",L121&lt;&gt;$D$17,B121&gt;$D$16),Resumo!$F$11,0))</f>
        <v>25</v>
      </c>
      <c r="K121" s="38">
        <f t="shared" ca="1" si="15"/>
        <v>2449.7525715031866</v>
      </c>
      <c r="L121" s="39" t="str">
        <f>IF(B121&lt;&gt;"",VLOOKUP(MONTH(C121),Sheet2!$F$1:$G$12,2,0),"")</f>
        <v>Outubro</v>
      </c>
      <c r="M121" s="200">
        <f t="shared" ca="1" si="21"/>
        <v>0</v>
      </c>
      <c r="N121" s="40">
        <f t="shared" ca="1" si="22"/>
        <v>2344.1914818003265</v>
      </c>
      <c r="O121" s="40">
        <f t="shared" ca="1" si="16"/>
        <v>2449.7525715031866</v>
      </c>
      <c r="P121" s="40"/>
      <c r="Q121" s="20">
        <f t="shared" ca="1" si="23"/>
        <v>834.89136490250701</v>
      </c>
      <c r="R121" s="1">
        <f t="shared" si="17"/>
        <v>3024</v>
      </c>
      <c r="S121" s="243">
        <f>IF(AND($K$2&gt;=DATEVALUE("03/04/2020"),$K$2&lt;=DATEVALUE("31/12/2020")),0,IF(Resumo!$C$19="PF",IF(R121&lt;360,0.0082%*R121,3%),IF(R121&lt;360,0.0041%*R121,1.5%)))</f>
        <v>1.4999999999999999E-2</v>
      </c>
      <c r="T121" s="172">
        <f t="shared" ca="1" si="24"/>
        <v>12.523370473537605</v>
      </c>
      <c r="X121" s="20">
        <f t="shared" ca="1" si="25"/>
        <v>2344.1914818003265</v>
      </c>
    </row>
    <row r="122" spans="2:24">
      <c r="B122" s="41">
        <f t="shared" si="18"/>
        <v>100</v>
      </c>
      <c r="C122" s="164">
        <f t="shared" si="19"/>
        <v>47802</v>
      </c>
      <c r="D122" s="42">
        <f t="shared" ca="1" si="13"/>
        <v>842.74931039701278</v>
      </c>
      <c r="E122" s="42">
        <f t="shared" ca="1" si="20"/>
        <v>1495.711476092614</v>
      </c>
      <c r="F122" s="42">
        <f t="shared" ca="1" si="14"/>
        <v>2338.460786489627</v>
      </c>
      <c r="G122" s="42">
        <f ca="1">IF(B122&lt;=$D$16,G121*(1+$D$13)^((C122-C121)/_xlfn.DAYS(EDATE(C121,1),C121)),G121-D122)+IF(B122&lt;=$D$16,G121*Resumo!$F$12,0)+IF(B122&lt;=$D$16,$D$15*Resumo!$F$13,0)+IF(B122&lt;=$D$16,25,0)-IF(AND($D$16&gt;3,B122&lt;=$D$16),K122,0)</f>
        <v>219114.82070322271</v>
      </c>
      <c r="H122" s="42">
        <f ca="1">IF(AND(B122&lt;&gt;"",L122&lt;&gt;$D$17,$D$16&gt;3),G122*Resumo!$F$12,IF(AND(B122&lt;&gt;"",L122&lt;&gt;$D$17,B122&gt;$D$16),G122*Resumo!$F$12,0))</f>
        <v>46.014112347676772</v>
      </c>
      <c r="I122" s="42">
        <f>IF(AND(B122&lt;&gt;"",L122&lt;&gt;$D$17,$D$16&gt;3,$B122&lt;=$D$16),$D$15*Resumo!$F$13,IF(AND(B122&lt;&gt;"",L122&lt;&gt;$D$17,B122&gt;$D$16),$D$15*Resumo!$F$13,0))</f>
        <v>34.369999999999997</v>
      </c>
      <c r="J122" s="42">
        <f>IF(AND(B122&lt;&gt;"",L122&lt;&gt;$D$17,$D$16&gt;3,$B122&lt;=$D$16),Resumo!$F$11,IF(AND(B122&lt;&gt;"",L122&lt;&gt;$D$17,B122&gt;$D$16),Resumo!$F$11,0))</f>
        <v>25</v>
      </c>
      <c r="K122" s="42">
        <f t="shared" ca="1" si="15"/>
        <v>2443.8448988373038</v>
      </c>
      <c r="L122" s="39" t="str">
        <f>IF(B122&lt;&gt;"",VLOOKUP(MONTH(C122),Sheet2!$F$1:$G$12,2,0),"")</f>
        <v>Novembro</v>
      </c>
      <c r="M122" s="200">
        <f t="shared" ca="1" si="21"/>
        <v>0</v>
      </c>
      <c r="N122" s="40">
        <f t="shared" ca="1" si="22"/>
        <v>2338.460786489627</v>
      </c>
      <c r="O122" s="40">
        <f t="shared" ca="1" si="16"/>
        <v>2443.8448988373038</v>
      </c>
      <c r="P122" s="40"/>
      <c r="Q122" s="20">
        <f t="shared" ca="1" si="23"/>
        <v>834.89136490250701</v>
      </c>
      <c r="R122" s="1">
        <f t="shared" si="17"/>
        <v>3055</v>
      </c>
      <c r="S122" s="243">
        <f>IF(AND($K$2&gt;=DATEVALUE("03/04/2020"),$K$2&lt;=DATEVALUE("31/12/2020")),0,IF(Resumo!$C$19="PF",IF(R122&lt;360,0.0082%*R122,3%),IF(R122&lt;360,0.0041%*R122,1.5%)))</f>
        <v>1.4999999999999999E-2</v>
      </c>
      <c r="T122" s="172">
        <f t="shared" ca="1" si="24"/>
        <v>12.523370473537605</v>
      </c>
      <c r="X122" s="20">
        <f t="shared" ca="1" si="25"/>
        <v>2338.460786489627</v>
      </c>
    </row>
    <row r="123" spans="2:24">
      <c r="B123" s="37">
        <f t="shared" si="18"/>
        <v>101</v>
      </c>
      <c r="C123" s="163">
        <f t="shared" si="19"/>
        <v>47832</v>
      </c>
      <c r="D123" s="38">
        <f t="shared" ca="1" si="13"/>
        <v>842.74931039701278</v>
      </c>
      <c r="E123" s="38">
        <f t="shared" ca="1" si="20"/>
        <v>1489.9807807819143</v>
      </c>
      <c r="F123" s="38">
        <f t="shared" ca="1" si="14"/>
        <v>2332.7300911789271</v>
      </c>
      <c r="G123" s="38">
        <f ca="1">IF(B123&lt;=$D$16,G122*(1+$D$13)^((C123-C122)/_xlfn.DAYS(EDATE(C122,1),C122)),G122-D123)+IF(B123&lt;=$D$16,G122*Resumo!$F$12,0)+IF(B123&lt;=$D$16,$D$15*Resumo!$F$13,0)+IF(B123&lt;=$D$16,25,0)-IF(AND($D$16&gt;3,B123&lt;=$D$16),K123,0)</f>
        <v>218272.07139282569</v>
      </c>
      <c r="H123" s="38">
        <f ca="1">IF(AND(B123&lt;&gt;"",L123&lt;&gt;$D$17,$D$16&gt;3),G123*Resumo!$F$12,IF(AND(B123&lt;&gt;"",L123&lt;&gt;$D$17,B123&gt;$D$16),G123*Resumo!$F$12,0))</f>
        <v>45.837134992493397</v>
      </c>
      <c r="I123" s="38">
        <f>IF(AND(B123&lt;&gt;"",L123&lt;&gt;$D$17,$D$16&gt;3,$B123&lt;=$D$16),$D$15*Resumo!$F$13,IF(AND(B123&lt;&gt;"",L123&lt;&gt;$D$17,B123&gt;$D$16),$D$15*Resumo!$F$13,0))</f>
        <v>34.369999999999997</v>
      </c>
      <c r="J123" s="38">
        <f>IF(AND(B123&lt;&gt;"",L123&lt;&gt;$D$17,$D$16&gt;3,$B123&lt;=$D$16),Resumo!$F$11,IF(AND(B123&lt;&gt;"",L123&lt;&gt;$D$17,B123&gt;$D$16),Resumo!$F$11,0))</f>
        <v>25</v>
      </c>
      <c r="K123" s="38">
        <f t="shared" ca="1" si="15"/>
        <v>2437.9372261714202</v>
      </c>
      <c r="L123" s="39" t="str">
        <f>IF(B123&lt;&gt;"",VLOOKUP(MONTH(C123),Sheet2!$F$1:$G$12,2,0),"")</f>
        <v>Dezembro</v>
      </c>
      <c r="M123" s="200">
        <f t="shared" ca="1" si="21"/>
        <v>0</v>
      </c>
      <c r="N123" s="40">
        <f t="shared" ca="1" si="22"/>
        <v>2332.7300911789271</v>
      </c>
      <c r="O123" s="40">
        <f t="shared" ca="1" si="16"/>
        <v>2437.9372261714202</v>
      </c>
      <c r="P123" s="40"/>
      <c r="Q123" s="20">
        <f t="shared" ca="1" si="23"/>
        <v>834.89136490250701</v>
      </c>
      <c r="R123" s="1">
        <f t="shared" si="17"/>
        <v>3085</v>
      </c>
      <c r="S123" s="243">
        <f>IF(AND($K$2&gt;=DATEVALUE("03/04/2020"),$K$2&lt;=DATEVALUE("31/12/2020")),0,IF(Resumo!$C$19="PF",IF(R123&lt;360,0.0082%*R123,3%),IF(R123&lt;360,0.0041%*R123,1.5%)))</f>
        <v>1.4999999999999999E-2</v>
      </c>
      <c r="T123" s="172">
        <f t="shared" ca="1" si="24"/>
        <v>12.523370473537605</v>
      </c>
      <c r="X123" s="20">
        <f t="shared" ca="1" si="25"/>
        <v>2332.7300911789271</v>
      </c>
    </row>
    <row r="124" spans="2:24">
      <c r="B124" s="41">
        <f t="shared" si="18"/>
        <v>102</v>
      </c>
      <c r="C124" s="164">
        <f t="shared" si="19"/>
        <v>47863</v>
      </c>
      <c r="D124" s="42">
        <f t="shared" ca="1" si="13"/>
        <v>842.74931039701278</v>
      </c>
      <c r="E124" s="42">
        <f t="shared" ca="1" si="20"/>
        <v>1484.2500854712146</v>
      </c>
      <c r="F124" s="42">
        <f t="shared" ca="1" si="14"/>
        <v>2326.9993958682271</v>
      </c>
      <c r="G124" s="42">
        <f ca="1">IF(B124&lt;=$D$16,G123*(1+$D$13)^((C124-C123)/_xlfn.DAYS(EDATE(C123,1),C123)),G123-D124)+IF(B124&lt;=$D$16,G123*Resumo!$F$12,0)+IF(B124&lt;=$D$16,$D$15*Resumo!$F$13,0)+IF(B124&lt;=$D$16,25,0)-IF(AND($D$16&gt;3,B124&lt;=$D$16),K124,0)</f>
        <v>217429.32208242867</v>
      </c>
      <c r="H124" s="42">
        <f ca="1">IF(AND(B124&lt;&gt;"",L124&lt;&gt;$D$17,$D$16&gt;3),G124*Resumo!$F$12,IF(AND(B124&lt;&gt;"",L124&lt;&gt;$D$17,B124&gt;$D$16),G124*Resumo!$F$12,0))</f>
        <v>45.660157637310022</v>
      </c>
      <c r="I124" s="42">
        <f>IF(AND(B124&lt;&gt;"",L124&lt;&gt;$D$17,$D$16&gt;3,$B124&lt;=$D$16),$D$15*Resumo!$F$13,IF(AND(B124&lt;&gt;"",L124&lt;&gt;$D$17,B124&gt;$D$16),$D$15*Resumo!$F$13,0))</f>
        <v>34.369999999999997</v>
      </c>
      <c r="J124" s="42">
        <f>IF(AND(B124&lt;&gt;"",L124&lt;&gt;$D$17,$D$16&gt;3,$B124&lt;=$D$16),Resumo!$F$11,IF(AND(B124&lt;&gt;"",L124&lt;&gt;$D$17,B124&gt;$D$16),Resumo!$F$11,0))</f>
        <v>25</v>
      </c>
      <c r="K124" s="42">
        <f t="shared" ca="1" si="15"/>
        <v>2432.029553505537</v>
      </c>
      <c r="L124" s="39" t="str">
        <f>IF(B124&lt;&gt;"",VLOOKUP(MONTH(C124),Sheet2!$F$1:$G$12,2,0),"")</f>
        <v>Janeiro</v>
      </c>
      <c r="M124" s="200">
        <f t="shared" ca="1" si="21"/>
        <v>0</v>
      </c>
      <c r="N124" s="40">
        <f t="shared" ca="1" si="22"/>
        <v>2326.9993958682271</v>
      </c>
      <c r="O124" s="40">
        <f t="shared" ca="1" si="16"/>
        <v>2432.029553505537</v>
      </c>
      <c r="P124" s="40"/>
      <c r="Q124" s="20">
        <f t="shared" ca="1" si="23"/>
        <v>834.89136490250701</v>
      </c>
      <c r="R124" s="1">
        <f t="shared" si="17"/>
        <v>3116</v>
      </c>
      <c r="S124" s="243">
        <f>IF(AND($K$2&gt;=DATEVALUE("03/04/2020"),$K$2&lt;=DATEVALUE("31/12/2020")),0,IF(Resumo!$C$19="PF",IF(R124&lt;360,0.0082%*R124,3%),IF(R124&lt;360,0.0041%*R124,1.5%)))</f>
        <v>1.4999999999999999E-2</v>
      </c>
      <c r="T124" s="172">
        <f t="shared" ca="1" si="24"/>
        <v>12.523370473537605</v>
      </c>
      <c r="X124" s="20">
        <f t="shared" ca="1" si="25"/>
        <v>2326.9993958682271</v>
      </c>
    </row>
    <row r="125" spans="2:24">
      <c r="B125" s="37">
        <f t="shared" si="18"/>
        <v>103</v>
      </c>
      <c r="C125" s="163">
        <f t="shared" si="19"/>
        <v>47894</v>
      </c>
      <c r="D125" s="38">
        <f t="shared" ca="1" si="13"/>
        <v>842.74931039701278</v>
      </c>
      <c r="E125" s="38">
        <f t="shared" ca="1" si="20"/>
        <v>1478.5193901605148</v>
      </c>
      <c r="F125" s="38">
        <f t="shared" ca="1" si="14"/>
        <v>2321.2687005575276</v>
      </c>
      <c r="G125" s="38">
        <f ca="1">IF(B125&lt;=$D$16,G124*(1+$D$13)^((C125-C124)/_xlfn.DAYS(EDATE(C124,1),C124)),G124-D125)+IF(B125&lt;=$D$16,G124*Resumo!$F$12,0)+IF(B125&lt;=$D$16,$D$15*Resumo!$F$13,0)+IF(B125&lt;=$D$16,25,0)-IF(AND($D$16&gt;3,B125&lt;=$D$16),K125,0)</f>
        <v>216586.57277203165</v>
      </c>
      <c r="H125" s="38">
        <f ca="1">IF(AND(B125&lt;&gt;"",L125&lt;&gt;$D$17,$D$16&gt;3),G125*Resumo!$F$12,IF(AND(B125&lt;&gt;"",L125&lt;&gt;$D$17,B125&gt;$D$16),G125*Resumo!$F$12,0))</f>
        <v>45.483180282126646</v>
      </c>
      <c r="I125" s="38">
        <f>IF(AND(B125&lt;&gt;"",L125&lt;&gt;$D$17,$D$16&gt;3,$B125&lt;=$D$16),$D$15*Resumo!$F$13,IF(AND(B125&lt;&gt;"",L125&lt;&gt;$D$17,B125&gt;$D$16),$D$15*Resumo!$F$13,0))</f>
        <v>34.369999999999997</v>
      </c>
      <c r="J125" s="38">
        <f>IF(AND(B125&lt;&gt;"",L125&lt;&gt;$D$17,$D$16&gt;3,$B125&lt;=$D$16),Resumo!$F$11,IF(AND(B125&lt;&gt;"",L125&lt;&gt;$D$17,B125&gt;$D$16),Resumo!$F$11,0))</f>
        <v>25</v>
      </c>
      <c r="K125" s="38">
        <f t="shared" ca="1" si="15"/>
        <v>2426.1218808396543</v>
      </c>
      <c r="L125" s="39" t="str">
        <f>IF(B125&lt;&gt;"",VLOOKUP(MONTH(C125),Sheet2!$F$1:$G$12,2,0),"")</f>
        <v>Fevereiro</v>
      </c>
      <c r="M125" s="200">
        <f t="shared" ca="1" si="21"/>
        <v>0</v>
      </c>
      <c r="N125" s="40">
        <f t="shared" ca="1" si="22"/>
        <v>2321.2687005575276</v>
      </c>
      <c r="O125" s="40">
        <f t="shared" ca="1" si="16"/>
        <v>2426.1218808396543</v>
      </c>
      <c r="P125" s="40"/>
      <c r="Q125" s="20">
        <f t="shared" ca="1" si="23"/>
        <v>834.89136490250701</v>
      </c>
      <c r="R125" s="1">
        <f t="shared" si="17"/>
        <v>3147</v>
      </c>
      <c r="S125" s="243">
        <f>IF(AND($K$2&gt;=DATEVALUE("03/04/2020"),$K$2&lt;=DATEVALUE("31/12/2020")),0,IF(Resumo!$C$19="PF",IF(R125&lt;360,0.0082%*R125,3%),IF(R125&lt;360,0.0041%*R125,1.5%)))</f>
        <v>1.4999999999999999E-2</v>
      </c>
      <c r="T125" s="172">
        <f t="shared" ca="1" si="24"/>
        <v>12.523370473537605</v>
      </c>
      <c r="X125" s="20">
        <f t="shared" ca="1" si="25"/>
        <v>2321.2687005575276</v>
      </c>
    </row>
    <row r="126" spans="2:24">
      <c r="B126" s="41">
        <f t="shared" si="18"/>
        <v>104</v>
      </c>
      <c r="C126" s="164">
        <f t="shared" si="19"/>
        <v>47922</v>
      </c>
      <c r="D126" s="42">
        <f t="shared" ca="1" si="13"/>
        <v>842.74931039701278</v>
      </c>
      <c r="E126" s="42">
        <f t="shared" ca="1" si="20"/>
        <v>1472.7886948498151</v>
      </c>
      <c r="F126" s="42">
        <f t="shared" ca="1" si="14"/>
        <v>2315.5380052468281</v>
      </c>
      <c r="G126" s="42">
        <f ca="1">IF(B126&lt;=$D$16,G125*(1+$D$13)^((C126-C125)/_xlfn.DAYS(EDATE(C125,1),C125)),G125-D126)+IF(B126&lt;=$D$16,G125*Resumo!$F$12,0)+IF(B126&lt;=$D$16,$D$15*Resumo!$F$13,0)+IF(B126&lt;=$D$16,25,0)-IF(AND($D$16&gt;3,B126&lt;=$D$16),K126,0)</f>
        <v>215743.82346163463</v>
      </c>
      <c r="H126" s="42">
        <f ca="1">IF(AND(B126&lt;&gt;"",L126&lt;&gt;$D$17,$D$16&gt;3),G126*Resumo!$F$12,IF(AND(B126&lt;&gt;"",L126&lt;&gt;$D$17,B126&gt;$D$16),G126*Resumo!$F$12,0))</f>
        <v>45.306202926943271</v>
      </c>
      <c r="I126" s="42">
        <f>IF(AND(B126&lt;&gt;"",L126&lt;&gt;$D$17,$D$16&gt;3,$B126&lt;=$D$16),$D$15*Resumo!$F$13,IF(AND(B126&lt;&gt;"",L126&lt;&gt;$D$17,B126&gt;$D$16),$D$15*Resumo!$F$13,0))</f>
        <v>34.369999999999997</v>
      </c>
      <c r="J126" s="42">
        <f>IF(AND(B126&lt;&gt;"",L126&lt;&gt;$D$17,$D$16&gt;3,$B126&lt;=$D$16),Resumo!$F$11,IF(AND(B126&lt;&gt;"",L126&lt;&gt;$D$17,B126&gt;$D$16),Resumo!$F$11,0))</f>
        <v>25</v>
      </c>
      <c r="K126" s="42">
        <f t="shared" ca="1" si="15"/>
        <v>2420.2142081737711</v>
      </c>
      <c r="L126" s="39" t="str">
        <f>IF(B126&lt;&gt;"",VLOOKUP(MONTH(C126),Sheet2!$F$1:$G$12,2,0),"")</f>
        <v>Março</v>
      </c>
      <c r="M126" s="200">
        <f t="shared" ca="1" si="21"/>
        <v>0</v>
      </c>
      <c r="N126" s="40">
        <f t="shared" ca="1" si="22"/>
        <v>2315.5380052468281</v>
      </c>
      <c r="O126" s="40">
        <f t="shared" ca="1" si="16"/>
        <v>2420.2142081737711</v>
      </c>
      <c r="P126" s="40"/>
      <c r="Q126" s="20">
        <f t="shared" ca="1" si="23"/>
        <v>834.89136490250701</v>
      </c>
      <c r="R126" s="1">
        <f t="shared" si="17"/>
        <v>3175</v>
      </c>
      <c r="S126" s="243">
        <f>IF(AND($K$2&gt;=DATEVALUE("03/04/2020"),$K$2&lt;=DATEVALUE("31/12/2020")),0,IF(Resumo!$C$19="PF",IF(R126&lt;360,0.0082%*R126,3%),IF(R126&lt;360,0.0041%*R126,1.5%)))</f>
        <v>1.4999999999999999E-2</v>
      </c>
      <c r="T126" s="172">
        <f t="shared" ca="1" si="24"/>
        <v>12.523370473537605</v>
      </c>
      <c r="X126" s="20">
        <f t="shared" ca="1" si="25"/>
        <v>2315.5380052468281</v>
      </c>
    </row>
    <row r="127" spans="2:24">
      <c r="B127" s="37">
        <f t="shared" si="18"/>
        <v>105</v>
      </c>
      <c r="C127" s="163">
        <f t="shared" si="19"/>
        <v>47953</v>
      </c>
      <c r="D127" s="38">
        <f t="shared" ca="1" si="13"/>
        <v>842.74931039701278</v>
      </c>
      <c r="E127" s="38">
        <f t="shared" ca="1" si="20"/>
        <v>1467.0579995391154</v>
      </c>
      <c r="F127" s="38">
        <f t="shared" ca="1" si="14"/>
        <v>2309.8073099361281</v>
      </c>
      <c r="G127" s="38">
        <f ca="1">IF(B127&lt;=$D$16,G126*(1+$D$13)^((C127-C126)/_xlfn.DAYS(EDATE(C126,1),C126)),G126-D127)+IF(B127&lt;=$D$16,G126*Resumo!$F$12,0)+IF(B127&lt;=$D$16,$D$15*Resumo!$F$13,0)+IF(B127&lt;=$D$16,25,0)-IF(AND($D$16&gt;3,B127&lt;=$D$16),K127,0)</f>
        <v>214901.07415123761</v>
      </c>
      <c r="H127" s="38">
        <f ca="1">IF(AND(B127&lt;&gt;"",L127&lt;&gt;$D$17,$D$16&gt;3),G127*Resumo!$F$12,IF(AND(B127&lt;&gt;"",L127&lt;&gt;$D$17,B127&gt;$D$16),G127*Resumo!$F$12,0))</f>
        <v>45.129225571759903</v>
      </c>
      <c r="I127" s="38">
        <f>IF(AND(B127&lt;&gt;"",L127&lt;&gt;$D$17,$D$16&gt;3,$B127&lt;=$D$16),$D$15*Resumo!$F$13,IF(AND(B127&lt;&gt;"",L127&lt;&gt;$D$17,B127&gt;$D$16),$D$15*Resumo!$F$13,0))</f>
        <v>34.369999999999997</v>
      </c>
      <c r="J127" s="38">
        <f>IF(AND(B127&lt;&gt;"",L127&lt;&gt;$D$17,$D$16&gt;3,$B127&lt;=$D$16),Resumo!$F$11,IF(AND(B127&lt;&gt;"",L127&lt;&gt;$D$17,B127&gt;$D$16),Resumo!$F$11,0))</f>
        <v>25</v>
      </c>
      <c r="K127" s="38">
        <f t="shared" ca="1" si="15"/>
        <v>2414.3065355078879</v>
      </c>
      <c r="L127" s="39" t="str">
        <f>IF(B127&lt;&gt;"",VLOOKUP(MONTH(C127),Sheet2!$F$1:$G$12,2,0),"")</f>
        <v>Abril</v>
      </c>
      <c r="M127" s="200">
        <f t="shared" ca="1" si="21"/>
        <v>0</v>
      </c>
      <c r="N127" s="40">
        <f t="shared" ca="1" si="22"/>
        <v>2309.8073099361281</v>
      </c>
      <c r="O127" s="40">
        <f t="shared" ca="1" si="16"/>
        <v>2414.3065355078879</v>
      </c>
      <c r="P127" s="40"/>
      <c r="Q127" s="20">
        <f t="shared" ca="1" si="23"/>
        <v>834.89136490250701</v>
      </c>
      <c r="R127" s="1">
        <f t="shared" si="17"/>
        <v>3206</v>
      </c>
      <c r="S127" s="243">
        <f>IF(AND($K$2&gt;=DATEVALUE("03/04/2020"),$K$2&lt;=DATEVALUE("31/12/2020")),0,IF(Resumo!$C$19="PF",IF(R127&lt;360,0.0082%*R127,3%),IF(R127&lt;360,0.0041%*R127,1.5%)))</f>
        <v>1.4999999999999999E-2</v>
      </c>
      <c r="T127" s="172">
        <f t="shared" ca="1" si="24"/>
        <v>12.523370473537605</v>
      </c>
      <c r="X127" s="20">
        <f t="shared" ca="1" si="25"/>
        <v>2309.8073099361281</v>
      </c>
    </row>
    <row r="128" spans="2:24">
      <c r="B128" s="41">
        <f t="shared" si="18"/>
        <v>106</v>
      </c>
      <c r="C128" s="164">
        <f t="shared" si="19"/>
        <v>47983</v>
      </c>
      <c r="D128" s="42">
        <f t="shared" ca="1" si="13"/>
        <v>842.74931039701278</v>
      </c>
      <c r="E128" s="42">
        <f t="shared" ca="1" si="20"/>
        <v>1461.3273042284156</v>
      </c>
      <c r="F128" s="42">
        <f t="shared" ca="1" si="14"/>
        <v>2304.0766146254282</v>
      </c>
      <c r="G128" s="42">
        <f ca="1">IF(B128&lt;=$D$16,G127*(1+$D$13)^((C128-C127)/_xlfn.DAYS(EDATE(C127,1),C127)),G127-D128)+IF(B128&lt;=$D$16,G127*Resumo!$F$12,0)+IF(B128&lt;=$D$16,$D$15*Resumo!$F$13,0)+IF(B128&lt;=$D$16,25,0)-IF(AND($D$16&gt;3,B128&lt;=$D$16),K128,0)</f>
        <v>214058.32484084059</v>
      </c>
      <c r="H128" s="42">
        <f ca="1">IF(AND(B128&lt;&gt;"",L128&lt;&gt;$D$17,$D$16&gt;3),G128*Resumo!$F$12,IF(AND(B128&lt;&gt;"",L128&lt;&gt;$D$17,B128&gt;$D$16),G128*Resumo!$F$12,0))</f>
        <v>44.952248216576528</v>
      </c>
      <c r="I128" s="42">
        <f>IF(AND(B128&lt;&gt;"",L128&lt;&gt;$D$17,$D$16&gt;3,$B128&lt;=$D$16),$D$15*Resumo!$F$13,IF(AND(B128&lt;&gt;"",L128&lt;&gt;$D$17,B128&gt;$D$16),$D$15*Resumo!$F$13,0))</f>
        <v>34.369999999999997</v>
      </c>
      <c r="J128" s="42">
        <f>IF(AND(B128&lt;&gt;"",L128&lt;&gt;$D$17,$D$16&gt;3,$B128&lt;=$D$16),Resumo!$F$11,IF(AND(B128&lt;&gt;"",L128&lt;&gt;$D$17,B128&gt;$D$16),Resumo!$F$11,0))</f>
        <v>25</v>
      </c>
      <c r="K128" s="42">
        <f t="shared" ca="1" si="15"/>
        <v>2408.3988628420047</v>
      </c>
      <c r="L128" s="39" t="str">
        <f>IF(B128&lt;&gt;"",VLOOKUP(MONTH(C128),Sheet2!$F$1:$G$12,2,0),"")</f>
        <v>Maio</v>
      </c>
      <c r="M128" s="200">
        <f t="shared" ca="1" si="21"/>
        <v>0</v>
      </c>
      <c r="N128" s="40">
        <f t="shared" ca="1" si="22"/>
        <v>2304.0766146254282</v>
      </c>
      <c r="O128" s="40">
        <f t="shared" ca="1" si="16"/>
        <v>2408.3988628420047</v>
      </c>
      <c r="P128" s="40"/>
      <c r="Q128" s="20">
        <f t="shared" ca="1" si="23"/>
        <v>834.89136490250701</v>
      </c>
      <c r="R128" s="1">
        <f t="shared" si="17"/>
        <v>3236</v>
      </c>
      <c r="S128" s="243">
        <f>IF(AND($K$2&gt;=DATEVALUE("03/04/2020"),$K$2&lt;=DATEVALUE("31/12/2020")),0,IF(Resumo!$C$19="PF",IF(R128&lt;360,0.0082%*R128,3%),IF(R128&lt;360,0.0041%*R128,1.5%)))</f>
        <v>1.4999999999999999E-2</v>
      </c>
      <c r="T128" s="172">
        <f t="shared" ca="1" si="24"/>
        <v>12.523370473537605</v>
      </c>
      <c r="X128" s="20">
        <f t="shared" ca="1" si="25"/>
        <v>2304.0766146254282</v>
      </c>
    </row>
    <row r="129" spans="2:24">
      <c r="B129" s="37">
        <f t="shared" si="18"/>
        <v>107</v>
      </c>
      <c r="C129" s="163">
        <f t="shared" si="19"/>
        <v>48014</v>
      </c>
      <c r="D129" s="38">
        <f t="shared" ca="1" si="13"/>
        <v>842.74931039701278</v>
      </c>
      <c r="E129" s="38">
        <f t="shared" ca="1" si="20"/>
        <v>1455.5966089177159</v>
      </c>
      <c r="F129" s="38">
        <f t="shared" ca="1" si="14"/>
        <v>2298.3459193147287</v>
      </c>
      <c r="G129" s="38">
        <f ca="1">IF(B129&lt;=$D$16,G128*(1+$D$13)^((C129-C128)/_xlfn.DAYS(EDATE(C128,1),C128)),G128-D129)+IF(B129&lt;=$D$16,G128*Resumo!$F$12,0)+IF(B129&lt;=$D$16,$D$15*Resumo!$F$13,0)+IF(B129&lt;=$D$16,25,0)-IF(AND($D$16&gt;3,B129&lt;=$D$16),K129,0)</f>
        <v>213215.57553044357</v>
      </c>
      <c r="H129" s="38">
        <f ca="1">IF(AND(B129&lt;&gt;"",L129&lt;&gt;$D$17,$D$16&gt;3),G129*Resumo!$F$12,IF(AND(B129&lt;&gt;"",L129&lt;&gt;$D$17,B129&gt;$D$16),G129*Resumo!$F$12,0))</f>
        <v>44.775270861393153</v>
      </c>
      <c r="I129" s="38">
        <f>IF(AND(B129&lt;&gt;"",L129&lt;&gt;$D$17,$D$16&gt;3,$B129&lt;=$D$16),$D$15*Resumo!$F$13,IF(AND(B129&lt;&gt;"",L129&lt;&gt;$D$17,B129&gt;$D$16),$D$15*Resumo!$F$13,0))</f>
        <v>34.369999999999997</v>
      </c>
      <c r="J129" s="38">
        <f>IF(AND(B129&lt;&gt;"",L129&lt;&gt;$D$17,$D$16&gt;3,$B129&lt;=$D$16),Resumo!$F$11,IF(AND(B129&lt;&gt;"",L129&lt;&gt;$D$17,B129&gt;$D$16),Resumo!$F$11,0))</f>
        <v>25</v>
      </c>
      <c r="K129" s="38">
        <f t="shared" ca="1" si="15"/>
        <v>2402.4911901761216</v>
      </c>
      <c r="L129" s="39" t="str">
        <f>IF(B129&lt;&gt;"",VLOOKUP(MONTH(C129),Sheet2!$F$1:$G$12,2,0),"")</f>
        <v>Junho</v>
      </c>
      <c r="M129" s="200">
        <f t="shared" ca="1" si="21"/>
        <v>0</v>
      </c>
      <c r="N129" s="40">
        <f t="shared" ca="1" si="22"/>
        <v>2298.3459193147287</v>
      </c>
      <c r="O129" s="40">
        <f t="shared" ca="1" si="16"/>
        <v>2402.4911901761216</v>
      </c>
      <c r="P129" s="40"/>
      <c r="Q129" s="20">
        <f t="shared" ca="1" si="23"/>
        <v>834.89136490250701</v>
      </c>
      <c r="R129" s="1">
        <f t="shared" si="17"/>
        <v>3267</v>
      </c>
      <c r="S129" s="243">
        <f>IF(AND($K$2&gt;=DATEVALUE("03/04/2020"),$K$2&lt;=DATEVALUE("31/12/2020")),0,IF(Resumo!$C$19="PF",IF(R129&lt;360,0.0082%*R129,3%),IF(R129&lt;360,0.0041%*R129,1.5%)))</f>
        <v>1.4999999999999999E-2</v>
      </c>
      <c r="T129" s="172">
        <f t="shared" ca="1" si="24"/>
        <v>12.523370473537605</v>
      </c>
      <c r="X129" s="20">
        <f t="shared" ca="1" si="25"/>
        <v>2298.3459193147287</v>
      </c>
    </row>
    <row r="130" spans="2:24">
      <c r="B130" s="41">
        <f t="shared" si="18"/>
        <v>108</v>
      </c>
      <c r="C130" s="164">
        <f t="shared" si="19"/>
        <v>48044</v>
      </c>
      <c r="D130" s="42">
        <f t="shared" ca="1" si="13"/>
        <v>842.74931039701278</v>
      </c>
      <c r="E130" s="42">
        <f t="shared" ca="1" si="20"/>
        <v>1449.8659136070162</v>
      </c>
      <c r="F130" s="42">
        <f t="shared" ca="1" si="14"/>
        <v>2292.6152240040292</v>
      </c>
      <c r="G130" s="42">
        <f ca="1">IF(B130&lt;=$D$16,G129*(1+$D$13)^((C130-C129)/_xlfn.DAYS(EDATE(C129,1),C129)),G129-D130)+IF(B130&lt;=$D$16,G129*Resumo!$F$12,0)+IF(B130&lt;=$D$16,$D$15*Resumo!$F$13,0)+IF(B130&lt;=$D$16,25,0)-IF(AND($D$16&gt;3,B130&lt;=$D$16),K130,0)</f>
        <v>212372.82622004655</v>
      </c>
      <c r="H130" s="42">
        <f ca="1">IF(AND(B130&lt;&gt;"",L130&lt;&gt;$D$17,$D$16&gt;3),G130*Resumo!$F$12,IF(AND(B130&lt;&gt;"",L130&lt;&gt;$D$17,B130&gt;$D$16),G130*Resumo!$F$12,0))</f>
        <v>44.598293506209778</v>
      </c>
      <c r="I130" s="42">
        <f>IF(AND(B130&lt;&gt;"",L130&lt;&gt;$D$17,$D$16&gt;3,$B130&lt;=$D$16),$D$15*Resumo!$F$13,IF(AND(B130&lt;&gt;"",L130&lt;&gt;$D$17,B130&gt;$D$16),$D$15*Resumo!$F$13,0))</f>
        <v>34.369999999999997</v>
      </c>
      <c r="J130" s="42">
        <f>IF(AND(B130&lt;&gt;"",L130&lt;&gt;$D$17,$D$16&gt;3,$B130&lt;=$D$16),Resumo!$F$11,IF(AND(B130&lt;&gt;"",L130&lt;&gt;$D$17,B130&gt;$D$16),Resumo!$F$11,0))</f>
        <v>25</v>
      </c>
      <c r="K130" s="42">
        <f t="shared" ca="1" si="15"/>
        <v>2396.5835175102388</v>
      </c>
      <c r="L130" s="39" t="str">
        <f>IF(B130&lt;&gt;"",VLOOKUP(MONTH(C130),Sheet2!$F$1:$G$12,2,0),"")</f>
        <v>Julho</v>
      </c>
      <c r="M130" s="200">
        <f t="shared" ca="1" si="21"/>
        <v>0</v>
      </c>
      <c r="N130" s="40">
        <f t="shared" ca="1" si="22"/>
        <v>2292.6152240040292</v>
      </c>
      <c r="O130" s="40">
        <f t="shared" ca="1" si="16"/>
        <v>2396.5835175102388</v>
      </c>
      <c r="P130" s="40"/>
      <c r="Q130" s="20">
        <f t="shared" ca="1" si="23"/>
        <v>834.89136490250701</v>
      </c>
      <c r="R130" s="1">
        <f t="shared" si="17"/>
        <v>3297</v>
      </c>
      <c r="S130" s="243">
        <f>IF(AND($K$2&gt;=DATEVALUE("03/04/2020"),$K$2&lt;=DATEVALUE("31/12/2020")),0,IF(Resumo!$C$19="PF",IF(R130&lt;360,0.0082%*R130,3%),IF(R130&lt;360,0.0041%*R130,1.5%)))</f>
        <v>1.4999999999999999E-2</v>
      </c>
      <c r="T130" s="172">
        <f t="shared" ca="1" si="24"/>
        <v>12.523370473537605</v>
      </c>
      <c r="X130" s="20">
        <f t="shared" ca="1" si="25"/>
        <v>2292.6152240040292</v>
      </c>
    </row>
    <row r="131" spans="2:24">
      <c r="B131" s="37">
        <f t="shared" si="18"/>
        <v>109</v>
      </c>
      <c r="C131" s="163">
        <f t="shared" si="19"/>
        <v>48075</v>
      </c>
      <c r="D131" s="38">
        <f t="shared" ca="1" si="13"/>
        <v>842.74931039701278</v>
      </c>
      <c r="E131" s="38">
        <f t="shared" ca="1" si="20"/>
        <v>1444.1352182963165</v>
      </c>
      <c r="F131" s="38">
        <f t="shared" ca="1" si="14"/>
        <v>2286.8845286933292</v>
      </c>
      <c r="G131" s="38">
        <f ca="1">IF(B131&lt;=$D$16,G130*(1+$D$13)^((C131-C130)/_xlfn.DAYS(EDATE(C130,1),C130)),G130-D131)+IF(B131&lt;=$D$16,G130*Resumo!$F$12,0)+IF(B131&lt;=$D$16,$D$15*Resumo!$F$13,0)+IF(B131&lt;=$D$16,25,0)-IF(AND($D$16&gt;3,B131&lt;=$D$16),K131,0)</f>
        <v>211530.07690964954</v>
      </c>
      <c r="H131" s="38">
        <f ca="1">IF(AND(B131&lt;&gt;"",L131&lt;&gt;$D$17,$D$16&gt;3),G131*Resumo!$F$12,IF(AND(B131&lt;&gt;"",L131&lt;&gt;$D$17,B131&gt;$D$16),G131*Resumo!$F$12,0))</f>
        <v>44.421316151026403</v>
      </c>
      <c r="I131" s="38">
        <f>IF(AND(B131&lt;&gt;"",L131&lt;&gt;$D$17,$D$16&gt;3,$B131&lt;=$D$16),$D$15*Resumo!$F$13,IF(AND(B131&lt;&gt;"",L131&lt;&gt;$D$17,B131&gt;$D$16),$D$15*Resumo!$F$13,0))</f>
        <v>34.369999999999997</v>
      </c>
      <c r="J131" s="38">
        <f>IF(AND(B131&lt;&gt;"",L131&lt;&gt;$D$17,$D$16&gt;3,$B131&lt;=$D$16),Resumo!$F$11,IF(AND(B131&lt;&gt;"",L131&lt;&gt;$D$17,B131&gt;$D$16),Resumo!$F$11,0))</f>
        <v>25</v>
      </c>
      <c r="K131" s="38">
        <f t="shared" ca="1" si="15"/>
        <v>2390.6758448443557</v>
      </c>
      <c r="L131" s="39" t="str">
        <f>IF(B131&lt;&gt;"",VLOOKUP(MONTH(C131),Sheet2!$F$1:$G$12,2,0),"")</f>
        <v>Agosto</v>
      </c>
      <c r="M131" s="200">
        <f t="shared" ca="1" si="21"/>
        <v>0</v>
      </c>
      <c r="N131" s="40">
        <f t="shared" ca="1" si="22"/>
        <v>2286.8845286933292</v>
      </c>
      <c r="O131" s="40">
        <f t="shared" ca="1" si="16"/>
        <v>2390.6758448443557</v>
      </c>
      <c r="P131" s="40"/>
      <c r="Q131" s="20">
        <f t="shared" ca="1" si="23"/>
        <v>834.89136490250701</v>
      </c>
      <c r="R131" s="1">
        <f t="shared" si="17"/>
        <v>3328</v>
      </c>
      <c r="S131" s="243">
        <f>IF(AND($K$2&gt;=DATEVALUE("03/04/2020"),$K$2&lt;=DATEVALUE("31/12/2020")),0,IF(Resumo!$C$19="PF",IF(R131&lt;360,0.0082%*R131,3%),IF(R131&lt;360,0.0041%*R131,1.5%)))</f>
        <v>1.4999999999999999E-2</v>
      </c>
      <c r="T131" s="172">
        <f t="shared" ca="1" si="24"/>
        <v>12.523370473537605</v>
      </c>
      <c r="X131" s="20">
        <f t="shared" ca="1" si="25"/>
        <v>2286.8845286933292</v>
      </c>
    </row>
    <row r="132" spans="2:24">
      <c r="B132" s="41">
        <f t="shared" si="18"/>
        <v>110</v>
      </c>
      <c r="C132" s="164">
        <f t="shared" si="19"/>
        <v>48106</v>
      </c>
      <c r="D132" s="42">
        <f t="shared" ca="1" si="13"/>
        <v>842.74931039701278</v>
      </c>
      <c r="E132" s="42">
        <f t="shared" ca="1" si="20"/>
        <v>1438.4045229856167</v>
      </c>
      <c r="F132" s="42">
        <f t="shared" ca="1" si="14"/>
        <v>2281.1538333826293</v>
      </c>
      <c r="G132" s="42">
        <f ca="1">IF(B132&lt;=$D$16,G131*(1+$D$13)^((C132-C131)/_xlfn.DAYS(EDATE(C131,1),C131)),G131-D132)+IF(B132&lt;=$D$16,G131*Resumo!$F$12,0)+IF(B132&lt;=$D$16,$D$15*Resumo!$F$13,0)+IF(B132&lt;=$D$16,25,0)-IF(AND($D$16&gt;3,B132&lt;=$D$16),K132,0)</f>
        <v>210687.32759925252</v>
      </c>
      <c r="H132" s="42">
        <f ca="1">IF(AND(B132&lt;&gt;"",L132&lt;&gt;$D$17,$D$16&gt;3),G132*Resumo!$F$12,IF(AND(B132&lt;&gt;"",L132&lt;&gt;$D$17,B132&gt;$D$16),G132*Resumo!$F$12,0))</f>
        <v>44.244338795843028</v>
      </c>
      <c r="I132" s="42">
        <f>IF(AND(B132&lt;&gt;"",L132&lt;&gt;$D$17,$D$16&gt;3,$B132&lt;=$D$16),$D$15*Resumo!$F$13,IF(AND(B132&lt;&gt;"",L132&lt;&gt;$D$17,B132&gt;$D$16),$D$15*Resumo!$F$13,0))</f>
        <v>34.369999999999997</v>
      </c>
      <c r="J132" s="42">
        <f>IF(AND(B132&lt;&gt;"",L132&lt;&gt;$D$17,$D$16&gt;3,$B132&lt;=$D$16),Resumo!$F$11,IF(AND(B132&lt;&gt;"",L132&lt;&gt;$D$17,B132&gt;$D$16),Resumo!$F$11,0))</f>
        <v>25</v>
      </c>
      <c r="K132" s="42">
        <f t="shared" ca="1" si="15"/>
        <v>2384.768172178472</v>
      </c>
      <c r="L132" s="39" t="str">
        <f>IF(B132&lt;&gt;"",VLOOKUP(MONTH(C132),Sheet2!$F$1:$G$12,2,0),"")</f>
        <v>Setembro</v>
      </c>
      <c r="M132" s="200">
        <f t="shared" ca="1" si="21"/>
        <v>0</v>
      </c>
      <c r="N132" s="40">
        <f t="shared" ca="1" si="22"/>
        <v>2281.1538333826293</v>
      </c>
      <c r="O132" s="40">
        <f t="shared" ca="1" si="16"/>
        <v>2384.768172178472</v>
      </c>
      <c r="P132" s="40"/>
      <c r="Q132" s="20">
        <f t="shared" ca="1" si="23"/>
        <v>834.89136490250701</v>
      </c>
      <c r="R132" s="1">
        <f t="shared" si="17"/>
        <v>3359</v>
      </c>
      <c r="S132" s="243">
        <f>IF(AND($K$2&gt;=DATEVALUE("03/04/2020"),$K$2&lt;=DATEVALUE("31/12/2020")),0,IF(Resumo!$C$19="PF",IF(R132&lt;360,0.0082%*R132,3%),IF(R132&lt;360,0.0041%*R132,1.5%)))</f>
        <v>1.4999999999999999E-2</v>
      </c>
      <c r="T132" s="172">
        <f t="shared" ca="1" si="24"/>
        <v>12.523370473537605</v>
      </c>
      <c r="X132" s="20">
        <f t="shared" ca="1" si="25"/>
        <v>2281.1538333826293</v>
      </c>
    </row>
    <row r="133" spans="2:24">
      <c r="B133" s="37">
        <f t="shared" si="18"/>
        <v>111</v>
      </c>
      <c r="C133" s="163">
        <f t="shared" si="19"/>
        <v>48136</v>
      </c>
      <c r="D133" s="38">
        <f t="shared" ca="1" si="13"/>
        <v>842.74931039701278</v>
      </c>
      <c r="E133" s="38">
        <f t="shared" ca="1" si="20"/>
        <v>1432.673827674917</v>
      </c>
      <c r="F133" s="38">
        <f t="shared" ca="1" si="14"/>
        <v>2275.4231380719298</v>
      </c>
      <c r="G133" s="38">
        <f ca="1">IF(B133&lt;=$D$16,G132*(1+$D$13)^((C133-C132)/_xlfn.DAYS(EDATE(C132,1),C132)),G132-D133)+IF(B133&lt;=$D$16,G132*Resumo!$F$12,0)+IF(B133&lt;=$D$16,$D$15*Resumo!$F$13,0)+IF(B133&lt;=$D$16,25,0)-IF(AND($D$16&gt;3,B133&lt;=$D$16),K133,0)</f>
        <v>209844.5782888555</v>
      </c>
      <c r="H133" s="38">
        <f ca="1">IF(AND(B133&lt;&gt;"",L133&lt;&gt;$D$17,$D$16&gt;3),G133*Resumo!$F$12,IF(AND(B133&lt;&gt;"",L133&lt;&gt;$D$17,B133&gt;$D$16),G133*Resumo!$F$12,0))</f>
        <v>44.067361440659653</v>
      </c>
      <c r="I133" s="38">
        <f>IF(AND(B133&lt;&gt;"",L133&lt;&gt;$D$17,$D$16&gt;3,$B133&lt;=$D$16),$D$15*Resumo!$F$13,IF(AND(B133&lt;&gt;"",L133&lt;&gt;$D$17,B133&gt;$D$16),$D$15*Resumo!$F$13,0))</f>
        <v>34.369999999999997</v>
      </c>
      <c r="J133" s="38">
        <f>IF(AND(B133&lt;&gt;"",L133&lt;&gt;$D$17,$D$16&gt;3,$B133&lt;=$D$16),Resumo!$F$11,IF(AND(B133&lt;&gt;"",L133&lt;&gt;$D$17,B133&gt;$D$16),Resumo!$F$11,0))</f>
        <v>25</v>
      </c>
      <c r="K133" s="38">
        <f t="shared" ca="1" si="15"/>
        <v>2378.8604995125893</v>
      </c>
      <c r="L133" s="39" t="str">
        <f>IF(B133&lt;&gt;"",VLOOKUP(MONTH(C133),Sheet2!$F$1:$G$12,2,0),"")</f>
        <v>Outubro</v>
      </c>
      <c r="M133" s="200">
        <f t="shared" ca="1" si="21"/>
        <v>0</v>
      </c>
      <c r="N133" s="40">
        <f t="shared" ca="1" si="22"/>
        <v>2275.4231380719298</v>
      </c>
      <c r="O133" s="40">
        <f t="shared" ca="1" si="16"/>
        <v>2378.8604995125893</v>
      </c>
      <c r="P133" s="40"/>
      <c r="Q133" s="20">
        <f t="shared" ca="1" si="23"/>
        <v>834.89136490250701</v>
      </c>
      <c r="R133" s="1">
        <f t="shared" si="17"/>
        <v>3389</v>
      </c>
      <c r="S133" s="243">
        <f>IF(AND($K$2&gt;=DATEVALUE("03/04/2020"),$K$2&lt;=DATEVALUE("31/12/2020")),0,IF(Resumo!$C$19="PF",IF(R133&lt;360,0.0082%*R133,3%),IF(R133&lt;360,0.0041%*R133,1.5%)))</f>
        <v>1.4999999999999999E-2</v>
      </c>
      <c r="T133" s="172">
        <f t="shared" ca="1" si="24"/>
        <v>12.523370473537605</v>
      </c>
      <c r="X133" s="20">
        <f t="shared" ca="1" si="25"/>
        <v>2275.4231380719298</v>
      </c>
    </row>
    <row r="134" spans="2:24">
      <c r="B134" s="41">
        <f t="shared" si="18"/>
        <v>112</v>
      </c>
      <c r="C134" s="164">
        <f t="shared" si="19"/>
        <v>48167</v>
      </c>
      <c r="D134" s="42">
        <f t="shared" ca="1" si="13"/>
        <v>842.74931039701278</v>
      </c>
      <c r="E134" s="42">
        <f t="shared" ca="1" si="20"/>
        <v>1426.9431323642173</v>
      </c>
      <c r="F134" s="42">
        <f t="shared" ca="1" si="14"/>
        <v>2269.6924427612303</v>
      </c>
      <c r="G134" s="42">
        <f ca="1">IF(B134&lt;=$D$16,G133*(1+$D$13)^((C134-C133)/_xlfn.DAYS(EDATE(C133,1),C133)),G133-D134)+IF(B134&lt;=$D$16,G133*Resumo!$F$12,0)+IF(B134&lt;=$D$16,$D$15*Resumo!$F$13,0)+IF(B134&lt;=$D$16,25,0)-IF(AND($D$16&gt;3,B134&lt;=$D$16),K134,0)</f>
        <v>209001.82897845848</v>
      </c>
      <c r="H134" s="42">
        <f ca="1">IF(AND(B134&lt;&gt;"",L134&lt;&gt;$D$17,$D$16&gt;3),G134*Resumo!$F$12,IF(AND(B134&lt;&gt;"",L134&lt;&gt;$D$17,B134&gt;$D$16),G134*Resumo!$F$12,0))</f>
        <v>43.890384085476285</v>
      </c>
      <c r="I134" s="42">
        <f>IF(AND(B134&lt;&gt;"",L134&lt;&gt;$D$17,$D$16&gt;3,$B134&lt;=$D$16),$D$15*Resumo!$F$13,IF(AND(B134&lt;&gt;"",L134&lt;&gt;$D$17,B134&gt;$D$16),$D$15*Resumo!$F$13,0))</f>
        <v>34.369999999999997</v>
      </c>
      <c r="J134" s="42">
        <f>IF(AND(B134&lt;&gt;"",L134&lt;&gt;$D$17,$D$16&gt;3,$B134&lt;=$D$16),Resumo!$F$11,IF(AND(B134&lt;&gt;"",L134&lt;&gt;$D$17,B134&gt;$D$16),Resumo!$F$11,0))</f>
        <v>25</v>
      </c>
      <c r="K134" s="42">
        <f t="shared" ca="1" si="15"/>
        <v>2372.9528268467066</v>
      </c>
      <c r="L134" s="39" t="str">
        <f>IF(B134&lt;&gt;"",VLOOKUP(MONTH(C134),Sheet2!$F$1:$G$12,2,0),"")</f>
        <v>Novembro</v>
      </c>
      <c r="M134" s="200">
        <f t="shared" ca="1" si="21"/>
        <v>0</v>
      </c>
      <c r="N134" s="40">
        <f t="shared" ca="1" si="22"/>
        <v>2269.6924427612303</v>
      </c>
      <c r="O134" s="40">
        <f t="shared" ca="1" si="16"/>
        <v>2372.9528268467066</v>
      </c>
      <c r="P134" s="40"/>
      <c r="Q134" s="20">
        <f t="shared" ca="1" si="23"/>
        <v>834.89136490250701</v>
      </c>
      <c r="R134" s="1">
        <f t="shared" si="17"/>
        <v>3420</v>
      </c>
      <c r="S134" s="243">
        <f>IF(AND($K$2&gt;=DATEVALUE("03/04/2020"),$K$2&lt;=DATEVALUE("31/12/2020")),0,IF(Resumo!$C$19="PF",IF(R134&lt;360,0.0082%*R134,3%),IF(R134&lt;360,0.0041%*R134,1.5%)))</f>
        <v>1.4999999999999999E-2</v>
      </c>
      <c r="T134" s="172">
        <f t="shared" ca="1" si="24"/>
        <v>12.523370473537605</v>
      </c>
      <c r="X134" s="20">
        <f t="shared" ca="1" si="25"/>
        <v>2269.6924427612303</v>
      </c>
    </row>
    <row r="135" spans="2:24">
      <c r="B135" s="37">
        <f t="shared" si="18"/>
        <v>113</v>
      </c>
      <c r="C135" s="163">
        <f t="shared" si="19"/>
        <v>48197</v>
      </c>
      <c r="D135" s="38">
        <f t="shared" ca="1" si="13"/>
        <v>842.74931039701278</v>
      </c>
      <c r="E135" s="38">
        <f t="shared" ca="1" si="20"/>
        <v>1421.2124370535175</v>
      </c>
      <c r="F135" s="38">
        <f t="shared" ca="1" si="14"/>
        <v>2263.9617474505303</v>
      </c>
      <c r="G135" s="38">
        <f ca="1">IF(B135&lt;=$D$16,G134*(1+$D$13)^((C135-C134)/_xlfn.DAYS(EDATE(C134,1),C134)),G134-D135)+IF(B135&lt;=$D$16,G134*Resumo!$F$12,0)+IF(B135&lt;=$D$16,$D$15*Resumo!$F$13,0)+IF(B135&lt;=$D$16,25,0)-IF(AND($D$16&gt;3,B135&lt;=$D$16),K135,0)</f>
        <v>208159.07966806146</v>
      </c>
      <c r="H135" s="38">
        <f ca="1">IF(AND(B135&lt;&gt;"",L135&lt;&gt;$D$17,$D$16&gt;3),G135*Resumo!$F$12,IF(AND(B135&lt;&gt;"",L135&lt;&gt;$D$17,B135&gt;$D$16),G135*Resumo!$F$12,0))</f>
        <v>43.71340673029291</v>
      </c>
      <c r="I135" s="38">
        <f>IF(AND(B135&lt;&gt;"",L135&lt;&gt;$D$17,$D$16&gt;3,$B135&lt;=$D$16),$D$15*Resumo!$F$13,IF(AND(B135&lt;&gt;"",L135&lt;&gt;$D$17,B135&gt;$D$16),$D$15*Resumo!$F$13,0))</f>
        <v>34.369999999999997</v>
      </c>
      <c r="J135" s="38">
        <f>IF(AND(B135&lt;&gt;"",L135&lt;&gt;$D$17,$D$16&gt;3,$B135&lt;=$D$16),Resumo!$F$11,IF(AND(B135&lt;&gt;"",L135&lt;&gt;$D$17,B135&gt;$D$16),Resumo!$F$11,0))</f>
        <v>25</v>
      </c>
      <c r="K135" s="38">
        <f t="shared" ca="1" si="15"/>
        <v>2367.0451541808229</v>
      </c>
      <c r="L135" s="39" t="str">
        <f>IF(B135&lt;&gt;"",VLOOKUP(MONTH(C135),Sheet2!$F$1:$G$12,2,0),"")</f>
        <v>Dezembro</v>
      </c>
      <c r="M135" s="200">
        <f t="shared" ca="1" si="21"/>
        <v>0</v>
      </c>
      <c r="N135" s="40">
        <f t="shared" ca="1" si="22"/>
        <v>2263.9617474505303</v>
      </c>
      <c r="O135" s="40">
        <f t="shared" ca="1" si="16"/>
        <v>2367.0451541808229</v>
      </c>
      <c r="P135" s="40"/>
      <c r="Q135" s="20">
        <f t="shared" ca="1" si="23"/>
        <v>834.89136490250701</v>
      </c>
      <c r="R135" s="1">
        <f t="shared" si="17"/>
        <v>3450</v>
      </c>
      <c r="S135" s="243">
        <f>IF(AND($K$2&gt;=DATEVALUE("03/04/2020"),$K$2&lt;=DATEVALUE("31/12/2020")),0,IF(Resumo!$C$19="PF",IF(R135&lt;360,0.0082%*R135,3%),IF(R135&lt;360,0.0041%*R135,1.5%)))</f>
        <v>1.4999999999999999E-2</v>
      </c>
      <c r="T135" s="172">
        <f t="shared" ca="1" si="24"/>
        <v>12.523370473537605</v>
      </c>
      <c r="X135" s="20">
        <f t="shared" ca="1" si="25"/>
        <v>2263.9617474505303</v>
      </c>
    </row>
    <row r="136" spans="2:24">
      <c r="B136" s="41">
        <f t="shared" si="18"/>
        <v>114</v>
      </c>
      <c r="C136" s="164">
        <f t="shared" si="19"/>
        <v>48228</v>
      </c>
      <c r="D136" s="42">
        <f t="shared" ca="1" si="13"/>
        <v>842.74931039701278</v>
      </c>
      <c r="E136" s="42">
        <f t="shared" ca="1" si="20"/>
        <v>1415.4817417428178</v>
      </c>
      <c r="F136" s="42">
        <f t="shared" ca="1" si="14"/>
        <v>2258.2310521398304</v>
      </c>
      <c r="G136" s="42">
        <f ca="1">IF(B136&lt;=$D$16,G135*(1+$D$13)^((C136-C135)/_xlfn.DAYS(EDATE(C135,1),C135)),G135-D136)+IF(B136&lt;=$D$16,G135*Resumo!$F$12,0)+IF(B136&lt;=$D$16,$D$15*Resumo!$F$13,0)+IF(B136&lt;=$D$16,25,0)-IF(AND($D$16&gt;3,B136&lt;=$D$16),K136,0)</f>
        <v>207316.33035766444</v>
      </c>
      <c r="H136" s="42">
        <f ca="1">IF(AND(B136&lt;&gt;"",L136&lt;&gt;$D$17,$D$16&gt;3),G136*Resumo!$F$12,IF(AND(B136&lt;&gt;"",L136&lt;&gt;$D$17,B136&gt;$D$16),G136*Resumo!$F$12,0))</f>
        <v>43.536429375109535</v>
      </c>
      <c r="I136" s="42">
        <f>IF(AND(B136&lt;&gt;"",L136&lt;&gt;$D$17,$D$16&gt;3,$B136&lt;=$D$16),$D$15*Resumo!$F$13,IF(AND(B136&lt;&gt;"",L136&lt;&gt;$D$17,B136&gt;$D$16),$D$15*Resumo!$F$13,0))</f>
        <v>34.369999999999997</v>
      </c>
      <c r="J136" s="42">
        <f>IF(AND(B136&lt;&gt;"",L136&lt;&gt;$D$17,$D$16&gt;3,$B136&lt;=$D$16),Resumo!$F$11,IF(AND(B136&lt;&gt;"",L136&lt;&gt;$D$17,B136&gt;$D$16),Resumo!$F$11,0))</f>
        <v>25</v>
      </c>
      <c r="K136" s="42">
        <f t="shared" ca="1" si="15"/>
        <v>2361.1374815149397</v>
      </c>
      <c r="L136" s="39" t="str">
        <f>IF(B136&lt;&gt;"",VLOOKUP(MONTH(C136),Sheet2!$F$1:$G$12,2,0),"")</f>
        <v>Janeiro</v>
      </c>
      <c r="M136" s="200">
        <f t="shared" ca="1" si="21"/>
        <v>0</v>
      </c>
      <c r="N136" s="40">
        <f t="shared" ca="1" si="22"/>
        <v>2258.2310521398304</v>
      </c>
      <c r="O136" s="40">
        <f t="shared" ca="1" si="16"/>
        <v>2361.1374815149397</v>
      </c>
      <c r="P136" s="40"/>
      <c r="Q136" s="20">
        <f t="shared" ca="1" si="23"/>
        <v>834.89136490250701</v>
      </c>
      <c r="R136" s="1">
        <f t="shared" si="17"/>
        <v>3481</v>
      </c>
      <c r="S136" s="243">
        <f>IF(AND($K$2&gt;=DATEVALUE("03/04/2020"),$K$2&lt;=DATEVALUE("31/12/2020")),0,IF(Resumo!$C$19="PF",IF(R136&lt;360,0.0082%*R136,3%),IF(R136&lt;360,0.0041%*R136,1.5%)))</f>
        <v>1.4999999999999999E-2</v>
      </c>
      <c r="T136" s="172">
        <f t="shared" ca="1" si="24"/>
        <v>12.523370473537605</v>
      </c>
      <c r="X136" s="20">
        <f t="shared" ca="1" si="25"/>
        <v>2258.2310521398304</v>
      </c>
    </row>
    <row r="137" spans="2:24">
      <c r="B137" s="37">
        <f t="shared" si="18"/>
        <v>115</v>
      </c>
      <c r="C137" s="163">
        <f t="shared" si="19"/>
        <v>48259</v>
      </c>
      <c r="D137" s="38">
        <f t="shared" ca="1" si="13"/>
        <v>842.74931039701278</v>
      </c>
      <c r="E137" s="38">
        <f t="shared" ca="1" si="20"/>
        <v>1409.7510464321181</v>
      </c>
      <c r="F137" s="38">
        <f t="shared" ca="1" si="14"/>
        <v>2252.5003568291309</v>
      </c>
      <c r="G137" s="38">
        <f ca="1">IF(B137&lt;=$D$16,G136*(1+$D$13)^((C137-C136)/_xlfn.DAYS(EDATE(C136,1),C136)),G136-D137)+IF(B137&lt;=$D$16,G136*Resumo!$F$12,0)+IF(B137&lt;=$D$16,$D$15*Resumo!$F$13,0)+IF(B137&lt;=$D$16,25,0)-IF(AND($D$16&gt;3,B137&lt;=$D$16),K137,0)</f>
        <v>206473.58104726742</v>
      </c>
      <c r="H137" s="38">
        <f ca="1">IF(AND(B137&lt;&gt;"",L137&lt;&gt;$D$17,$D$16&gt;3),G137*Resumo!$F$12,IF(AND(B137&lt;&gt;"",L137&lt;&gt;$D$17,B137&gt;$D$16),G137*Resumo!$F$12,0))</f>
        <v>43.359452019926159</v>
      </c>
      <c r="I137" s="38">
        <f>IF(AND(B137&lt;&gt;"",L137&lt;&gt;$D$17,$D$16&gt;3,$B137&lt;=$D$16),$D$15*Resumo!$F$13,IF(AND(B137&lt;&gt;"",L137&lt;&gt;$D$17,B137&gt;$D$16),$D$15*Resumo!$F$13,0))</f>
        <v>34.369999999999997</v>
      </c>
      <c r="J137" s="38">
        <f>IF(AND(B137&lt;&gt;"",L137&lt;&gt;$D$17,$D$16&gt;3,$B137&lt;=$D$16),Resumo!$F$11,IF(AND(B137&lt;&gt;"",L137&lt;&gt;$D$17,B137&gt;$D$16),Resumo!$F$11,0))</f>
        <v>25</v>
      </c>
      <c r="K137" s="38">
        <f t="shared" ca="1" si="15"/>
        <v>2355.229808849057</v>
      </c>
      <c r="L137" s="39" t="str">
        <f>IF(B137&lt;&gt;"",VLOOKUP(MONTH(C137),Sheet2!$F$1:$G$12,2,0),"")</f>
        <v>Fevereiro</v>
      </c>
      <c r="M137" s="200">
        <f t="shared" ca="1" si="21"/>
        <v>0</v>
      </c>
      <c r="N137" s="40">
        <f t="shared" ca="1" si="22"/>
        <v>2252.5003568291309</v>
      </c>
      <c r="O137" s="40">
        <f t="shared" ca="1" si="16"/>
        <v>2355.229808849057</v>
      </c>
      <c r="P137" s="40"/>
      <c r="Q137" s="20">
        <f t="shared" ca="1" si="23"/>
        <v>834.89136490250701</v>
      </c>
      <c r="R137" s="1">
        <f t="shared" si="17"/>
        <v>3512</v>
      </c>
      <c r="S137" s="243">
        <f>IF(AND($K$2&gt;=DATEVALUE("03/04/2020"),$K$2&lt;=DATEVALUE("31/12/2020")),0,IF(Resumo!$C$19="PF",IF(R137&lt;360,0.0082%*R137,3%),IF(R137&lt;360,0.0041%*R137,1.5%)))</f>
        <v>1.4999999999999999E-2</v>
      </c>
      <c r="T137" s="172">
        <f t="shared" ca="1" si="24"/>
        <v>12.523370473537605</v>
      </c>
      <c r="X137" s="20">
        <f t="shared" ca="1" si="25"/>
        <v>2252.5003568291309</v>
      </c>
    </row>
    <row r="138" spans="2:24">
      <c r="B138" s="41">
        <f t="shared" si="18"/>
        <v>116</v>
      </c>
      <c r="C138" s="164">
        <f t="shared" si="19"/>
        <v>48288</v>
      </c>
      <c r="D138" s="42">
        <f t="shared" ca="1" si="13"/>
        <v>842.74931039701278</v>
      </c>
      <c r="E138" s="42">
        <f t="shared" ca="1" si="20"/>
        <v>1404.0203511214183</v>
      </c>
      <c r="F138" s="42">
        <f t="shared" ca="1" si="14"/>
        <v>2246.7696615184313</v>
      </c>
      <c r="G138" s="42">
        <f ca="1">IF(B138&lt;=$D$16,G137*(1+$D$13)^((C138-C137)/_xlfn.DAYS(EDATE(C137,1),C137)),G137-D138)+IF(B138&lt;=$D$16,G137*Resumo!$F$12,0)+IF(B138&lt;=$D$16,$D$15*Resumo!$F$13,0)+IF(B138&lt;=$D$16,25,0)-IF(AND($D$16&gt;3,B138&lt;=$D$16),K138,0)</f>
        <v>205630.8317368704</v>
      </c>
      <c r="H138" s="42">
        <f ca="1">IF(AND(B138&lt;&gt;"",L138&lt;&gt;$D$17,$D$16&gt;3),G138*Resumo!$F$12,IF(AND(B138&lt;&gt;"",L138&lt;&gt;$D$17,B138&gt;$D$16),G138*Resumo!$F$12,0))</f>
        <v>43.182474664742784</v>
      </c>
      <c r="I138" s="42">
        <f>IF(AND(B138&lt;&gt;"",L138&lt;&gt;$D$17,$D$16&gt;3,$B138&lt;=$D$16),$D$15*Resumo!$F$13,IF(AND(B138&lt;&gt;"",L138&lt;&gt;$D$17,B138&gt;$D$16),$D$15*Resumo!$F$13,0))</f>
        <v>34.369999999999997</v>
      </c>
      <c r="J138" s="42">
        <f>IF(AND(B138&lt;&gt;"",L138&lt;&gt;$D$17,$D$16&gt;3,$B138&lt;=$D$16),Resumo!$F$11,IF(AND(B138&lt;&gt;"",L138&lt;&gt;$D$17,B138&gt;$D$16),Resumo!$F$11,0))</f>
        <v>25</v>
      </c>
      <c r="K138" s="42">
        <f t="shared" ca="1" si="15"/>
        <v>2349.3221361831738</v>
      </c>
      <c r="L138" s="39" t="str">
        <f>IF(B138&lt;&gt;"",VLOOKUP(MONTH(C138),Sheet2!$F$1:$G$12,2,0),"")</f>
        <v>Março</v>
      </c>
      <c r="M138" s="200">
        <f t="shared" ca="1" si="21"/>
        <v>0</v>
      </c>
      <c r="N138" s="40">
        <f t="shared" ca="1" si="22"/>
        <v>2246.7696615184313</v>
      </c>
      <c r="O138" s="40">
        <f t="shared" ca="1" si="16"/>
        <v>2349.3221361831738</v>
      </c>
      <c r="P138" s="40"/>
      <c r="Q138" s="20">
        <f t="shared" ca="1" si="23"/>
        <v>834.89136490250701</v>
      </c>
      <c r="R138" s="1">
        <f t="shared" si="17"/>
        <v>3541</v>
      </c>
      <c r="S138" s="243">
        <f>IF(AND($K$2&gt;=DATEVALUE("03/04/2020"),$K$2&lt;=DATEVALUE("31/12/2020")),0,IF(Resumo!$C$19="PF",IF(R138&lt;360,0.0082%*R138,3%),IF(R138&lt;360,0.0041%*R138,1.5%)))</f>
        <v>1.4999999999999999E-2</v>
      </c>
      <c r="T138" s="172">
        <f t="shared" ca="1" si="24"/>
        <v>12.523370473537605</v>
      </c>
      <c r="X138" s="20">
        <f t="shared" ca="1" si="25"/>
        <v>2246.7696615184313</v>
      </c>
    </row>
    <row r="139" spans="2:24">
      <c r="B139" s="37">
        <f t="shared" si="18"/>
        <v>117</v>
      </c>
      <c r="C139" s="163">
        <f t="shared" si="19"/>
        <v>48319</v>
      </c>
      <c r="D139" s="38">
        <f t="shared" ca="1" si="13"/>
        <v>842.74931039701278</v>
      </c>
      <c r="E139" s="38">
        <f t="shared" ca="1" si="20"/>
        <v>1398.2896558107186</v>
      </c>
      <c r="F139" s="38">
        <f t="shared" ca="1" si="14"/>
        <v>2241.0389662077314</v>
      </c>
      <c r="G139" s="38">
        <f ca="1">IF(B139&lt;=$D$16,G138*(1+$D$13)^((C139-C138)/_xlfn.DAYS(EDATE(C138,1),C138)),G138-D139)+IF(B139&lt;=$D$16,G138*Resumo!$F$12,0)+IF(B139&lt;=$D$16,$D$15*Resumo!$F$13,0)+IF(B139&lt;=$D$16,25,0)-IF(AND($D$16&gt;3,B139&lt;=$D$16),K139,0)</f>
        <v>204788.08242647338</v>
      </c>
      <c r="H139" s="38">
        <f ca="1">IF(AND(B139&lt;&gt;"",L139&lt;&gt;$D$17,$D$16&gt;3),G139*Resumo!$F$12,IF(AND(B139&lt;&gt;"",L139&lt;&gt;$D$17,B139&gt;$D$16),G139*Resumo!$F$12,0))</f>
        <v>43.005497309559409</v>
      </c>
      <c r="I139" s="38">
        <f>IF(AND(B139&lt;&gt;"",L139&lt;&gt;$D$17,$D$16&gt;3,$B139&lt;=$D$16),$D$15*Resumo!$F$13,IF(AND(B139&lt;&gt;"",L139&lt;&gt;$D$17,B139&gt;$D$16),$D$15*Resumo!$F$13,0))</f>
        <v>34.369999999999997</v>
      </c>
      <c r="J139" s="38">
        <f>IF(AND(B139&lt;&gt;"",L139&lt;&gt;$D$17,$D$16&gt;3,$B139&lt;=$D$16),Resumo!$F$11,IF(AND(B139&lt;&gt;"",L139&lt;&gt;$D$17,B139&gt;$D$16),Resumo!$F$11,0))</f>
        <v>25</v>
      </c>
      <c r="K139" s="38">
        <f t="shared" ca="1" si="15"/>
        <v>2343.4144635172906</v>
      </c>
      <c r="L139" s="39" t="str">
        <f>IF(B139&lt;&gt;"",VLOOKUP(MONTH(C139),Sheet2!$F$1:$G$12,2,0),"")</f>
        <v>Abril</v>
      </c>
      <c r="M139" s="200">
        <f t="shared" ca="1" si="21"/>
        <v>0</v>
      </c>
      <c r="N139" s="40">
        <f t="shared" ca="1" si="22"/>
        <v>2241.0389662077314</v>
      </c>
      <c r="O139" s="40">
        <f t="shared" ca="1" si="16"/>
        <v>2343.4144635172906</v>
      </c>
      <c r="P139" s="40"/>
      <c r="Q139" s="20">
        <f t="shared" ca="1" si="23"/>
        <v>834.89136490250701</v>
      </c>
      <c r="R139" s="1">
        <f t="shared" si="17"/>
        <v>3572</v>
      </c>
      <c r="S139" s="243">
        <f>IF(AND($K$2&gt;=DATEVALUE("03/04/2020"),$K$2&lt;=DATEVALUE("31/12/2020")),0,IF(Resumo!$C$19="PF",IF(R139&lt;360,0.0082%*R139,3%),IF(R139&lt;360,0.0041%*R139,1.5%)))</f>
        <v>1.4999999999999999E-2</v>
      </c>
      <c r="T139" s="172">
        <f t="shared" ca="1" si="24"/>
        <v>12.523370473537605</v>
      </c>
      <c r="X139" s="20">
        <f t="shared" ca="1" si="25"/>
        <v>2241.0389662077314</v>
      </c>
    </row>
    <row r="140" spans="2:24">
      <c r="B140" s="41">
        <f t="shared" si="18"/>
        <v>118</v>
      </c>
      <c r="C140" s="164">
        <f t="shared" si="19"/>
        <v>48349</v>
      </c>
      <c r="D140" s="42">
        <f t="shared" ca="1" si="13"/>
        <v>842.74931039701278</v>
      </c>
      <c r="E140" s="42">
        <f t="shared" ca="1" si="20"/>
        <v>1392.5589605000189</v>
      </c>
      <c r="F140" s="42">
        <f t="shared" ca="1" si="14"/>
        <v>2235.3082708970314</v>
      </c>
      <c r="G140" s="42">
        <f ca="1">IF(B140&lt;=$D$16,G139*(1+$D$13)^((C140-C139)/_xlfn.DAYS(EDATE(C139,1),C139)),G139-D140)+IF(B140&lt;=$D$16,G139*Resumo!$F$12,0)+IF(B140&lt;=$D$16,$D$15*Resumo!$F$13,0)+IF(B140&lt;=$D$16,25,0)-IF(AND($D$16&gt;3,B140&lt;=$D$16),K140,0)</f>
        <v>203945.33311607636</v>
      </c>
      <c r="H140" s="42">
        <f ca="1">IF(AND(B140&lt;&gt;"",L140&lt;&gt;$D$17,$D$16&gt;3),G140*Resumo!$F$12,IF(AND(B140&lt;&gt;"",L140&lt;&gt;$D$17,B140&gt;$D$16),G140*Resumo!$F$12,0))</f>
        <v>42.828519954376041</v>
      </c>
      <c r="I140" s="42">
        <f>IF(AND(B140&lt;&gt;"",L140&lt;&gt;$D$17,$D$16&gt;3,$B140&lt;=$D$16),$D$15*Resumo!$F$13,IF(AND(B140&lt;&gt;"",L140&lt;&gt;$D$17,B140&gt;$D$16),$D$15*Resumo!$F$13,0))</f>
        <v>34.369999999999997</v>
      </c>
      <c r="J140" s="42">
        <f>IF(AND(B140&lt;&gt;"",L140&lt;&gt;$D$17,$D$16&gt;3,$B140&lt;=$D$16),Resumo!$F$11,IF(AND(B140&lt;&gt;"",L140&lt;&gt;$D$17,B140&gt;$D$16),Resumo!$F$11,0))</f>
        <v>25</v>
      </c>
      <c r="K140" s="42">
        <f t="shared" ca="1" si="15"/>
        <v>2337.5067908514075</v>
      </c>
      <c r="L140" s="39" t="str">
        <f>IF(B140&lt;&gt;"",VLOOKUP(MONTH(C140),Sheet2!$F$1:$G$12,2,0),"")</f>
        <v>Maio</v>
      </c>
      <c r="M140" s="200">
        <f t="shared" ca="1" si="21"/>
        <v>0</v>
      </c>
      <c r="N140" s="40">
        <f t="shared" ca="1" si="22"/>
        <v>2235.3082708970314</v>
      </c>
      <c r="O140" s="40">
        <f t="shared" ca="1" si="16"/>
        <v>2337.5067908514075</v>
      </c>
      <c r="P140" s="40"/>
      <c r="Q140" s="20">
        <f t="shared" ca="1" si="23"/>
        <v>834.89136490250701</v>
      </c>
      <c r="R140" s="1">
        <f t="shared" si="17"/>
        <v>3602</v>
      </c>
      <c r="S140" s="243">
        <f>IF(AND($K$2&gt;=DATEVALUE("03/04/2020"),$K$2&lt;=DATEVALUE("31/12/2020")),0,IF(Resumo!$C$19="PF",IF(R140&lt;360,0.0082%*R140,3%),IF(R140&lt;360,0.0041%*R140,1.5%)))</f>
        <v>1.4999999999999999E-2</v>
      </c>
      <c r="T140" s="172">
        <f t="shared" ca="1" si="24"/>
        <v>12.523370473537605</v>
      </c>
      <c r="X140" s="20">
        <f t="shared" ca="1" si="25"/>
        <v>2235.3082708970314</v>
      </c>
    </row>
    <row r="141" spans="2:24">
      <c r="B141" s="37">
        <f t="shared" si="18"/>
        <v>119</v>
      </c>
      <c r="C141" s="163">
        <f t="shared" si="19"/>
        <v>48380</v>
      </c>
      <c r="D141" s="38">
        <f t="shared" ca="1" si="13"/>
        <v>842.74931039701278</v>
      </c>
      <c r="E141" s="38">
        <f t="shared" ca="1" si="20"/>
        <v>1386.8282651893192</v>
      </c>
      <c r="F141" s="38">
        <f t="shared" ca="1" si="14"/>
        <v>2229.5775755863319</v>
      </c>
      <c r="G141" s="38">
        <f ca="1">IF(B141&lt;=$D$16,G140*(1+$D$13)^((C141-C140)/_xlfn.DAYS(EDATE(C140,1),C140)),G140-D141)+IF(B141&lt;=$D$16,G140*Resumo!$F$12,0)+IF(B141&lt;=$D$16,$D$15*Resumo!$F$13,0)+IF(B141&lt;=$D$16,25,0)-IF(AND($D$16&gt;3,B141&lt;=$D$16),K141,0)</f>
        <v>203102.58380567934</v>
      </c>
      <c r="H141" s="38">
        <f ca="1">IF(AND(B141&lt;&gt;"",L141&lt;&gt;$D$17,$D$16&gt;3),G141*Resumo!$F$12,IF(AND(B141&lt;&gt;"",L141&lt;&gt;$D$17,B141&gt;$D$16),G141*Resumo!$F$12,0))</f>
        <v>42.651542599192666</v>
      </c>
      <c r="I141" s="38">
        <f>IF(AND(B141&lt;&gt;"",L141&lt;&gt;$D$17,$D$16&gt;3,$B141&lt;=$D$16),$D$15*Resumo!$F$13,IF(AND(B141&lt;&gt;"",L141&lt;&gt;$D$17,B141&gt;$D$16),$D$15*Resumo!$F$13,0))</f>
        <v>34.369999999999997</v>
      </c>
      <c r="J141" s="38">
        <f>IF(AND(B141&lt;&gt;"",L141&lt;&gt;$D$17,$D$16&gt;3,$B141&lt;=$D$16),Resumo!$F$11,IF(AND(B141&lt;&gt;"",L141&lt;&gt;$D$17,B141&gt;$D$16),Resumo!$F$11,0))</f>
        <v>25</v>
      </c>
      <c r="K141" s="38">
        <f t="shared" ca="1" si="15"/>
        <v>2331.5991181855243</v>
      </c>
      <c r="L141" s="39" t="str">
        <f>IF(B141&lt;&gt;"",VLOOKUP(MONTH(C141),Sheet2!$F$1:$G$12,2,0),"")</f>
        <v>Junho</v>
      </c>
      <c r="M141" s="200">
        <f t="shared" ca="1" si="21"/>
        <v>0</v>
      </c>
      <c r="N141" s="40">
        <f t="shared" ca="1" si="22"/>
        <v>2229.5775755863319</v>
      </c>
      <c r="O141" s="40">
        <f t="shared" ca="1" si="16"/>
        <v>2331.5991181855243</v>
      </c>
      <c r="P141" s="40"/>
      <c r="Q141" s="20">
        <f t="shared" ca="1" si="23"/>
        <v>834.89136490250701</v>
      </c>
      <c r="R141" s="1">
        <f t="shared" si="17"/>
        <v>3633</v>
      </c>
      <c r="S141" s="243">
        <f>IF(AND($K$2&gt;=DATEVALUE("03/04/2020"),$K$2&lt;=DATEVALUE("31/12/2020")),0,IF(Resumo!$C$19="PF",IF(R141&lt;360,0.0082%*R141,3%),IF(R141&lt;360,0.0041%*R141,1.5%)))</f>
        <v>1.4999999999999999E-2</v>
      </c>
      <c r="T141" s="172">
        <f t="shared" ca="1" si="24"/>
        <v>12.523370473537605</v>
      </c>
      <c r="X141" s="20">
        <f t="shared" ca="1" si="25"/>
        <v>2229.5775755863319</v>
      </c>
    </row>
    <row r="142" spans="2:24">
      <c r="B142" s="41">
        <f t="shared" si="18"/>
        <v>120</v>
      </c>
      <c r="C142" s="164">
        <f t="shared" si="19"/>
        <v>48410</v>
      </c>
      <c r="D142" s="42">
        <f t="shared" ca="1" si="13"/>
        <v>842.74931039701278</v>
      </c>
      <c r="E142" s="42">
        <f t="shared" ca="1" si="20"/>
        <v>1381.0975698786194</v>
      </c>
      <c r="F142" s="42">
        <f t="shared" ca="1" si="14"/>
        <v>2223.8468802756324</v>
      </c>
      <c r="G142" s="42">
        <f ca="1">IF(B142&lt;=$D$16,G141*(1+$D$13)^((C142-C141)/_xlfn.DAYS(EDATE(C141,1),C141)),G141-D142)+IF(B142&lt;=$D$16,G141*Resumo!$F$12,0)+IF(B142&lt;=$D$16,$D$15*Resumo!$F$13,0)+IF(B142&lt;=$D$16,25,0)-IF(AND($D$16&gt;3,B142&lt;=$D$16),K142,0)</f>
        <v>202259.83449528232</v>
      </c>
      <c r="H142" s="42">
        <f ca="1">IF(AND(B142&lt;&gt;"",L142&lt;&gt;$D$17,$D$16&gt;3),G142*Resumo!$F$12,IF(AND(B142&lt;&gt;"",L142&lt;&gt;$D$17,B142&gt;$D$16),G142*Resumo!$F$12,0))</f>
        <v>42.474565244009291</v>
      </c>
      <c r="I142" s="42">
        <f>IF(AND(B142&lt;&gt;"",L142&lt;&gt;$D$17,$D$16&gt;3,$B142&lt;=$D$16),$D$15*Resumo!$F$13,IF(AND(B142&lt;&gt;"",L142&lt;&gt;$D$17,B142&gt;$D$16),$D$15*Resumo!$F$13,0))</f>
        <v>34.369999999999997</v>
      </c>
      <c r="J142" s="42">
        <f>IF(AND(B142&lt;&gt;"",L142&lt;&gt;$D$17,$D$16&gt;3,$B142&lt;=$D$16),Resumo!$F$11,IF(AND(B142&lt;&gt;"",L142&lt;&gt;$D$17,B142&gt;$D$16),Resumo!$F$11,0))</f>
        <v>25</v>
      </c>
      <c r="K142" s="42">
        <f t="shared" ca="1" si="15"/>
        <v>2325.6914455196415</v>
      </c>
      <c r="L142" s="39" t="str">
        <f>IF(B142&lt;&gt;"",VLOOKUP(MONTH(C142),Sheet2!$F$1:$G$12,2,0),"")</f>
        <v>Julho</v>
      </c>
      <c r="M142" s="200">
        <f t="shared" ca="1" si="21"/>
        <v>0</v>
      </c>
      <c r="N142" s="40">
        <f t="shared" ca="1" si="22"/>
        <v>2223.8468802756324</v>
      </c>
      <c r="O142" s="40">
        <f t="shared" ca="1" si="16"/>
        <v>2325.6914455196415</v>
      </c>
      <c r="P142" s="40"/>
      <c r="Q142" s="20">
        <f t="shared" ca="1" si="23"/>
        <v>834.89136490250701</v>
      </c>
      <c r="R142" s="1">
        <f t="shared" si="17"/>
        <v>3663</v>
      </c>
      <c r="S142" s="243">
        <f>IF(AND($K$2&gt;=DATEVALUE("03/04/2020"),$K$2&lt;=DATEVALUE("31/12/2020")),0,IF(Resumo!$C$19="PF",IF(R142&lt;360,0.0082%*R142,3%),IF(R142&lt;360,0.0041%*R142,1.5%)))</f>
        <v>1.4999999999999999E-2</v>
      </c>
      <c r="T142" s="172">
        <f t="shared" ca="1" si="24"/>
        <v>12.523370473537605</v>
      </c>
      <c r="X142" s="20">
        <f t="shared" ca="1" si="25"/>
        <v>2223.8468802756324</v>
      </c>
    </row>
    <row r="143" spans="2:24">
      <c r="B143" s="37">
        <f t="shared" si="18"/>
        <v>121</v>
      </c>
      <c r="C143" s="163">
        <f t="shared" si="19"/>
        <v>48441</v>
      </c>
      <c r="D143" s="38">
        <f t="shared" ca="1" si="13"/>
        <v>842.74931039701278</v>
      </c>
      <c r="E143" s="38">
        <f t="shared" ca="1" si="20"/>
        <v>1375.3668745679197</v>
      </c>
      <c r="F143" s="38">
        <f t="shared" ca="1" si="14"/>
        <v>2218.1161849649325</v>
      </c>
      <c r="G143" s="38">
        <f ca="1">IF(B143&lt;=$D$16,G142*(1+$D$13)^((C143-C142)/_xlfn.DAYS(EDATE(C142,1),C142)),G142-D143)+IF(B143&lt;=$D$16,G142*Resumo!$F$12,0)+IF(B143&lt;=$D$16,$D$15*Resumo!$F$13,0)+IF(B143&lt;=$D$16,25,0)-IF(AND($D$16&gt;3,B143&lt;=$D$16),K143,0)</f>
        <v>201417.08518488531</v>
      </c>
      <c r="H143" s="38">
        <f ca="1">IF(AND(B143&lt;&gt;"",L143&lt;&gt;$D$17,$D$16&gt;3),G143*Resumo!$F$12,IF(AND(B143&lt;&gt;"",L143&lt;&gt;$D$17,B143&gt;$D$16),G143*Resumo!$F$12,0))</f>
        <v>42.297587888825916</v>
      </c>
      <c r="I143" s="38">
        <f>IF(AND(B143&lt;&gt;"",L143&lt;&gt;$D$17,$D$16&gt;3,$B143&lt;=$D$16),$D$15*Resumo!$F$13,IF(AND(B143&lt;&gt;"",L143&lt;&gt;$D$17,B143&gt;$D$16),$D$15*Resumo!$F$13,0))</f>
        <v>34.369999999999997</v>
      </c>
      <c r="J143" s="38">
        <f>IF(AND(B143&lt;&gt;"",L143&lt;&gt;$D$17,$D$16&gt;3,$B143&lt;=$D$16),Resumo!$F$11,IF(AND(B143&lt;&gt;"",L143&lt;&gt;$D$17,B143&gt;$D$16),Resumo!$F$11,0))</f>
        <v>25</v>
      </c>
      <c r="K143" s="38">
        <f t="shared" ca="1" si="15"/>
        <v>2319.7837728537584</v>
      </c>
      <c r="L143" s="39" t="str">
        <f>IF(B143&lt;&gt;"",VLOOKUP(MONTH(C143),Sheet2!$F$1:$G$12,2,0),"")</f>
        <v>Agosto</v>
      </c>
      <c r="M143" s="200">
        <f t="shared" ca="1" si="21"/>
        <v>0</v>
      </c>
      <c r="N143" s="40">
        <f t="shared" ca="1" si="22"/>
        <v>2218.1161849649325</v>
      </c>
      <c r="O143" s="40">
        <f t="shared" ca="1" si="16"/>
        <v>2319.7837728537584</v>
      </c>
      <c r="P143" s="40"/>
      <c r="Q143" s="20">
        <f t="shared" ca="1" si="23"/>
        <v>834.89136490250701</v>
      </c>
      <c r="R143" s="1">
        <f t="shared" si="17"/>
        <v>3694</v>
      </c>
      <c r="S143" s="243">
        <f>IF(AND($K$2&gt;=DATEVALUE("03/04/2020"),$K$2&lt;=DATEVALUE("31/12/2020")),0,IF(Resumo!$C$19="PF",IF(R143&lt;360,0.0082%*R143,3%),IF(R143&lt;360,0.0041%*R143,1.5%)))</f>
        <v>1.4999999999999999E-2</v>
      </c>
      <c r="T143" s="172">
        <f t="shared" ca="1" si="24"/>
        <v>12.523370473537605</v>
      </c>
      <c r="X143" s="20">
        <f t="shared" ca="1" si="25"/>
        <v>2218.1161849649325</v>
      </c>
    </row>
    <row r="144" spans="2:24">
      <c r="B144" s="41">
        <f t="shared" si="18"/>
        <v>122</v>
      </c>
      <c r="C144" s="164">
        <f t="shared" si="19"/>
        <v>48472</v>
      </c>
      <c r="D144" s="42">
        <f t="shared" ca="1" si="13"/>
        <v>842.74931039701278</v>
      </c>
      <c r="E144" s="42">
        <f t="shared" ca="1" si="20"/>
        <v>1369.63617925722</v>
      </c>
      <c r="F144" s="42">
        <f t="shared" ca="1" si="14"/>
        <v>2212.3854896542325</v>
      </c>
      <c r="G144" s="42">
        <f ca="1">IF(B144&lt;=$D$16,G143*(1+$D$13)^((C144-C143)/_xlfn.DAYS(EDATE(C143,1),C143)),G143-D144)+IF(B144&lt;=$D$16,G143*Resumo!$F$12,0)+IF(B144&lt;=$D$16,$D$15*Resumo!$F$13,0)+IF(B144&lt;=$D$16,25,0)-IF(AND($D$16&gt;3,B144&lt;=$D$16),K144,0)</f>
        <v>200574.33587448829</v>
      </c>
      <c r="H144" s="42">
        <f ca="1">IF(AND(B144&lt;&gt;"",L144&lt;&gt;$D$17,$D$16&gt;3),G144*Resumo!$F$12,IF(AND(B144&lt;&gt;"",L144&lt;&gt;$D$17,B144&gt;$D$16),G144*Resumo!$F$12,0))</f>
        <v>42.120610533642541</v>
      </c>
      <c r="I144" s="42">
        <f>IF(AND(B144&lt;&gt;"",L144&lt;&gt;$D$17,$D$16&gt;3,$B144&lt;=$D$16),$D$15*Resumo!$F$13,IF(AND(B144&lt;&gt;"",L144&lt;&gt;$D$17,B144&gt;$D$16),$D$15*Resumo!$F$13,0))</f>
        <v>34.369999999999997</v>
      </c>
      <c r="J144" s="42">
        <f>IF(AND(B144&lt;&gt;"",L144&lt;&gt;$D$17,$D$16&gt;3,$B144&lt;=$D$16),Resumo!$F$11,IF(AND(B144&lt;&gt;"",L144&lt;&gt;$D$17,B144&gt;$D$16),Resumo!$F$11,0))</f>
        <v>25</v>
      </c>
      <c r="K144" s="42">
        <f t="shared" ca="1" si="15"/>
        <v>2313.8761001878747</v>
      </c>
      <c r="L144" s="39" t="str">
        <f>IF(B144&lt;&gt;"",VLOOKUP(MONTH(C144),Sheet2!$F$1:$G$12,2,0),"")</f>
        <v>Setembro</v>
      </c>
      <c r="M144" s="200">
        <f t="shared" ca="1" si="21"/>
        <v>0</v>
      </c>
      <c r="N144" s="40">
        <f t="shared" ca="1" si="22"/>
        <v>2212.3854896542325</v>
      </c>
      <c r="O144" s="40">
        <f t="shared" ca="1" si="16"/>
        <v>2313.8761001878747</v>
      </c>
      <c r="P144" s="40"/>
      <c r="Q144" s="20">
        <f t="shared" ca="1" si="23"/>
        <v>834.89136490250701</v>
      </c>
      <c r="R144" s="1">
        <f t="shared" si="17"/>
        <v>3725</v>
      </c>
      <c r="S144" s="243">
        <f>IF(AND($K$2&gt;=DATEVALUE("03/04/2020"),$K$2&lt;=DATEVALUE("31/12/2020")),0,IF(Resumo!$C$19="PF",IF(R144&lt;360,0.0082%*R144,3%),IF(R144&lt;360,0.0041%*R144,1.5%)))</f>
        <v>1.4999999999999999E-2</v>
      </c>
      <c r="T144" s="172">
        <f t="shared" ca="1" si="24"/>
        <v>12.523370473537605</v>
      </c>
      <c r="X144" s="20">
        <f t="shared" ca="1" si="25"/>
        <v>2212.3854896542325</v>
      </c>
    </row>
    <row r="145" spans="2:24">
      <c r="B145" s="37">
        <f t="shared" si="18"/>
        <v>123</v>
      </c>
      <c r="C145" s="163">
        <f t="shared" si="19"/>
        <v>48502</v>
      </c>
      <c r="D145" s="38">
        <f t="shared" ca="1" si="13"/>
        <v>842.74931039701278</v>
      </c>
      <c r="E145" s="38">
        <f t="shared" ca="1" si="20"/>
        <v>1363.9054839465202</v>
      </c>
      <c r="F145" s="38">
        <f t="shared" ca="1" si="14"/>
        <v>2206.654794343533</v>
      </c>
      <c r="G145" s="38">
        <f ca="1">IF(B145&lt;=$D$16,G144*(1+$D$13)^((C145-C144)/_xlfn.DAYS(EDATE(C144,1),C144)),G144-D145)+IF(B145&lt;=$D$16,G144*Resumo!$F$12,0)+IF(B145&lt;=$D$16,$D$15*Resumo!$F$13,0)+IF(B145&lt;=$D$16,25,0)-IF(AND($D$16&gt;3,B145&lt;=$D$16),K145,0)</f>
        <v>199731.58656409127</v>
      </c>
      <c r="H145" s="38">
        <f ca="1">IF(AND(B145&lt;&gt;"",L145&lt;&gt;$D$17,$D$16&gt;3),G145*Resumo!$F$12,IF(AND(B145&lt;&gt;"",L145&lt;&gt;$D$17,B145&gt;$D$16),G145*Resumo!$F$12,0))</f>
        <v>41.943633178459166</v>
      </c>
      <c r="I145" s="38">
        <f>IF(AND(B145&lt;&gt;"",L145&lt;&gt;$D$17,$D$16&gt;3,$B145&lt;=$D$16),$D$15*Resumo!$F$13,IF(AND(B145&lt;&gt;"",L145&lt;&gt;$D$17,B145&gt;$D$16),$D$15*Resumo!$F$13,0))</f>
        <v>34.369999999999997</v>
      </c>
      <c r="J145" s="38">
        <f>IF(AND(B145&lt;&gt;"",L145&lt;&gt;$D$17,$D$16&gt;3,$B145&lt;=$D$16),Resumo!$F$11,IF(AND(B145&lt;&gt;"",L145&lt;&gt;$D$17,B145&gt;$D$16),Resumo!$F$11,0))</f>
        <v>25</v>
      </c>
      <c r="K145" s="38">
        <f t="shared" ca="1" si="15"/>
        <v>2307.968427521992</v>
      </c>
      <c r="L145" s="39" t="str">
        <f>IF(B145&lt;&gt;"",VLOOKUP(MONTH(C145),Sheet2!$F$1:$G$12,2,0),"")</f>
        <v>Outubro</v>
      </c>
      <c r="M145" s="200">
        <f t="shared" ca="1" si="21"/>
        <v>0</v>
      </c>
      <c r="N145" s="40">
        <f t="shared" ca="1" si="22"/>
        <v>2206.654794343533</v>
      </c>
      <c r="O145" s="40">
        <f t="shared" ca="1" si="16"/>
        <v>2307.968427521992</v>
      </c>
      <c r="P145" s="40"/>
      <c r="Q145" s="20">
        <f t="shared" ca="1" si="23"/>
        <v>834.89136490250701</v>
      </c>
      <c r="R145" s="1">
        <f t="shared" si="17"/>
        <v>3755</v>
      </c>
      <c r="S145" s="243">
        <f>IF(AND($K$2&gt;=DATEVALUE("03/04/2020"),$K$2&lt;=DATEVALUE("31/12/2020")),0,IF(Resumo!$C$19="PF",IF(R145&lt;360,0.0082%*R145,3%),IF(R145&lt;360,0.0041%*R145,1.5%)))</f>
        <v>1.4999999999999999E-2</v>
      </c>
      <c r="T145" s="172">
        <f t="shared" ca="1" si="24"/>
        <v>12.523370473537605</v>
      </c>
      <c r="X145" s="20">
        <f t="shared" ca="1" si="25"/>
        <v>2206.654794343533</v>
      </c>
    </row>
    <row r="146" spans="2:24">
      <c r="B146" s="41">
        <f t="shared" si="18"/>
        <v>124</v>
      </c>
      <c r="C146" s="164">
        <f t="shared" si="19"/>
        <v>48533</v>
      </c>
      <c r="D146" s="42">
        <f t="shared" ca="1" si="13"/>
        <v>842.74931039701278</v>
      </c>
      <c r="E146" s="42">
        <f t="shared" ca="1" si="20"/>
        <v>1358.1747886358205</v>
      </c>
      <c r="F146" s="42">
        <f t="shared" ca="1" si="14"/>
        <v>2200.9240990328335</v>
      </c>
      <c r="G146" s="42">
        <f ca="1">IF(B146&lt;=$D$16,G145*(1+$D$13)^((C146-C145)/_xlfn.DAYS(EDATE(C145,1),C145)),G145-D146)+IF(B146&lt;=$D$16,G145*Resumo!$F$12,0)+IF(B146&lt;=$D$16,$D$15*Resumo!$F$13,0)+IF(B146&lt;=$D$16,25,0)-IF(AND($D$16&gt;3,B146&lt;=$D$16),K146,0)</f>
        <v>198888.83725369425</v>
      </c>
      <c r="H146" s="42">
        <f ca="1">IF(AND(B146&lt;&gt;"",L146&lt;&gt;$D$17,$D$16&gt;3),G146*Resumo!$F$12,IF(AND(B146&lt;&gt;"",L146&lt;&gt;$D$17,B146&gt;$D$16),G146*Resumo!$F$12,0))</f>
        <v>41.766655823275791</v>
      </c>
      <c r="I146" s="42">
        <f>IF(AND(B146&lt;&gt;"",L146&lt;&gt;$D$17,$D$16&gt;3,$B146&lt;=$D$16),$D$15*Resumo!$F$13,IF(AND(B146&lt;&gt;"",L146&lt;&gt;$D$17,B146&gt;$D$16),$D$15*Resumo!$F$13,0))</f>
        <v>34.369999999999997</v>
      </c>
      <c r="J146" s="42">
        <f>IF(AND(B146&lt;&gt;"",L146&lt;&gt;$D$17,$D$16&gt;3,$B146&lt;=$D$16),Resumo!$F$11,IF(AND(B146&lt;&gt;"",L146&lt;&gt;$D$17,B146&gt;$D$16),Resumo!$F$11,0))</f>
        <v>25</v>
      </c>
      <c r="K146" s="42">
        <f t="shared" ca="1" si="15"/>
        <v>2302.0607548561093</v>
      </c>
      <c r="L146" s="39" t="str">
        <f>IF(B146&lt;&gt;"",VLOOKUP(MONTH(C146),Sheet2!$F$1:$G$12,2,0),"")</f>
        <v>Novembro</v>
      </c>
      <c r="M146" s="200">
        <f t="shared" ca="1" si="21"/>
        <v>0</v>
      </c>
      <c r="N146" s="40">
        <f t="shared" ca="1" si="22"/>
        <v>2200.9240990328335</v>
      </c>
      <c r="O146" s="40">
        <f t="shared" ca="1" si="16"/>
        <v>2302.0607548561093</v>
      </c>
      <c r="P146" s="40"/>
      <c r="Q146" s="20">
        <f t="shared" ca="1" si="23"/>
        <v>834.89136490250701</v>
      </c>
      <c r="R146" s="1">
        <f t="shared" si="17"/>
        <v>3786</v>
      </c>
      <c r="S146" s="243">
        <f>IF(AND($K$2&gt;=DATEVALUE("03/04/2020"),$K$2&lt;=DATEVALUE("31/12/2020")),0,IF(Resumo!$C$19="PF",IF(R146&lt;360,0.0082%*R146,3%),IF(R146&lt;360,0.0041%*R146,1.5%)))</f>
        <v>1.4999999999999999E-2</v>
      </c>
      <c r="T146" s="172">
        <f t="shared" ca="1" si="24"/>
        <v>12.523370473537605</v>
      </c>
      <c r="X146" s="20">
        <f t="shared" ca="1" si="25"/>
        <v>2200.9240990328335</v>
      </c>
    </row>
    <row r="147" spans="2:24">
      <c r="B147" s="37">
        <f t="shared" si="18"/>
        <v>125</v>
      </c>
      <c r="C147" s="163">
        <f t="shared" si="19"/>
        <v>48563</v>
      </c>
      <c r="D147" s="38">
        <f t="shared" ca="1" si="13"/>
        <v>842.74931039701278</v>
      </c>
      <c r="E147" s="38">
        <f t="shared" ca="1" si="20"/>
        <v>1352.4440933251208</v>
      </c>
      <c r="F147" s="38">
        <f t="shared" ca="1" si="14"/>
        <v>2195.1934037221336</v>
      </c>
      <c r="G147" s="38">
        <f ca="1">IF(B147&lt;=$D$16,G146*(1+$D$13)^((C147-C146)/_xlfn.DAYS(EDATE(C146,1),C146)),G146-D147)+IF(B147&lt;=$D$16,G146*Resumo!$F$12,0)+IF(B147&lt;=$D$16,$D$15*Resumo!$F$13,0)+IF(B147&lt;=$D$16,25,0)-IF(AND($D$16&gt;3,B147&lt;=$D$16),K147,0)</f>
        <v>198046.08794329723</v>
      </c>
      <c r="H147" s="38">
        <f ca="1">IF(AND(B147&lt;&gt;"",L147&lt;&gt;$D$17,$D$16&gt;3),G147*Resumo!$F$12,IF(AND(B147&lt;&gt;"",L147&lt;&gt;$D$17,B147&gt;$D$16),G147*Resumo!$F$12,0))</f>
        <v>41.589678468092423</v>
      </c>
      <c r="I147" s="38">
        <f>IF(AND(B147&lt;&gt;"",L147&lt;&gt;$D$17,$D$16&gt;3,$B147&lt;=$D$16),$D$15*Resumo!$F$13,IF(AND(B147&lt;&gt;"",L147&lt;&gt;$D$17,B147&gt;$D$16),$D$15*Resumo!$F$13,0))</f>
        <v>34.369999999999997</v>
      </c>
      <c r="J147" s="38">
        <f>IF(AND(B147&lt;&gt;"",L147&lt;&gt;$D$17,$D$16&gt;3,$B147&lt;=$D$16),Resumo!$F$11,IF(AND(B147&lt;&gt;"",L147&lt;&gt;$D$17,B147&gt;$D$16),Resumo!$F$11,0))</f>
        <v>25</v>
      </c>
      <c r="K147" s="38">
        <f t="shared" ca="1" si="15"/>
        <v>2296.1530821902261</v>
      </c>
      <c r="L147" s="39" t="str">
        <f>IF(B147&lt;&gt;"",VLOOKUP(MONTH(C147),Sheet2!$F$1:$G$12,2,0),"")</f>
        <v>Dezembro</v>
      </c>
      <c r="M147" s="200">
        <f t="shared" ca="1" si="21"/>
        <v>0</v>
      </c>
      <c r="N147" s="40">
        <f t="shared" ca="1" si="22"/>
        <v>2195.1934037221336</v>
      </c>
      <c r="O147" s="40">
        <f t="shared" ca="1" si="16"/>
        <v>2296.1530821902261</v>
      </c>
      <c r="P147" s="40"/>
      <c r="Q147" s="20">
        <f t="shared" ca="1" si="23"/>
        <v>834.89136490250701</v>
      </c>
      <c r="R147" s="1">
        <f t="shared" si="17"/>
        <v>3816</v>
      </c>
      <c r="S147" s="243">
        <f>IF(AND($K$2&gt;=DATEVALUE("03/04/2020"),$K$2&lt;=DATEVALUE("31/12/2020")),0,IF(Resumo!$C$19="PF",IF(R147&lt;360,0.0082%*R147,3%),IF(R147&lt;360,0.0041%*R147,1.5%)))</f>
        <v>1.4999999999999999E-2</v>
      </c>
      <c r="T147" s="172">
        <f t="shared" ca="1" si="24"/>
        <v>12.523370473537605</v>
      </c>
      <c r="X147" s="20">
        <f t="shared" ca="1" si="25"/>
        <v>2195.1934037221336</v>
      </c>
    </row>
    <row r="148" spans="2:24">
      <c r="B148" s="41">
        <f t="shared" si="18"/>
        <v>126</v>
      </c>
      <c r="C148" s="164">
        <f t="shared" si="19"/>
        <v>48594</v>
      </c>
      <c r="D148" s="42">
        <f t="shared" ca="1" si="13"/>
        <v>842.74931039701278</v>
      </c>
      <c r="E148" s="42">
        <f t="shared" ca="1" si="20"/>
        <v>1346.713398014421</v>
      </c>
      <c r="F148" s="42">
        <f t="shared" ca="1" si="14"/>
        <v>2189.4627084114336</v>
      </c>
      <c r="G148" s="42">
        <f ca="1">IF(B148&lt;=$D$16,G147*(1+$D$13)^((C148-C147)/_xlfn.DAYS(EDATE(C147,1),C147)),G147-D148)+IF(B148&lt;=$D$16,G147*Resumo!$F$12,0)+IF(B148&lt;=$D$16,$D$15*Resumo!$F$13,0)+IF(B148&lt;=$D$16,25,0)-IF(AND($D$16&gt;3,B148&lt;=$D$16),K148,0)</f>
        <v>197203.33863290021</v>
      </c>
      <c r="H148" s="42">
        <f ca="1">IF(AND(B148&lt;&gt;"",L148&lt;&gt;$D$17,$D$16&gt;3),G148*Resumo!$F$12,IF(AND(B148&lt;&gt;"",L148&lt;&gt;$D$17,B148&gt;$D$16),G148*Resumo!$F$12,0))</f>
        <v>41.412701112909048</v>
      </c>
      <c r="I148" s="42">
        <f>IF(AND(B148&lt;&gt;"",L148&lt;&gt;$D$17,$D$16&gt;3,$B148&lt;=$D$16),$D$15*Resumo!$F$13,IF(AND(B148&lt;&gt;"",L148&lt;&gt;$D$17,B148&gt;$D$16),$D$15*Resumo!$F$13,0))</f>
        <v>34.369999999999997</v>
      </c>
      <c r="J148" s="42">
        <f>IF(AND(B148&lt;&gt;"",L148&lt;&gt;$D$17,$D$16&gt;3,$B148&lt;=$D$16),Resumo!$F$11,IF(AND(B148&lt;&gt;"",L148&lt;&gt;$D$17,B148&gt;$D$16),Resumo!$F$11,0))</f>
        <v>25</v>
      </c>
      <c r="K148" s="42">
        <f t="shared" ca="1" si="15"/>
        <v>2290.2454095243424</v>
      </c>
      <c r="L148" s="39" t="str">
        <f>IF(B148&lt;&gt;"",VLOOKUP(MONTH(C148),Sheet2!$F$1:$G$12,2,0),"")</f>
        <v>Janeiro</v>
      </c>
      <c r="M148" s="200">
        <f t="shared" ca="1" si="21"/>
        <v>0</v>
      </c>
      <c r="N148" s="40">
        <f t="shared" ca="1" si="22"/>
        <v>2189.4627084114336</v>
      </c>
      <c r="O148" s="40">
        <f t="shared" ca="1" si="16"/>
        <v>2290.2454095243424</v>
      </c>
      <c r="P148" s="40"/>
      <c r="Q148" s="20">
        <f t="shared" ca="1" si="23"/>
        <v>834.89136490250701</v>
      </c>
      <c r="R148" s="1">
        <f t="shared" si="17"/>
        <v>3847</v>
      </c>
      <c r="S148" s="243">
        <f>IF(AND($K$2&gt;=DATEVALUE("03/04/2020"),$K$2&lt;=DATEVALUE("31/12/2020")),0,IF(Resumo!$C$19="PF",IF(R148&lt;360,0.0082%*R148,3%),IF(R148&lt;360,0.0041%*R148,1.5%)))</f>
        <v>1.4999999999999999E-2</v>
      </c>
      <c r="T148" s="172">
        <f t="shared" ca="1" si="24"/>
        <v>12.523370473537605</v>
      </c>
      <c r="X148" s="20">
        <f t="shared" ca="1" si="25"/>
        <v>2189.4627084114336</v>
      </c>
    </row>
    <row r="149" spans="2:24">
      <c r="B149" s="37">
        <f t="shared" si="18"/>
        <v>127</v>
      </c>
      <c r="C149" s="163">
        <f t="shared" si="19"/>
        <v>48625</v>
      </c>
      <c r="D149" s="38">
        <f t="shared" ca="1" si="13"/>
        <v>842.74931039701278</v>
      </c>
      <c r="E149" s="38">
        <f t="shared" ca="1" si="20"/>
        <v>1340.9827027037213</v>
      </c>
      <c r="F149" s="38">
        <f t="shared" ca="1" si="14"/>
        <v>2183.7320131007341</v>
      </c>
      <c r="G149" s="38">
        <f ca="1">IF(B149&lt;=$D$16,G148*(1+$D$13)^((C149-C148)/_xlfn.DAYS(EDATE(C148,1),C148)),G148-D149)+IF(B149&lt;=$D$16,G148*Resumo!$F$12,0)+IF(B149&lt;=$D$16,$D$15*Resumo!$F$13,0)+IF(B149&lt;=$D$16,25,0)-IF(AND($D$16&gt;3,B149&lt;=$D$16),K149,0)</f>
        <v>196360.58932250319</v>
      </c>
      <c r="H149" s="38">
        <f ca="1">IF(AND(B149&lt;&gt;"",L149&lt;&gt;$D$17,$D$16&gt;3),G149*Resumo!$F$12,IF(AND(B149&lt;&gt;"",L149&lt;&gt;$D$17,B149&gt;$D$16),G149*Resumo!$F$12,0))</f>
        <v>41.235723757725673</v>
      </c>
      <c r="I149" s="38">
        <f>IF(AND(B149&lt;&gt;"",L149&lt;&gt;$D$17,$D$16&gt;3,$B149&lt;=$D$16),$D$15*Resumo!$F$13,IF(AND(B149&lt;&gt;"",L149&lt;&gt;$D$17,B149&gt;$D$16),$D$15*Resumo!$F$13,0))</f>
        <v>34.369999999999997</v>
      </c>
      <c r="J149" s="38">
        <f>IF(AND(B149&lt;&gt;"",L149&lt;&gt;$D$17,$D$16&gt;3,$B149&lt;=$D$16),Resumo!$F$11,IF(AND(B149&lt;&gt;"",L149&lt;&gt;$D$17,B149&gt;$D$16),Resumo!$F$11,0))</f>
        <v>25</v>
      </c>
      <c r="K149" s="38">
        <f t="shared" ca="1" si="15"/>
        <v>2284.3377368584597</v>
      </c>
      <c r="L149" s="39" t="str">
        <f>IF(B149&lt;&gt;"",VLOOKUP(MONTH(C149),Sheet2!$F$1:$G$12,2,0),"")</f>
        <v>Fevereiro</v>
      </c>
      <c r="M149" s="200">
        <f t="shared" ca="1" si="21"/>
        <v>0</v>
      </c>
      <c r="N149" s="40">
        <f t="shared" ca="1" si="22"/>
        <v>2183.7320131007341</v>
      </c>
      <c r="O149" s="40">
        <f t="shared" ca="1" si="16"/>
        <v>2284.3377368584597</v>
      </c>
      <c r="P149" s="40"/>
      <c r="Q149" s="20">
        <f t="shared" ca="1" si="23"/>
        <v>834.89136490250701</v>
      </c>
      <c r="R149" s="1">
        <f t="shared" si="17"/>
        <v>3878</v>
      </c>
      <c r="S149" s="243">
        <f>IF(AND($K$2&gt;=DATEVALUE("03/04/2020"),$K$2&lt;=DATEVALUE("31/12/2020")),0,IF(Resumo!$C$19="PF",IF(R149&lt;360,0.0082%*R149,3%),IF(R149&lt;360,0.0041%*R149,1.5%)))</f>
        <v>1.4999999999999999E-2</v>
      </c>
      <c r="T149" s="172">
        <f t="shared" ca="1" si="24"/>
        <v>12.523370473537605</v>
      </c>
      <c r="X149" s="20">
        <f t="shared" ca="1" si="25"/>
        <v>2183.7320131007341</v>
      </c>
    </row>
    <row r="150" spans="2:24">
      <c r="B150" s="41">
        <f t="shared" si="18"/>
        <v>128</v>
      </c>
      <c r="C150" s="164">
        <f t="shared" si="19"/>
        <v>48653</v>
      </c>
      <c r="D150" s="42">
        <f t="shared" ca="1" si="13"/>
        <v>842.74931039701278</v>
      </c>
      <c r="E150" s="42">
        <f t="shared" ca="1" si="20"/>
        <v>1335.2520073930216</v>
      </c>
      <c r="F150" s="42">
        <f t="shared" ca="1" si="14"/>
        <v>2178.0013177900346</v>
      </c>
      <c r="G150" s="42">
        <f ca="1">IF(B150&lt;=$D$16,G149*(1+$D$13)^((C150-C149)/_xlfn.DAYS(EDATE(C149,1),C149)),G149-D150)+IF(B150&lt;=$D$16,G149*Resumo!$F$12,0)+IF(B150&lt;=$D$16,$D$15*Resumo!$F$13,0)+IF(B150&lt;=$D$16,25,0)-IF(AND($D$16&gt;3,B150&lt;=$D$16),K150,0)</f>
        <v>195517.84001210617</v>
      </c>
      <c r="H150" s="42">
        <f ca="1">IF(AND(B150&lt;&gt;"",L150&lt;&gt;$D$17,$D$16&gt;3),G150*Resumo!$F$12,IF(AND(B150&lt;&gt;"",L150&lt;&gt;$D$17,B150&gt;$D$16),G150*Resumo!$F$12,0))</f>
        <v>41.058746402542297</v>
      </c>
      <c r="I150" s="42">
        <f>IF(AND(B150&lt;&gt;"",L150&lt;&gt;$D$17,$D$16&gt;3,$B150&lt;=$D$16),$D$15*Resumo!$F$13,IF(AND(B150&lt;&gt;"",L150&lt;&gt;$D$17,B150&gt;$D$16),$D$15*Resumo!$F$13,0))</f>
        <v>34.369999999999997</v>
      </c>
      <c r="J150" s="42">
        <f>IF(AND(B150&lt;&gt;"",L150&lt;&gt;$D$17,$D$16&gt;3,$B150&lt;=$D$16),Resumo!$F$11,IF(AND(B150&lt;&gt;"",L150&lt;&gt;$D$17,B150&gt;$D$16),Resumo!$F$11,0))</f>
        <v>25</v>
      </c>
      <c r="K150" s="42">
        <f t="shared" ca="1" si="15"/>
        <v>2278.430064192577</v>
      </c>
      <c r="L150" s="39" t="str">
        <f>IF(B150&lt;&gt;"",VLOOKUP(MONTH(C150),Sheet2!$F$1:$G$12,2,0),"")</f>
        <v>Março</v>
      </c>
      <c r="M150" s="200">
        <f t="shared" ca="1" si="21"/>
        <v>0</v>
      </c>
      <c r="N150" s="40">
        <f t="shared" ca="1" si="22"/>
        <v>2178.0013177900346</v>
      </c>
      <c r="O150" s="40">
        <f t="shared" ca="1" si="16"/>
        <v>2278.430064192577</v>
      </c>
      <c r="P150" s="40"/>
      <c r="Q150" s="20">
        <f t="shared" ca="1" si="23"/>
        <v>834.89136490250701</v>
      </c>
      <c r="R150" s="1">
        <f t="shared" si="17"/>
        <v>3906</v>
      </c>
      <c r="S150" s="243">
        <f>IF(AND($K$2&gt;=DATEVALUE("03/04/2020"),$K$2&lt;=DATEVALUE("31/12/2020")),0,IF(Resumo!$C$19="PF",IF(R150&lt;360,0.0082%*R150,3%),IF(R150&lt;360,0.0041%*R150,1.5%)))</f>
        <v>1.4999999999999999E-2</v>
      </c>
      <c r="T150" s="172">
        <f t="shared" ca="1" si="24"/>
        <v>12.523370473537605</v>
      </c>
      <c r="X150" s="20">
        <f t="shared" ca="1" si="25"/>
        <v>2178.0013177900346</v>
      </c>
    </row>
    <row r="151" spans="2:24">
      <c r="B151" s="37">
        <f t="shared" si="18"/>
        <v>129</v>
      </c>
      <c r="C151" s="163">
        <f t="shared" si="19"/>
        <v>48684</v>
      </c>
      <c r="D151" s="38">
        <f t="shared" ref="D151:D214" ca="1" si="26">IF(AND(B151&lt;&gt;"",L151&lt;&gt;$D$17,B151&gt;$D$16),VLOOKUP(IF($D$16=0,"I",$D$16),B:G,6,0)/($D$12-$E$17-$D$16),0)</f>
        <v>842.74931039701278</v>
      </c>
      <c r="E151" s="38">
        <f t="shared" ca="1" si="20"/>
        <v>1329.5213120823219</v>
      </c>
      <c r="F151" s="38">
        <f t="shared" ref="F151:F214" ca="1" si="27">D151+E151</f>
        <v>2172.2706224793346</v>
      </c>
      <c r="G151" s="38">
        <f ca="1">IF(B151&lt;=$D$16,G150*(1+$D$13)^((C151-C150)/_xlfn.DAYS(EDATE(C150,1),C150)),G150-D151)+IF(B151&lt;=$D$16,G150*Resumo!$F$12,0)+IF(B151&lt;=$D$16,$D$15*Resumo!$F$13,0)+IF(B151&lt;=$D$16,25,0)-IF(AND($D$16&gt;3,B151&lt;=$D$16),K151,0)</f>
        <v>194675.09070170915</v>
      </c>
      <c r="H151" s="38">
        <f ca="1">IF(AND(B151&lt;&gt;"",L151&lt;&gt;$D$17,$D$16&gt;3),G151*Resumo!$F$12,IF(AND(B151&lt;&gt;"",L151&lt;&gt;$D$17,B151&gt;$D$16),G151*Resumo!$F$12,0))</f>
        <v>40.881769047358922</v>
      </c>
      <c r="I151" s="38">
        <f>IF(AND(B151&lt;&gt;"",L151&lt;&gt;$D$17,$D$16&gt;3,$B151&lt;=$D$16),$D$15*Resumo!$F$13,IF(AND(B151&lt;&gt;"",L151&lt;&gt;$D$17,B151&gt;$D$16),$D$15*Resumo!$F$13,0))</f>
        <v>34.369999999999997</v>
      </c>
      <c r="J151" s="38">
        <f>IF(AND(B151&lt;&gt;"",L151&lt;&gt;$D$17,$D$16&gt;3,$B151&lt;=$D$16),Resumo!$F$11,IF(AND(B151&lt;&gt;"",L151&lt;&gt;$D$17,B151&gt;$D$16),Resumo!$F$11,0))</f>
        <v>25</v>
      </c>
      <c r="K151" s="38">
        <f t="shared" ref="K151:K214" ca="1" si="28">IF(B151&lt;&gt;"",D151+E151+H151+I151+J151,"")</f>
        <v>2272.5223915266934</v>
      </c>
      <c r="L151" s="39" t="str">
        <f>IF(B151&lt;&gt;"",VLOOKUP(MONTH(C151),Sheet2!$F$1:$G$12,2,0),"")</f>
        <v>Abril</v>
      </c>
      <c r="M151" s="200">
        <f t="shared" ca="1" si="21"/>
        <v>0</v>
      </c>
      <c r="N151" s="40">
        <f t="shared" ca="1" si="22"/>
        <v>2172.2706224793346</v>
      </c>
      <c r="O151" s="40">
        <f t="shared" ref="O151:O214" ca="1" si="29">K151</f>
        <v>2272.5223915266934</v>
      </c>
      <c r="P151" s="40"/>
      <c r="Q151" s="20">
        <f t="shared" ca="1" si="23"/>
        <v>834.89136490250701</v>
      </c>
      <c r="R151" s="1">
        <f t="shared" ref="R151:R214" si="30">IFERROR(C151-$K$2,0)</f>
        <v>3937</v>
      </c>
      <c r="S151" s="243">
        <f>IF(AND($K$2&gt;=DATEVALUE("03/04/2020"),$K$2&lt;=DATEVALUE("31/12/2020")),0,IF(Resumo!$C$19="PF",IF(R151&lt;360,0.0082%*R151,3%),IF(R151&lt;360,0.0041%*R151,1.5%)))</f>
        <v>1.4999999999999999E-2</v>
      </c>
      <c r="T151" s="172">
        <f t="shared" ca="1" si="24"/>
        <v>12.523370473537605</v>
      </c>
      <c r="X151" s="20">
        <f t="shared" ca="1" si="25"/>
        <v>2172.2706224793346</v>
      </c>
    </row>
    <row r="152" spans="2:24">
      <c r="B152" s="41">
        <f t="shared" ref="B152:B215" si="31">IF(B151&lt;$D$12,B151+1,"")</f>
        <v>130</v>
      </c>
      <c r="C152" s="164">
        <f t="shared" ref="C152:C215" si="32">IF(B152&lt;&gt;"",EDATE($C$22,B152),"")</f>
        <v>48714</v>
      </c>
      <c r="D152" s="42">
        <f t="shared" ca="1" si="26"/>
        <v>842.74931039701278</v>
      </c>
      <c r="E152" s="42">
        <f t="shared" ref="E152:E215" ca="1" si="33">IF(AND(B152&lt;&gt;"",L152&lt;&gt;$D$17,B152&lt;$D$16,$D$16&lt;4),0,IF(AND(B152&lt;&gt;"",L152&lt;&gt;$D$17,B152&lt;=$D$16,$D$16&gt;3),G151*$D$13,IF(AND(B152&lt;&gt;"",L152&lt;&gt;$D$17,B152&gt;$D$16),G151*$D$13,0)))</f>
        <v>1323.7906167716221</v>
      </c>
      <c r="F152" s="42">
        <f t="shared" ca="1" si="27"/>
        <v>2166.5399271686347</v>
      </c>
      <c r="G152" s="42">
        <f ca="1">IF(B152&lt;=$D$16,G151*(1+$D$13)^((C152-C151)/_xlfn.DAYS(EDATE(C151,1),C151)),G151-D152)+IF(B152&lt;=$D$16,G151*Resumo!$F$12,0)+IF(B152&lt;=$D$16,$D$15*Resumo!$F$13,0)+IF(B152&lt;=$D$16,25,0)-IF(AND($D$16&gt;3,B152&lt;=$D$16),K152,0)</f>
        <v>193832.34139131213</v>
      </c>
      <c r="H152" s="42">
        <f ca="1">IF(AND(B152&lt;&gt;"",L152&lt;&gt;$D$17,$D$16&gt;3),G152*Resumo!$F$12,IF(AND(B152&lt;&gt;"",L152&lt;&gt;$D$17,B152&gt;$D$16),G152*Resumo!$F$12,0))</f>
        <v>40.704791692175547</v>
      </c>
      <c r="I152" s="42">
        <f>IF(AND(B152&lt;&gt;"",L152&lt;&gt;$D$17,$D$16&gt;3,$B152&lt;=$D$16),$D$15*Resumo!$F$13,IF(AND(B152&lt;&gt;"",L152&lt;&gt;$D$17,B152&gt;$D$16),$D$15*Resumo!$F$13,0))</f>
        <v>34.369999999999997</v>
      </c>
      <c r="J152" s="42">
        <f>IF(AND(B152&lt;&gt;"",L152&lt;&gt;$D$17,$D$16&gt;3,$B152&lt;=$D$16),Resumo!$F$11,IF(AND(B152&lt;&gt;"",L152&lt;&gt;$D$17,B152&gt;$D$16),Resumo!$F$11,0))</f>
        <v>25</v>
      </c>
      <c r="K152" s="42">
        <f t="shared" ca="1" si="28"/>
        <v>2266.6147188608102</v>
      </c>
      <c r="L152" s="39" t="str">
        <f>IF(B152&lt;&gt;"",VLOOKUP(MONTH(C152),Sheet2!$F$1:$G$12,2,0),"")</f>
        <v>Maio</v>
      </c>
      <c r="M152" s="200">
        <f t="shared" ref="M152:M215" ca="1" si="34">IF(AND(M151=0,K152&gt;K151),C152,0)</f>
        <v>0</v>
      </c>
      <c r="N152" s="40">
        <f t="shared" ref="N152:N215" ca="1" si="35">D152+E152</f>
        <v>2166.5399271686347</v>
      </c>
      <c r="O152" s="40">
        <f t="shared" ca="1" si="29"/>
        <v>2266.6147188608102</v>
      </c>
      <c r="P152" s="40"/>
      <c r="Q152" s="20">
        <f t="shared" ref="Q152:Q215" ca="1" si="36">IF(D152=0,0,$G$21/($D$12-$E$17-$D$16))</f>
        <v>834.89136490250701</v>
      </c>
      <c r="R152" s="1">
        <f t="shared" si="30"/>
        <v>3967</v>
      </c>
      <c r="S152" s="243">
        <f>IF(AND($K$2&gt;=DATEVALUE("03/04/2020"),$K$2&lt;=DATEVALUE("31/12/2020")),0,IF(Resumo!$C$19="PF",IF(R152&lt;360,0.0082%*R152,3%),IF(R152&lt;360,0.0041%*R152,1.5%)))</f>
        <v>1.4999999999999999E-2</v>
      </c>
      <c r="T152" s="172">
        <f t="shared" ref="T152:T215" ca="1" si="37">S152*Q152</f>
        <v>12.523370473537605</v>
      </c>
      <c r="X152" s="20">
        <f t="shared" ref="X152:X215" ca="1" si="38">F152</f>
        <v>2166.5399271686347</v>
      </c>
    </row>
    <row r="153" spans="2:24">
      <c r="B153" s="37">
        <f t="shared" si="31"/>
        <v>131</v>
      </c>
      <c r="C153" s="163">
        <f t="shared" si="32"/>
        <v>48745</v>
      </c>
      <c r="D153" s="38">
        <f t="shared" ca="1" si="26"/>
        <v>842.74931039701278</v>
      </c>
      <c r="E153" s="38">
        <f t="shared" ca="1" si="33"/>
        <v>1318.0599214609224</v>
      </c>
      <c r="F153" s="38">
        <f t="shared" ca="1" si="27"/>
        <v>2160.8092318579352</v>
      </c>
      <c r="G153" s="38">
        <f ca="1">IF(B153&lt;=$D$16,G152*(1+$D$13)^((C153-C152)/_xlfn.DAYS(EDATE(C152,1),C152)),G152-D153)+IF(B153&lt;=$D$16,G152*Resumo!$F$12,0)+IF(B153&lt;=$D$16,$D$15*Resumo!$F$13,0)+IF(B153&lt;=$D$16,25,0)-IF(AND($D$16&gt;3,B153&lt;=$D$16),K153,0)</f>
        <v>192989.59208091511</v>
      </c>
      <c r="H153" s="38">
        <f ca="1">IF(AND(B153&lt;&gt;"",L153&lt;&gt;$D$17,$D$16&gt;3),G153*Resumo!$F$12,IF(AND(B153&lt;&gt;"",L153&lt;&gt;$D$17,B153&gt;$D$16),G153*Resumo!$F$12,0))</f>
        <v>40.527814336992172</v>
      </c>
      <c r="I153" s="38">
        <f>IF(AND(B153&lt;&gt;"",L153&lt;&gt;$D$17,$D$16&gt;3,$B153&lt;=$D$16),$D$15*Resumo!$F$13,IF(AND(B153&lt;&gt;"",L153&lt;&gt;$D$17,B153&gt;$D$16),$D$15*Resumo!$F$13,0))</f>
        <v>34.369999999999997</v>
      </c>
      <c r="J153" s="38">
        <f>IF(AND(B153&lt;&gt;"",L153&lt;&gt;$D$17,$D$16&gt;3,$B153&lt;=$D$16),Resumo!$F$11,IF(AND(B153&lt;&gt;"",L153&lt;&gt;$D$17,B153&gt;$D$16),Resumo!$F$11,0))</f>
        <v>25</v>
      </c>
      <c r="K153" s="38">
        <f t="shared" ca="1" si="28"/>
        <v>2260.7070461949274</v>
      </c>
      <c r="L153" s="39" t="str">
        <f>IF(B153&lt;&gt;"",VLOOKUP(MONTH(C153),Sheet2!$F$1:$G$12,2,0),"")</f>
        <v>Junho</v>
      </c>
      <c r="M153" s="200">
        <f t="shared" ca="1" si="34"/>
        <v>0</v>
      </c>
      <c r="N153" s="40">
        <f t="shared" ca="1" si="35"/>
        <v>2160.8092318579352</v>
      </c>
      <c r="O153" s="40">
        <f t="shared" ca="1" si="29"/>
        <v>2260.7070461949274</v>
      </c>
      <c r="P153" s="40"/>
      <c r="Q153" s="20">
        <f t="shared" ca="1" si="36"/>
        <v>834.89136490250701</v>
      </c>
      <c r="R153" s="1">
        <f t="shared" si="30"/>
        <v>3998</v>
      </c>
      <c r="S153" s="243">
        <f>IF(AND($K$2&gt;=DATEVALUE("03/04/2020"),$K$2&lt;=DATEVALUE("31/12/2020")),0,IF(Resumo!$C$19="PF",IF(R153&lt;360,0.0082%*R153,3%),IF(R153&lt;360,0.0041%*R153,1.5%)))</f>
        <v>1.4999999999999999E-2</v>
      </c>
      <c r="T153" s="172">
        <f t="shared" ca="1" si="37"/>
        <v>12.523370473537605</v>
      </c>
      <c r="X153" s="20">
        <f t="shared" ca="1" si="38"/>
        <v>2160.8092318579352</v>
      </c>
    </row>
    <row r="154" spans="2:24">
      <c r="B154" s="41">
        <f t="shared" si="31"/>
        <v>132</v>
      </c>
      <c r="C154" s="164">
        <f t="shared" si="32"/>
        <v>48775</v>
      </c>
      <c r="D154" s="42">
        <f t="shared" ca="1" si="26"/>
        <v>842.74931039701278</v>
      </c>
      <c r="E154" s="42">
        <f t="shared" ca="1" si="33"/>
        <v>1312.3292261502227</v>
      </c>
      <c r="F154" s="42">
        <f t="shared" ca="1" si="27"/>
        <v>2155.0785365472357</v>
      </c>
      <c r="G154" s="42">
        <f ca="1">IF(B154&lt;=$D$16,G153*(1+$D$13)^((C154-C153)/_xlfn.DAYS(EDATE(C153,1),C153)),G153-D154)+IF(B154&lt;=$D$16,G153*Resumo!$F$12,0)+IF(B154&lt;=$D$16,$D$15*Resumo!$F$13,0)+IF(B154&lt;=$D$16,25,0)-IF(AND($D$16&gt;3,B154&lt;=$D$16),K154,0)</f>
        <v>192146.84277051809</v>
      </c>
      <c r="H154" s="42">
        <f ca="1">IF(AND(B154&lt;&gt;"",L154&lt;&gt;$D$17,$D$16&gt;3),G154*Resumo!$F$12,IF(AND(B154&lt;&gt;"",L154&lt;&gt;$D$17,B154&gt;$D$16),G154*Resumo!$F$12,0))</f>
        <v>40.350836981808804</v>
      </c>
      <c r="I154" s="42">
        <f>IF(AND(B154&lt;&gt;"",L154&lt;&gt;$D$17,$D$16&gt;3,$B154&lt;=$D$16),$D$15*Resumo!$F$13,IF(AND(B154&lt;&gt;"",L154&lt;&gt;$D$17,B154&gt;$D$16),$D$15*Resumo!$F$13,0))</f>
        <v>34.369999999999997</v>
      </c>
      <c r="J154" s="42">
        <f>IF(AND(B154&lt;&gt;"",L154&lt;&gt;$D$17,$D$16&gt;3,$B154&lt;=$D$16),Resumo!$F$11,IF(AND(B154&lt;&gt;"",L154&lt;&gt;$D$17,B154&gt;$D$16),Resumo!$F$11,0))</f>
        <v>25</v>
      </c>
      <c r="K154" s="42">
        <f t="shared" ca="1" si="28"/>
        <v>2254.7993735290443</v>
      </c>
      <c r="L154" s="39" t="str">
        <f>IF(B154&lt;&gt;"",VLOOKUP(MONTH(C154),Sheet2!$F$1:$G$12,2,0),"")</f>
        <v>Julho</v>
      </c>
      <c r="M154" s="200">
        <f t="shared" ca="1" si="34"/>
        <v>0</v>
      </c>
      <c r="N154" s="40">
        <f t="shared" ca="1" si="35"/>
        <v>2155.0785365472357</v>
      </c>
      <c r="O154" s="40">
        <f t="shared" ca="1" si="29"/>
        <v>2254.7993735290443</v>
      </c>
      <c r="P154" s="40"/>
      <c r="Q154" s="20">
        <f t="shared" ca="1" si="36"/>
        <v>834.89136490250701</v>
      </c>
      <c r="R154" s="1">
        <f t="shared" si="30"/>
        <v>4028</v>
      </c>
      <c r="S154" s="243">
        <f>IF(AND($K$2&gt;=DATEVALUE("03/04/2020"),$K$2&lt;=DATEVALUE("31/12/2020")),0,IF(Resumo!$C$19="PF",IF(R154&lt;360,0.0082%*R154,3%),IF(R154&lt;360,0.0041%*R154,1.5%)))</f>
        <v>1.4999999999999999E-2</v>
      </c>
      <c r="T154" s="172">
        <f t="shared" ca="1" si="37"/>
        <v>12.523370473537605</v>
      </c>
      <c r="X154" s="20">
        <f t="shared" ca="1" si="38"/>
        <v>2155.0785365472357</v>
      </c>
    </row>
    <row r="155" spans="2:24">
      <c r="B155" s="37">
        <f t="shared" si="31"/>
        <v>133</v>
      </c>
      <c r="C155" s="163">
        <f t="shared" si="32"/>
        <v>48806</v>
      </c>
      <c r="D155" s="38">
        <f t="shared" ca="1" si="26"/>
        <v>842.74931039701278</v>
      </c>
      <c r="E155" s="38">
        <f t="shared" ca="1" si="33"/>
        <v>1306.5985308395229</v>
      </c>
      <c r="F155" s="38">
        <f t="shared" ca="1" si="27"/>
        <v>2149.3478412365357</v>
      </c>
      <c r="G155" s="38">
        <f ca="1">IF(B155&lt;=$D$16,G154*(1+$D$13)^((C155-C154)/_xlfn.DAYS(EDATE(C154,1),C154)),G154-D155)+IF(B155&lt;=$D$16,G154*Resumo!$F$12,0)+IF(B155&lt;=$D$16,$D$15*Resumo!$F$13,0)+IF(B155&lt;=$D$16,25,0)-IF(AND($D$16&gt;3,B155&lt;=$D$16),K155,0)</f>
        <v>191304.09346012108</v>
      </c>
      <c r="H155" s="38">
        <f ca="1">IF(AND(B155&lt;&gt;"",L155&lt;&gt;$D$17,$D$16&gt;3),G155*Resumo!$F$12,IF(AND(B155&lt;&gt;"",L155&lt;&gt;$D$17,B155&gt;$D$16),G155*Resumo!$F$12,0))</f>
        <v>40.173859626625429</v>
      </c>
      <c r="I155" s="38">
        <f>IF(AND(B155&lt;&gt;"",L155&lt;&gt;$D$17,$D$16&gt;3,$B155&lt;=$D$16),$D$15*Resumo!$F$13,IF(AND(B155&lt;&gt;"",L155&lt;&gt;$D$17,B155&gt;$D$16),$D$15*Resumo!$F$13,0))</f>
        <v>34.369999999999997</v>
      </c>
      <c r="J155" s="38">
        <f>IF(AND(B155&lt;&gt;"",L155&lt;&gt;$D$17,$D$16&gt;3,$B155&lt;=$D$16),Resumo!$F$11,IF(AND(B155&lt;&gt;"",L155&lt;&gt;$D$17,B155&gt;$D$16),Resumo!$F$11,0))</f>
        <v>25</v>
      </c>
      <c r="K155" s="38">
        <f t="shared" ca="1" si="28"/>
        <v>2248.8917008631611</v>
      </c>
      <c r="L155" s="39" t="str">
        <f>IF(B155&lt;&gt;"",VLOOKUP(MONTH(C155),Sheet2!$F$1:$G$12,2,0),"")</f>
        <v>Agosto</v>
      </c>
      <c r="M155" s="200">
        <f t="shared" ca="1" si="34"/>
        <v>0</v>
      </c>
      <c r="N155" s="40">
        <f t="shared" ca="1" si="35"/>
        <v>2149.3478412365357</v>
      </c>
      <c r="O155" s="40">
        <f t="shared" ca="1" si="29"/>
        <v>2248.8917008631611</v>
      </c>
      <c r="P155" s="40"/>
      <c r="Q155" s="20">
        <f t="shared" ca="1" si="36"/>
        <v>834.89136490250701</v>
      </c>
      <c r="R155" s="1">
        <f t="shared" si="30"/>
        <v>4059</v>
      </c>
      <c r="S155" s="243">
        <f>IF(AND($K$2&gt;=DATEVALUE("03/04/2020"),$K$2&lt;=DATEVALUE("31/12/2020")),0,IF(Resumo!$C$19="PF",IF(R155&lt;360,0.0082%*R155,3%),IF(R155&lt;360,0.0041%*R155,1.5%)))</f>
        <v>1.4999999999999999E-2</v>
      </c>
      <c r="T155" s="172">
        <f t="shared" ca="1" si="37"/>
        <v>12.523370473537605</v>
      </c>
      <c r="X155" s="20">
        <f t="shared" ca="1" si="38"/>
        <v>2149.3478412365357</v>
      </c>
    </row>
    <row r="156" spans="2:24">
      <c r="B156" s="41">
        <f t="shared" si="31"/>
        <v>134</v>
      </c>
      <c r="C156" s="164">
        <f t="shared" si="32"/>
        <v>48837</v>
      </c>
      <c r="D156" s="42">
        <f t="shared" ca="1" si="26"/>
        <v>842.74931039701278</v>
      </c>
      <c r="E156" s="42">
        <f t="shared" ca="1" si="33"/>
        <v>1300.8678355288232</v>
      </c>
      <c r="F156" s="42">
        <f t="shared" ca="1" si="27"/>
        <v>2143.6171459258358</v>
      </c>
      <c r="G156" s="42">
        <f ca="1">IF(B156&lt;=$D$16,G155*(1+$D$13)^((C156-C155)/_xlfn.DAYS(EDATE(C155,1),C155)),G155-D156)+IF(B156&lt;=$D$16,G155*Resumo!$F$12,0)+IF(B156&lt;=$D$16,$D$15*Resumo!$F$13,0)+IF(B156&lt;=$D$16,25,0)-IF(AND($D$16&gt;3,B156&lt;=$D$16),K156,0)</f>
        <v>190461.34414972406</v>
      </c>
      <c r="H156" s="42">
        <f ca="1">IF(AND(B156&lt;&gt;"",L156&lt;&gt;$D$17,$D$16&gt;3),G156*Resumo!$F$12,IF(AND(B156&lt;&gt;"",L156&lt;&gt;$D$17,B156&gt;$D$16),G156*Resumo!$F$12,0))</f>
        <v>39.996882271442054</v>
      </c>
      <c r="I156" s="42">
        <f>IF(AND(B156&lt;&gt;"",L156&lt;&gt;$D$17,$D$16&gt;3,$B156&lt;=$D$16),$D$15*Resumo!$F$13,IF(AND(B156&lt;&gt;"",L156&lt;&gt;$D$17,B156&gt;$D$16),$D$15*Resumo!$F$13,0))</f>
        <v>34.369999999999997</v>
      </c>
      <c r="J156" s="42">
        <f>IF(AND(B156&lt;&gt;"",L156&lt;&gt;$D$17,$D$16&gt;3,$B156&lt;=$D$16),Resumo!$F$11,IF(AND(B156&lt;&gt;"",L156&lt;&gt;$D$17,B156&gt;$D$16),Resumo!$F$11,0))</f>
        <v>25</v>
      </c>
      <c r="K156" s="42">
        <f t="shared" ca="1" si="28"/>
        <v>2242.9840281972779</v>
      </c>
      <c r="L156" s="39" t="str">
        <f>IF(B156&lt;&gt;"",VLOOKUP(MONTH(C156),Sheet2!$F$1:$G$12,2,0),"")</f>
        <v>Setembro</v>
      </c>
      <c r="M156" s="200">
        <f t="shared" ca="1" si="34"/>
        <v>0</v>
      </c>
      <c r="N156" s="40">
        <f t="shared" ca="1" si="35"/>
        <v>2143.6171459258358</v>
      </c>
      <c r="O156" s="40">
        <f t="shared" ca="1" si="29"/>
        <v>2242.9840281972779</v>
      </c>
      <c r="P156" s="40"/>
      <c r="Q156" s="20">
        <f t="shared" ca="1" si="36"/>
        <v>834.89136490250701</v>
      </c>
      <c r="R156" s="1">
        <f t="shared" si="30"/>
        <v>4090</v>
      </c>
      <c r="S156" s="243">
        <f>IF(AND($K$2&gt;=DATEVALUE("03/04/2020"),$K$2&lt;=DATEVALUE("31/12/2020")),0,IF(Resumo!$C$19="PF",IF(R156&lt;360,0.0082%*R156,3%),IF(R156&lt;360,0.0041%*R156,1.5%)))</f>
        <v>1.4999999999999999E-2</v>
      </c>
      <c r="T156" s="172">
        <f t="shared" ca="1" si="37"/>
        <v>12.523370473537605</v>
      </c>
      <c r="X156" s="20">
        <f t="shared" ca="1" si="38"/>
        <v>2143.6171459258358</v>
      </c>
    </row>
    <row r="157" spans="2:24">
      <c r="B157" s="37">
        <f t="shared" si="31"/>
        <v>135</v>
      </c>
      <c r="C157" s="163">
        <f t="shared" si="32"/>
        <v>48867</v>
      </c>
      <c r="D157" s="38">
        <f t="shared" ca="1" si="26"/>
        <v>842.74931039701278</v>
      </c>
      <c r="E157" s="38">
        <f t="shared" ca="1" si="33"/>
        <v>1295.1371402181235</v>
      </c>
      <c r="F157" s="38">
        <f t="shared" ca="1" si="27"/>
        <v>2137.8864506151363</v>
      </c>
      <c r="G157" s="38">
        <f ca="1">IF(B157&lt;=$D$16,G156*(1+$D$13)^((C157-C156)/_xlfn.DAYS(EDATE(C156,1),C156)),G156-D157)+IF(B157&lt;=$D$16,G156*Resumo!$F$12,0)+IF(B157&lt;=$D$16,$D$15*Resumo!$F$13,0)+IF(B157&lt;=$D$16,25,0)-IF(AND($D$16&gt;3,B157&lt;=$D$16),K157,0)</f>
        <v>189618.59483932704</v>
      </c>
      <c r="H157" s="38">
        <f ca="1">IF(AND(B157&lt;&gt;"",L157&lt;&gt;$D$17,$D$16&gt;3),G157*Resumo!$F$12,IF(AND(B157&lt;&gt;"",L157&lt;&gt;$D$17,B157&gt;$D$16),G157*Resumo!$F$12,0))</f>
        <v>39.819904916258679</v>
      </c>
      <c r="I157" s="38">
        <f>IF(AND(B157&lt;&gt;"",L157&lt;&gt;$D$17,$D$16&gt;3,$B157&lt;=$D$16),$D$15*Resumo!$F$13,IF(AND(B157&lt;&gt;"",L157&lt;&gt;$D$17,B157&gt;$D$16),$D$15*Resumo!$F$13,0))</f>
        <v>34.369999999999997</v>
      </c>
      <c r="J157" s="38">
        <f>IF(AND(B157&lt;&gt;"",L157&lt;&gt;$D$17,$D$16&gt;3,$B157&lt;=$D$16),Resumo!$F$11,IF(AND(B157&lt;&gt;"",L157&lt;&gt;$D$17,B157&gt;$D$16),Resumo!$F$11,0))</f>
        <v>25</v>
      </c>
      <c r="K157" s="38">
        <f t="shared" ca="1" si="28"/>
        <v>2237.0763555313947</v>
      </c>
      <c r="L157" s="39" t="str">
        <f>IF(B157&lt;&gt;"",VLOOKUP(MONTH(C157),Sheet2!$F$1:$G$12,2,0),"")</f>
        <v>Outubro</v>
      </c>
      <c r="M157" s="200">
        <f t="shared" ca="1" si="34"/>
        <v>0</v>
      </c>
      <c r="N157" s="40">
        <f t="shared" ca="1" si="35"/>
        <v>2137.8864506151363</v>
      </c>
      <c r="O157" s="40">
        <f t="shared" ca="1" si="29"/>
        <v>2237.0763555313947</v>
      </c>
      <c r="P157" s="40"/>
      <c r="Q157" s="20">
        <f t="shared" ca="1" si="36"/>
        <v>834.89136490250701</v>
      </c>
      <c r="R157" s="1">
        <f t="shared" si="30"/>
        <v>4120</v>
      </c>
      <c r="S157" s="243">
        <f>IF(AND($K$2&gt;=DATEVALUE("03/04/2020"),$K$2&lt;=DATEVALUE("31/12/2020")),0,IF(Resumo!$C$19="PF",IF(R157&lt;360,0.0082%*R157,3%),IF(R157&lt;360,0.0041%*R157,1.5%)))</f>
        <v>1.4999999999999999E-2</v>
      </c>
      <c r="T157" s="172">
        <f t="shared" ca="1" si="37"/>
        <v>12.523370473537605</v>
      </c>
      <c r="X157" s="20">
        <f t="shared" ca="1" si="38"/>
        <v>2137.8864506151363</v>
      </c>
    </row>
    <row r="158" spans="2:24">
      <c r="B158" s="41">
        <f t="shared" si="31"/>
        <v>136</v>
      </c>
      <c r="C158" s="164">
        <f t="shared" si="32"/>
        <v>48898</v>
      </c>
      <c r="D158" s="42">
        <f t="shared" ca="1" si="26"/>
        <v>842.74931039701278</v>
      </c>
      <c r="E158" s="42">
        <f t="shared" ca="1" si="33"/>
        <v>1289.4064449074237</v>
      </c>
      <c r="F158" s="42">
        <f t="shared" ca="1" si="27"/>
        <v>2132.1557553044368</v>
      </c>
      <c r="G158" s="42">
        <f ca="1">IF(B158&lt;=$D$16,G157*(1+$D$13)^((C158-C157)/_xlfn.DAYS(EDATE(C157,1),C157)),G157-D158)+IF(B158&lt;=$D$16,G157*Resumo!$F$12,0)+IF(B158&lt;=$D$16,$D$15*Resumo!$F$13,0)+IF(B158&lt;=$D$16,25,0)-IF(AND($D$16&gt;3,B158&lt;=$D$16),K158,0)</f>
        <v>188775.84552893002</v>
      </c>
      <c r="H158" s="42">
        <f ca="1">IF(AND(B158&lt;&gt;"",L158&lt;&gt;$D$17,$D$16&gt;3),G158*Resumo!$F$12,IF(AND(B158&lt;&gt;"",L158&lt;&gt;$D$17,B158&gt;$D$16),G158*Resumo!$F$12,0))</f>
        <v>39.642927561075304</v>
      </c>
      <c r="I158" s="42">
        <f>IF(AND(B158&lt;&gt;"",L158&lt;&gt;$D$17,$D$16&gt;3,$B158&lt;=$D$16),$D$15*Resumo!$F$13,IF(AND(B158&lt;&gt;"",L158&lt;&gt;$D$17,B158&gt;$D$16),$D$15*Resumo!$F$13,0))</f>
        <v>34.369999999999997</v>
      </c>
      <c r="J158" s="42">
        <f>IF(AND(B158&lt;&gt;"",L158&lt;&gt;$D$17,$D$16&gt;3,$B158&lt;=$D$16),Resumo!$F$11,IF(AND(B158&lt;&gt;"",L158&lt;&gt;$D$17,B158&gt;$D$16),Resumo!$F$11,0))</f>
        <v>25</v>
      </c>
      <c r="K158" s="42">
        <f t="shared" ca="1" si="28"/>
        <v>2231.168682865512</v>
      </c>
      <c r="L158" s="39" t="str">
        <f>IF(B158&lt;&gt;"",VLOOKUP(MONTH(C158),Sheet2!$F$1:$G$12,2,0),"")</f>
        <v>Novembro</v>
      </c>
      <c r="M158" s="200">
        <f t="shared" ca="1" si="34"/>
        <v>0</v>
      </c>
      <c r="N158" s="40">
        <f t="shared" ca="1" si="35"/>
        <v>2132.1557553044368</v>
      </c>
      <c r="O158" s="40">
        <f t="shared" ca="1" si="29"/>
        <v>2231.168682865512</v>
      </c>
      <c r="P158" s="40"/>
      <c r="Q158" s="20">
        <f t="shared" ca="1" si="36"/>
        <v>834.89136490250701</v>
      </c>
      <c r="R158" s="1">
        <f t="shared" si="30"/>
        <v>4151</v>
      </c>
      <c r="S158" s="243">
        <f>IF(AND($K$2&gt;=DATEVALUE("03/04/2020"),$K$2&lt;=DATEVALUE("31/12/2020")),0,IF(Resumo!$C$19="PF",IF(R158&lt;360,0.0082%*R158,3%),IF(R158&lt;360,0.0041%*R158,1.5%)))</f>
        <v>1.4999999999999999E-2</v>
      </c>
      <c r="T158" s="172">
        <f t="shared" ca="1" si="37"/>
        <v>12.523370473537605</v>
      </c>
      <c r="X158" s="20">
        <f t="shared" ca="1" si="38"/>
        <v>2132.1557553044368</v>
      </c>
    </row>
    <row r="159" spans="2:24">
      <c r="B159" s="37">
        <f t="shared" si="31"/>
        <v>137</v>
      </c>
      <c r="C159" s="163">
        <f t="shared" si="32"/>
        <v>48928</v>
      </c>
      <c r="D159" s="38">
        <f t="shared" ca="1" si="26"/>
        <v>842.74931039701278</v>
      </c>
      <c r="E159" s="38">
        <f t="shared" ca="1" si="33"/>
        <v>1283.675749596724</v>
      </c>
      <c r="F159" s="38">
        <f t="shared" ca="1" si="27"/>
        <v>2126.4250599937368</v>
      </c>
      <c r="G159" s="38">
        <f ca="1">IF(B159&lt;=$D$16,G158*(1+$D$13)^((C159-C158)/_xlfn.DAYS(EDATE(C158,1),C158)),G158-D159)+IF(B159&lt;=$D$16,G158*Resumo!$F$12,0)+IF(B159&lt;=$D$16,$D$15*Resumo!$F$13,0)+IF(B159&lt;=$D$16,25,0)-IF(AND($D$16&gt;3,B159&lt;=$D$16),K159,0)</f>
        <v>187933.096218533</v>
      </c>
      <c r="H159" s="38">
        <f ca="1">IF(AND(B159&lt;&gt;"",L159&lt;&gt;$D$17,$D$16&gt;3),G159*Resumo!$F$12,IF(AND(B159&lt;&gt;"",L159&lt;&gt;$D$17,B159&gt;$D$16),G159*Resumo!$F$12,0))</f>
        <v>39.465950205891929</v>
      </c>
      <c r="I159" s="38">
        <f>IF(AND(B159&lt;&gt;"",L159&lt;&gt;$D$17,$D$16&gt;3,$B159&lt;=$D$16),$D$15*Resumo!$F$13,IF(AND(B159&lt;&gt;"",L159&lt;&gt;$D$17,B159&gt;$D$16),$D$15*Resumo!$F$13,0))</f>
        <v>34.369999999999997</v>
      </c>
      <c r="J159" s="38">
        <f>IF(AND(B159&lt;&gt;"",L159&lt;&gt;$D$17,$D$16&gt;3,$B159&lt;=$D$16),Resumo!$F$11,IF(AND(B159&lt;&gt;"",L159&lt;&gt;$D$17,B159&gt;$D$16),Resumo!$F$11,0))</f>
        <v>25</v>
      </c>
      <c r="K159" s="38">
        <f t="shared" ca="1" si="28"/>
        <v>2225.2610101996288</v>
      </c>
      <c r="L159" s="39" t="str">
        <f>IF(B159&lt;&gt;"",VLOOKUP(MONTH(C159),Sheet2!$F$1:$G$12,2,0),"")</f>
        <v>Dezembro</v>
      </c>
      <c r="M159" s="200">
        <f t="shared" ca="1" si="34"/>
        <v>0</v>
      </c>
      <c r="N159" s="40">
        <f t="shared" ca="1" si="35"/>
        <v>2126.4250599937368</v>
      </c>
      <c r="O159" s="40">
        <f t="shared" ca="1" si="29"/>
        <v>2225.2610101996288</v>
      </c>
      <c r="P159" s="40"/>
      <c r="Q159" s="20">
        <f t="shared" ca="1" si="36"/>
        <v>834.89136490250701</v>
      </c>
      <c r="R159" s="1">
        <f t="shared" si="30"/>
        <v>4181</v>
      </c>
      <c r="S159" s="243">
        <f>IF(AND($K$2&gt;=DATEVALUE("03/04/2020"),$K$2&lt;=DATEVALUE("31/12/2020")),0,IF(Resumo!$C$19="PF",IF(R159&lt;360,0.0082%*R159,3%),IF(R159&lt;360,0.0041%*R159,1.5%)))</f>
        <v>1.4999999999999999E-2</v>
      </c>
      <c r="T159" s="172">
        <f t="shared" ca="1" si="37"/>
        <v>12.523370473537605</v>
      </c>
      <c r="X159" s="20">
        <f t="shared" ca="1" si="38"/>
        <v>2126.4250599937368</v>
      </c>
    </row>
    <row r="160" spans="2:24">
      <c r="B160" s="41">
        <f t="shared" si="31"/>
        <v>138</v>
      </c>
      <c r="C160" s="164">
        <f t="shared" si="32"/>
        <v>48959</v>
      </c>
      <c r="D160" s="42">
        <f t="shared" ca="1" si="26"/>
        <v>842.74931039701278</v>
      </c>
      <c r="E160" s="42">
        <f t="shared" ca="1" si="33"/>
        <v>1277.9450542860243</v>
      </c>
      <c r="F160" s="42">
        <f t="shared" ca="1" si="27"/>
        <v>2120.6943646830368</v>
      </c>
      <c r="G160" s="42">
        <f ca="1">IF(B160&lt;=$D$16,G159*(1+$D$13)^((C160-C159)/_xlfn.DAYS(EDATE(C159,1),C159)),G159-D160)+IF(B160&lt;=$D$16,G159*Resumo!$F$12,0)+IF(B160&lt;=$D$16,$D$15*Resumo!$F$13,0)+IF(B160&lt;=$D$16,25,0)-IF(AND($D$16&gt;3,B160&lt;=$D$16),K160,0)</f>
        <v>187090.34690813598</v>
      </c>
      <c r="H160" s="42">
        <f ca="1">IF(AND(B160&lt;&gt;"",L160&lt;&gt;$D$17,$D$16&gt;3),G160*Resumo!$F$12,IF(AND(B160&lt;&gt;"",L160&lt;&gt;$D$17,B160&gt;$D$16),G160*Resumo!$F$12,0))</f>
        <v>39.288972850708561</v>
      </c>
      <c r="I160" s="42">
        <f>IF(AND(B160&lt;&gt;"",L160&lt;&gt;$D$17,$D$16&gt;3,$B160&lt;=$D$16),$D$15*Resumo!$F$13,IF(AND(B160&lt;&gt;"",L160&lt;&gt;$D$17,B160&gt;$D$16),$D$15*Resumo!$F$13,0))</f>
        <v>34.369999999999997</v>
      </c>
      <c r="J160" s="42">
        <f>IF(AND(B160&lt;&gt;"",L160&lt;&gt;$D$17,$D$16&gt;3,$B160&lt;=$D$16),Resumo!$F$11,IF(AND(B160&lt;&gt;"",L160&lt;&gt;$D$17,B160&gt;$D$16),Resumo!$F$11,0))</f>
        <v>25</v>
      </c>
      <c r="K160" s="42">
        <f t="shared" ca="1" si="28"/>
        <v>2219.3533375337452</v>
      </c>
      <c r="L160" s="39" t="str">
        <f>IF(B160&lt;&gt;"",VLOOKUP(MONTH(C160),Sheet2!$F$1:$G$12,2,0),"")</f>
        <v>Janeiro</v>
      </c>
      <c r="M160" s="200">
        <f t="shared" ca="1" si="34"/>
        <v>0</v>
      </c>
      <c r="N160" s="40">
        <f t="shared" ca="1" si="35"/>
        <v>2120.6943646830368</v>
      </c>
      <c r="O160" s="40">
        <f t="shared" ca="1" si="29"/>
        <v>2219.3533375337452</v>
      </c>
      <c r="P160" s="40"/>
      <c r="Q160" s="20">
        <f t="shared" ca="1" si="36"/>
        <v>834.89136490250701</v>
      </c>
      <c r="R160" s="1">
        <f t="shared" si="30"/>
        <v>4212</v>
      </c>
      <c r="S160" s="243">
        <f>IF(AND($K$2&gt;=DATEVALUE("03/04/2020"),$K$2&lt;=DATEVALUE("31/12/2020")),0,IF(Resumo!$C$19="PF",IF(R160&lt;360,0.0082%*R160,3%),IF(R160&lt;360,0.0041%*R160,1.5%)))</f>
        <v>1.4999999999999999E-2</v>
      </c>
      <c r="T160" s="172">
        <f t="shared" ca="1" si="37"/>
        <v>12.523370473537605</v>
      </c>
      <c r="X160" s="20">
        <f t="shared" ca="1" si="38"/>
        <v>2120.6943646830368</v>
      </c>
    </row>
    <row r="161" spans="2:24">
      <c r="B161" s="37">
        <f t="shared" si="31"/>
        <v>139</v>
      </c>
      <c r="C161" s="163">
        <f t="shared" si="32"/>
        <v>48990</v>
      </c>
      <c r="D161" s="38">
        <f t="shared" ca="1" si="26"/>
        <v>842.74931039701278</v>
      </c>
      <c r="E161" s="38">
        <f t="shared" ca="1" si="33"/>
        <v>1272.2143589753246</v>
      </c>
      <c r="F161" s="38">
        <f t="shared" ca="1" si="27"/>
        <v>2114.9636693723373</v>
      </c>
      <c r="G161" s="38">
        <f ca="1">IF(B161&lt;=$D$16,G160*(1+$D$13)^((C161-C160)/_xlfn.DAYS(EDATE(C160,1),C160)),G160-D161)+IF(B161&lt;=$D$16,G160*Resumo!$F$12,0)+IF(B161&lt;=$D$16,$D$15*Resumo!$F$13,0)+IF(B161&lt;=$D$16,25,0)-IF(AND($D$16&gt;3,B161&lt;=$D$16),K161,0)</f>
        <v>186247.59759773896</v>
      </c>
      <c r="H161" s="38">
        <f ca="1">IF(AND(B161&lt;&gt;"",L161&lt;&gt;$D$17,$D$16&gt;3),G161*Resumo!$F$12,IF(AND(B161&lt;&gt;"",L161&lt;&gt;$D$17,B161&gt;$D$16),G161*Resumo!$F$12,0))</f>
        <v>39.111995495525186</v>
      </c>
      <c r="I161" s="38">
        <f>IF(AND(B161&lt;&gt;"",L161&lt;&gt;$D$17,$D$16&gt;3,$B161&lt;=$D$16),$D$15*Resumo!$F$13,IF(AND(B161&lt;&gt;"",L161&lt;&gt;$D$17,B161&gt;$D$16),$D$15*Resumo!$F$13,0))</f>
        <v>34.369999999999997</v>
      </c>
      <c r="J161" s="38">
        <f>IF(AND(B161&lt;&gt;"",L161&lt;&gt;$D$17,$D$16&gt;3,$B161&lt;=$D$16),Resumo!$F$11,IF(AND(B161&lt;&gt;"",L161&lt;&gt;$D$17,B161&gt;$D$16),Resumo!$F$11,0))</f>
        <v>25</v>
      </c>
      <c r="K161" s="38">
        <f t="shared" ca="1" si="28"/>
        <v>2213.4456648678624</v>
      </c>
      <c r="L161" s="39" t="str">
        <f>IF(B161&lt;&gt;"",VLOOKUP(MONTH(C161),Sheet2!$F$1:$G$12,2,0),"")</f>
        <v>Fevereiro</v>
      </c>
      <c r="M161" s="200">
        <f t="shared" ca="1" si="34"/>
        <v>0</v>
      </c>
      <c r="N161" s="40">
        <f t="shared" ca="1" si="35"/>
        <v>2114.9636693723373</v>
      </c>
      <c r="O161" s="40">
        <f t="shared" ca="1" si="29"/>
        <v>2213.4456648678624</v>
      </c>
      <c r="P161" s="40"/>
      <c r="Q161" s="20">
        <f t="shared" ca="1" si="36"/>
        <v>834.89136490250701</v>
      </c>
      <c r="R161" s="1">
        <f t="shared" si="30"/>
        <v>4243</v>
      </c>
      <c r="S161" s="243">
        <f>IF(AND($K$2&gt;=DATEVALUE("03/04/2020"),$K$2&lt;=DATEVALUE("31/12/2020")),0,IF(Resumo!$C$19="PF",IF(R161&lt;360,0.0082%*R161,3%),IF(R161&lt;360,0.0041%*R161,1.5%)))</f>
        <v>1.4999999999999999E-2</v>
      </c>
      <c r="T161" s="172">
        <f t="shared" ca="1" si="37"/>
        <v>12.523370473537605</v>
      </c>
      <c r="X161" s="20">
        <f t="shared" ca="1" si="38"/>
        <v>2114.9636693723373</v>
      </c>
    </row>
    <row r="162" spans="2:24">
      <c r="B162" s="41">
        <f t="shared" si="31"/>
        <v>140</v>
      </c>
      <c r="C162" s="164">
        <f t="shared" si="32"/>
        <v>49018</v>
      </c>
      <c r="D162" s="42">
        <f t="shared" ca="1" si="26"/>
        <v>842.74931039701278</v>
      </c>
      <c r="E162" s="42">
        <f t="shared" ca="1" si="33"/>
        <v>1266.4836636646248</v>
      </c>
      <c r="F162" s="42">
        <f t="shared" ca="1" si="27"/>
        <v>2109.2329740616378</v>
      </c>
      <c r="G162" s="42">
        <f ca="1">IF(B162&lt;=$D$16,G161*(1+$D$13)^((C162-C161)/_xlfn.DAYS(EDATE(C161,1),C161)),G161-D162)+IF(B162&lt;=$D$16,G161*Resumo!$F$12,0)+IF(B162&lt;=$D$16,$D$15*Resumo!$F$13,0)+IF(B162&lt;=$D$16,25,0)-IF(AND($D$16&gt;3,B162&lt;=$D$16),K162,0)</f>
        <v>185404.84828734194</v>
      </c>
      <c r="H162" s="42">
        <f ca="1">IF(AND(B162&lt;&gt;"",L162&lt;&gt;$D$17,$D$16&gt;3),G162*Resumo!$F$12,IF(AND(B162&lt;&gt;"",L162&lt;&gt;$D$17,B162&gt;$D$16),G162*Resumo!$F$12,0))</f>
        <v>38.935018140341811</v>
      </c>
      <c r="I162" s="42">
        <f>IF(AND(B162&lt;&gt;"",L162&lt;&gt;$D$17,$D$16&gt;3,$B162&lt;=$D$16),$D$15*Resumo!$F$13,IF(AND(B162&lt;&gt;"",L162&lt;&gt;$D$17,B162&gt;$D$16),$D$15*Resumo!$F$13,0))</f>
        <v>34.369999999999997</v>
      </c>
      <c r="J162" s="42">
        <f>IF(AND(B162&lt;&gt;"",L162&lt;&gt;$D$17,$D$16&gt;3,$B162&lt;=$D$16),Resumo!$F$11,IF(AND(B162&lt;&gt;"",L162&lt;&gt;$D$17,B162&gt;$D$16),Resumo!$F$11,0))</f>
        <v>25</v>
      </c>
      <c r="K162" s="42">
        <f t="shared" ca="1" si="28"/>
        <v>2207.5379922019797</v>
      </c>
      <c r="L162" s="39" t="str">
        <f>IF(B162&lt;&gt;"",VLOOKUP(MONTH(C162),Sheet2!$F$1:$G$12,2,0),"")</f>
        <v>Março</v>
      </c>
      <c r="M162" s="200">
        <f t="shared" ca="1" si="34"/>
        <v>0</v>
      </c>
      <c r="N162" s="40">
        <f t="shared" ca="1" si="35"/>
        <v>2109.2329740616378</v>
      </c>
      <c r="O162" s="40">
        <f t="shared" ca="1" si="29"/>
        <v>2207.5379922019797</v>
      </c>
      <c r="P162" s="40"/>
      <c r="Q162" s="20">
        <f t="shared" ca="1" si="36"/>
        <v>834.89136490250701</v>
      </c>
      <c r="R162" s="1">
        <f t="shared" si="30"/>
        <v>4271</v>
      </c>
      <c r="S162" s="243">
        <f>IF(AND($K$2&gt;=DATEVALUE("03/04/2020"),$K$2&lt;=DATEVALUE("31/12/2020")),0,IF(Resumo!$C$19="PF",IF(R162&lt;360,0.0082%*R162,3%),IF(R162&lt;360,0.0041%*R162,1.5%)))</f>
        <v>1.4999999999999999E-2</v>
      </c>
      <c r="T162" s="172">
        <f t="shared" ca="1" si="37"/>
        <v>12.523370473537605</v>
      </c>
      <c r="X162" s="20">
        <f t="shared" ca="1" si="38"/>
        <v>2109.2329740616378</v>
      </c>
    </row>
    <row r="163" spans="2:24">
      <c r="B163" s="37">
        <f t="shared" si="31"/>
        <v>141</v>
      </c>
      <c r="C163" s="163">
        <f t="shared" si="32"/>
        <v>49049</v>
      </c>
      <c r="D163" s="38">
        <f t="shared" ca="1" si="26"/>
        <v>842.74931039701278</v>
      </c>
      <c r="E163" s="38">
        <f t="shared" ca="1" si="33"/>
        <v>1260.7529683539251</v>
      </c>
      <c r="F163" s="38">
        <f t="shared" ca="1" si="27"/>
        <v>2103.5022787509379</v>
      </c>
      <c r="G163" s="38">
        <f ca="1">IF(B163&lt;=$D$16,G162*(1+$D$13)^((C163-C162)/_xlfn.DAYS(EDATE(C162,1),C162)),G162-D163)+IF(B163&lt;=$D$16,G162*Resumo!$F$12,0)+IF(B163&lt;=$D$16,$D$15*Resumo!$F$13,0)+IF(B163&lt;=$D$16,25,0)-IF(AND($D$16&gt;3,B163&lt;=$D$16),K163,0)</f>
        <v>184562.09897694492</v>
      </c>
      <c r="H163" s="38">
        <f ca="1">IF(AND(B163&lt;&gt;"",L163&lt;&gt;$D$17,$D$16&gt;3),G163*Resumo!$F$12,IF(AND(B163&lt;&gt;"",L163&lt;&gt;$D$17,B163&gt;$D$16),G163*Resumo!$F$12,0))</f>
        <v>38.758040785158435</v>
      </c>
      <c r="I163" s="38">
        <f>IF(AND(B163&lt;&gt;"",L163&lt;&gt;$D$17,$D$16&gt;3,$B163&lt;=$D$16),$D$15*Resumo!$F$13,IF(AND(B163&lt;&gt;"",L163&lt;&gt;$D$17,B163&gt;$D$16),$D$15*Resumo!$F$13,0))</f>
        <v>34.369999999999997</v>
      </c>
      <c r="J163" s="38">
        <f>IF(AND(B163&lt;&gt;"",L163&lt;&gt;$D$17,$D$16&gt;3,$B163&lt;=$D$16),Resumo!$F$11,IF(AND(B163&lt;&gt;"",L163&lt;&gt;$D$17,B163&gt;$D$16),Resumo!$F$11,0))</f>
        <v>25</v>
      </c>
      <c r="K163" s="38">
        <f t="shared" ca="1" si="28"/>
        <v>2201.6303195360961</v>
      </c>
      <c r="L163" s="39" t="str">
        <f>IF(B163&lt;&gt;"",VLOOKUP(MONTH(C163),Sheet2!$F$1:$G$12,2,0),"")</f>
        <v>Abril</v>
      </c>
      <c r="M163" s="200">
        <f t="shared" ca="1" si="34"/>
        <v>0</v>
      </c>
      <c r="N163" s="40">
        <f t="shared" ca="1" si="35"/>
        <v>2103.5022787509379</v>
      </c>
      <c r="O163" s="40">
        <f t="shared" ca="1" si="29"/>
        <v>2201.6303195360961</v>
      </c>
      <c r="P163" s="40"/>
      <c r="Q163" s="20">
        <f t="shared" ca="1" si="36"/>
        <v>834.89136490250701</v>
      </c>
      <c r="R163" s="1">
        <f t="shared" si="30"/>
        <v>4302</v>
      </c>
      <c r="S163" s="243">
        <f>IF(AND($K$2&gt;=DATEVALUE("03/04/2020"),$K$2&lt;=DATEVALUE("31/12/2020")),0,IF(Resumo!$C$19="PF",IF(R163&lt;360,0.0082%*R163,3%),IF(R163&lt;360,0.0041%*R163,1.5%)))</f>
        <v>1.4999999999999999E-2</v>
      </c>
      <c r="T163" s="172">
        <f t="shared" ca="1" si="37"/>
        <v>12.523370473537605</v>
      </c>
      <c r="X163" s="20">
        <f t="shared" ca="1" si="38"/>
        <v>2103.5022787509379</v>
      </c>
    </row>
    <row r="164" spans="2:24">
      <c r="B164" s="41">
        <f t="shared" si="31"/>
        <v>142</v>
      </c>
      <c r="C164" s="164">
        <f t="shared" si="32"/>
        <v>49079</v>
      </c>
      <c r="D164" s="42">
        <f t="shared" ca="1" si="26"/>
        <v>842.74931039701278</v>
      </c>
      <c r="E164" s="42">
        <f t="shared" ca="1" si="33"/>
        <v>1255.0222730432254</v>
      </c>
      <c r="F164" s="42">
        <f t="shared" ca="1" si="27"/>
        <v>2097.7715834402379</v>
      </c>
      <c r="G164" s="42">
        <f ca="1">IF(B164&lt;=$D$16,G163*(1+$D$13)^((C164-C163)/_xlfn.DAYS(EDATE(C163,1),C163)),G163-D164)+IF(B164&lt;=$D$16,G163*Resumo!$F$12,0)+IF(B164&lt;=$D$16,$D$15*Resumo!$F$13,0)+IF(B164&lt;=$D$16,25,0)-IF(AND($D$16&gt;3,B164&lt;=$D$16),K164,0)</f>
        <v>183719.3496665479</v>
      </c>
      <c r="H164" s="42">
        <f ca="1">IF(AND(B164&lt;&gt;"",L164&lt;&gt;$D$17,$D$16&gt;3),G164*Resumo!$F$12,IF(AND(B164&lt;&gt;"",L164&lt;&gt;$D$17,B164&gt;$D$16),G164*Resumo!$F$12,0))</f>
        <v>38.58106342997506</v>
      </c>
      <c r="I164" s="42">
        <f>IF(AND(B164&lt;&gt;"",L164&lt;&gt;$D$17,$D$16&gt;3,$B164&lt;=$D$16),$D$15*Resumo!$F$13,IF(AND(B164&lt;&gt;"",L164&lt;&gt;$D$17,B164&gt;$D$16),$D$15*Resumo!$F$13,0))</f>
        <v>34.369999999999997</v>
      </c>
      <c r="J164" s="42">
        <f>IF(AND(B164&lt;&gt;"",L164&lt;&gt;$D$17,$D$16&gt;3,$B164&lt;=$D$16),Resumo!$F$11,IF(AND(B164&lt;&gt;"",L164&lt;&gt;$D$17,B164&gt;$D$16),Resumo!$F$11,0))</f>
        <v>25</v>
      </c>
      <c r="K164" s="42">
        <f t="shared" ca="1" si="28"/>
        <v>2195.7226468702129</v>
      </c>
      <c r="L164" s="39" t="str">
        <f>IF(B164&lt;&gt;"",VLOOKUP(MONTH(C164),Sheet2!$F$1:$G$12,2,0),"")</f>
        <v>Maio</v>
      </c>
      <c r="M164" s="200">
        <f t="shared" ca="1" si="34"/>
        <v>0</v>
      </c>
      <c r="N164" s="40">
        <f t="shared" ca="1" si="35"/>
        <v>2097.7715834402379</v>
      </c>
      <c r="O164" s="40">
        <f t="shared" ca="1" si="29"/>
        <v>2195.7226468702129</v>
      </c>
      <c r="P164" s="40"/>
      <c r="Q164" s="20">
        <f t="shared" ca="1" si="36"/>
        <v>834.89136490250701</v>
      </c>
      <c r="R164" s="1">
        <f t="shared" si="30"/>
        <v>4332</v>
      </c>
      <c r="S164" s="243">
        <f>IF(AND($K$2&gt;=DATEVALUE("03/04/2020"),$K$2&lt;=DATEVALUE("31/12/2020")),0,IF(Resumo!$C$19="PF",IF(R164&lt;360,0.0082%*R164,3%),IF(R164&lt;360,0.0041%*R164,1.5%)))</f>
        <v>1.4999999999999999E-2</v>
      </c>
      <c r="T164" s="172">
        <f t="shared" ca="1" si="37"/>
        <v>12.523370473537605</v>
      </c>
      <c r="X164" s="20">
        <f t="shared" ca="1" si="38"/>
        <v>2097.7715834402379</v>
      </c>
    </row>
    <row r="165" spans="2:24">
      <c r="B165" s="37">
        <f t="shared" si="31"/>
        <v>143</v>
      </c>
      <c r="C165" s="163">
        <f t="shared" si="32"/>
        <v>49110</v>
      </c>
      <c r="D165" s="38">
        <f t="shared" ca="1" si="26"/>
        <v>842.74931039701278</v>
      </c>
      <c r="E165" s="38">
        <f t="shared" ca="1" si="33"/>
        <v>1249.2915777325256</v>
      </c>
      <c r="F165" s="38">
        <f t="shared" ca="1" si="27"/>
        <v>2092.0408881295384</v>
      </c>
      <c r="G165" s="38">
        <f ca="1">IF(B165&lt;=$D$16,G164*(1+$D$13)^((C165-C164)/_xlfn.DAYS(EDATE(C164,1),C164)),G164-D165)+IF(B165&lt;=$D$16,G164*Resumo!$F$12,0)+IF(B165&lt;=$D$16,$D$15*Resumo!$F$13,0)+IF(B165&lt;=$D$16,25,0)-IF(AND($D$16&gt;3,B165&lt;=$D$16),K165,0)</f>
        <v>182876.60035615088</v>
      </c>
      <c r="H165" s="38">
        <f ca="1">IF(AND(B165&lt;&gt;"",L165&lt;&gt;$D$17,$D$16&gt;3),G165*Resumo!$F$12,IF(AND(B165&lt;&gt;"",L165&lt;&gt;$D$17,B165&gt;$D$16),G165*Resumo!$F$12,0))</f>
        <v>38.404086074791685</v>
      </c>
      <c r="I165" s="38">
        <f>IF(AND(B165&lt;&gt;"",L165&lt;&gt;$D$17,$D$16&gt;3,$B165&lt;=$D$16),$D$15*Resumo!$F$13,IF(AND(B165&lt;&gt;"",L165&lt;&gt;$D$17,B165&gt;$D$16),$D$15*Resumo!$F$13,0))</f>
        <v>34.369999999999997</v>
      </c>
      <c r="J165" s="38">
        <f>IF(AND(B165&lt;&gt;"",L165&lt;&gt;$D$17,$D$16&gt;3,$B165&lt;=$D$16),Resumo!$F$11,IF(AND(B165&lt;&gt;"",L165&lt;&gt;$D$17,B165&gt;$D$16),Resumo!$F$11,0))</f>
        <v>25</v>
      </c>
      <c r="K165" s="38">
        <f t="shared" ca="1" si="28"/>
        <v>2189.8149742043302</v>
      </c>
      <c r="L165" s="39" t="str">
        <f>IF(B165&lt;&gt;"",VLOOKUP(MONTH(C165),Sheet2!$F$1:$G$12,2,0),"")</f>
        <v>Junho</v>
      </c>
      <c r="M165" s="200">
        <f t="shared" ca="1" si="34"/>
        <v>0</v>
      </c>
      <c r="N165" s="40">
        <f t="shared" ca="1" si="35"/>
        <v>2092.0408881295384</v>
      </c>
      <c r="O165" s="40">
        <f t="shared" ca="1" si="29"/>
        <v>2189.8149742043302</v>
      </c>
      <c r="P165" s="40"/>
      <c r="Q165" s="20">
        <f t="shared" ca="1" si="36"/>
        <v>834.89136490250701</v>
      </c>
      <c r="R165" s="1">
        <f t="shared" si="30"/>
        <v>4363</v>
      </c>
      <c r="S165" s="243">
        <f>IF(AND($K$2&gt;=DATEVALUE("03/04/2020"),$K$2&lt;=DATEVALUE("31/12/2020")),0,IF(Resumo!$C$19="PF",IF(R165&lt;360,0.0082%*R165,3%),IF(R165&lt;360,0.0041%*R165,1.5%)))</f>
        <v>1.4999999999999999E-2</v>
      </c>
      <c r="T165" s="172">
        <f t="shared" ca="1" si="37"/>
        <v>12.523370473537605</v>
      </c>
      <c r="X165" s="20">
        <f t="shared" ca="1" si="38"/>
        <v>2092.0408881295384</v>
      </c>
    </row>
    <row r="166" spans="2:24">
      <c r="B166" s="41">
        <f t="shared" si="31"/>
        <v>144</v>
      </c>
      <c r="C166" s="164">
        <f t="shared" si="32"/>
        <v>49140</v>
      </c>
      <c r="D166" s="42">
        <f t="shared" ca="1" si="26"/>
        <v>842.74931039701278</v>
      </c>
      <c r="E166" s="42">
        <f t="shared" ca="1" si="33"/>
        <v>1243.5608824218259</v>
      </c>
      <c r="F166" s="42">
        <f t="shared" ca="1" si="27"/>
        <v>2086.3101928188389</v>
      </c>
      <c r="G166" s="42">
        <f ca="1">IF(B166&lt;=$D$16,G165*(1+$D$13)^((C166-C165)/_xlfn.DAYS(EDATE(C165,1),C165)),G165-D166)+IF(B166&lt;=$D$16,G165*Resumo!$F$12,0)+IF(B166&lt;=$D$16,$D$15*Resumo!$F$13,0)+IF(B166&lt;=$D$16,25,0)-IF(AND($D$16&gt;3,B166&lt;=$D$16),K166,0)</f>
        <v>182033.85104575387</v>
      </c>
      <c r="H166" s="42">
        <f ca="1">IF(AND(B166&lt;&gt;"",L166&lt;&gt;$D$17,$D$16&gt;3),G166*Resumo!$F$12,IF(AND(B166&lt;&gt;"",L166&lt;&gt;$D$17,B166&gt;$D$16),G166*Resumo!$F$12,0))</f>
        <v>38.22710871960831</v>
      </c>
      <c r="I166" s="42">
        <f>IF(AND(B166&lt;&gt;"",L166&lt;&gt;$D$17,$D$16&gt;3,$B166&lt;=$D$16),$D$15*Resumo!$F$13,IF(AND(B166&lt;&gt;"",L166&lt;&gt;$D$17,B166&gt;$D$16),$D$15*Resumo!$F$13,0))</f>
        <v>34.369999999999997</v>
      </c>
      <c r="J166" s="42">
        <f>IF(AND(B166&lt;&gt;"",L166&lt;&gt;$D$17,$D$16&gt;3,$B166&lt;=$D$16),Resumo!$F$11,IF(AND(B166&lt;&gt;"",L166&lt;&gt;$D$17,B166&gt;$D$16),Resumo!$F$11,0))</f>
        <v>25</v>
      </c>
      <c r="K166" s="42">
        <f t="shared" ca="1" si="28"/>
        <v>2183.907301538447</v>
      </c>
      <c r="L166" s="39" t="str">
        <f>IF(B166&lt;&gt;"",VLOOKUP(MONTH(C166),Sheet2!$F$1:$G$12,2,0),"")</f>
        <v>Julho</v>
      </c>
      <c r="M166" s="200">
        <f t="shared" ca="1" si="34"/>
        <v>0</v>
      </c>
      <c r="N166" s="40">
        <f t="shared" ca="1" si="35"/>
        <v>2086.3101928188389</v>
      </c>
      <c r="O166" s="40">
        <f t="shared" ca="1" si="29"/>
        <v>2183.907301538447</v>
      </c>
      <c r="P166" s="40"/>
      <c r="Q166" s="20">
        <f t="shared" ca="1" si="36"/>
        <v>834.89136490250701</v>
      </c>
      <c r="R166" s="1">
        <f t="shared" si="30"/>
        <v>4393</v>
      </c>
      <c r="S166" s="243">
        <f>IF(AND($K$2&gt;=DATEVALUE("03/04/2020"),$K$2&lt;=DATEVALUE("31/12/2020")),0,IF(Resumo!$C$19="PF",IF(R166&lt;360,0.0082%*R166,3%),IF(R166&lt;360,0.0041%*R166,1.5%)))</f>
        <v>1.4999999999999999E-2</v>
      </c>
      <c r="T166" s="172">
        <f t="shared" ca="1" si="37"/>
        <v>12.523370473537605</v>
      </c>
      <c r="X166" s="20">
        <f t="shared" ca="1" si="38"/>
        <v>2086.3101928188389</v>
      </c>
    </row>
    <row r="167" spans="2:24">
      <c r="B167" s="37">
        <f t="shared" si="31"/>
        <v>145</v>
      </c>
      <c r="C167" s="163">
        <f t="shared" si="32"/>
        <v>49171</v>
      </c>
      <c r="D167" s="38">
        <f t="shared" ca="1" si="26"/>
        <v>842.74931039701278</v>
      </c>
      <c r="E167" s="38">
        <f t="shared" ca="1" si="33"/>
        <v>1237.8301871111262</v>
      </c>
      <c r="F167" s="38">
        <f t="shared" ca="1" si="27"/>
        <v>2080.579497508139</v>
      </c>
      <c r="G167" s="38">
        <f ca="1">IF(B167&lt;=$D$16,G166*(1+$D$13)^((C167-C166)/_xlfn.DAYS(EDATE(C166,1),C166)),G166-D167)+IF(B167&lt;=$D$16,G166*Resumo!$F$12,0)+IF(B167&lt;=$D$16,$D$15*Resumo!$F$13,0)+IF(B167&lt;=$D$16,25,0)-IF(AND($D$16&gt;3,B167&lt;=$D$16),K167,0)</f>
        <v>181191.10173535685</v>
      </c>
      <c r="H167" s="38">
        <f ca="1">IF(AND(B167&lt;&gt;"",L167&lt;&gt;$D$17,$D$16&gt;3),G167*Resumo!$F$12,IF(AND(B167&lt;&gt;"",L167&lt;&gt;$D$17,B167&gt;$D$16),G167*Resumo!$F$12,0))</f>
        <v>38.050131364424942</v>
      </c>
      <c r="I167" s="38">
        <f>IF(AND(B167&lt;&gt;"",L167&lt;&gt;$D$17,$D$16&gt;3,$B167&lt;=$D$16),$D$15*Resumo!$F$13,IF(AND(B167&lt;&gt;"",L167&lt;&gt;$D$17,B167&gt;$D$16),$D$15*Resumo!$F$13,0))</f>
        <v>34.369999999999997</v>
      </c>
      <c r="J167" s="38">
        <f>IF(AND(B167&lt;&gt;"",L167&lt;&gt;$D$17,$D$16&gt;3,$B167&lt;=$D$16),Resumo!$F$11,IF(AND(B167&lt;&gt;"",L167&lt;&gt;$D$17,B167&gt;$D$16),Resumo!$F$11,0))</f>
        <v>25</v>
      </c>
      <c r="K167" s="38">
        <f t="shared" ca="1" si="28"/>
        <v>2177.9996288725638</v>
      </c>
      <c r="L167" s="39" t="str">
        <f>IF(B167&lt;&gt;"",VLOOKUP(MONTH(C167),Sheet2!$F$1:$G$12,2,0),"")</f>
        <v>Agosto</v>
      </c>
      <c r="M167" s="200">
        <f t="shared" ca="1" si="34"/>
        <v>0</v>
      </c>
      <c r="N167" s="40">
        <f t="shared" ca="1" si="35"/>
        <v>2080.579497508139</v>
      </c>
      <c r="O167" s="40">
        <f t="shared" ca="1" si="29"/>
        <v>2177.9996288725638</v>
      </c>
      <c r="P167" s="40"/>
      <c r="Q167" s="20">
        <f t="shared" ca="1" si="36"/>
        <v>834.89136490250701</v>
      </c>
      <c r="R167" s="1">
        <f t="shared" si="30"/>
        <v>4424</v>
      </c>
      <c r="S167" s="243">
        <f>IF(AND($K$2&gt;=DATEVALUE("03/04/2020"),$K$2&lt;=DATEVALUE("31/12/2020")),0,IF(Resumo!$C$19="PF",IF(R167&lt;360,0.0082%*R167,3%),IF(R167&lt;360,0.0041%*R167,1.5%)))</f>
        <v>1.4999999999999999E-2</v>
      </c>
      <c r="T167" s="172">
        <f t="shared" ca="1" si="37"/>
        <v>12.523370473537605</v>
      </c>
      <c r="X167" s="20">
        <f t="shared" ca="1" si="38"/>
        <v>2080.579497508139</v>
      </c>
    </row>
    <row r="168" spans="2:24">
      <c r="B168" s="41">
        <f t="shared" si="31"/>
        <v>146</v>
      </c>
      <c r="C168" s="164">
        <f t="shared" si="32"/>
        <v>49202</v>
      </c>
      <c r="D168" s="42">
        <f t="shared" ca="1" si="26"/>
        <v>842.74931039701278</v>
      </c>
      <c r="E168" s="42">
        <f t="shared" ca="1" si="33"/>
        <v>1232.0994918004264</v>
      </c>
      <c r="F168" s="42">
        <f t="shared" ca="1" si="27"/>
        <v>2074.848802197439</v>
      </c>
      <c r="G168" s="42">
        <f ca="1">IF(B168&lt;=$D$16,G167*(1+$D$13)^((C168-C167)/_xlfn.DAYS(EDATE(C167,1),C167)),G167-D168)+IF(B168&lt;=$D$16,G167*Resumo!$F$12,0)+IF(B168&lt;=$D$16,$D$15*Resumo!$F$13,0)+IF(B168&lt;=$D$16,25,0)-IF(AND($D$16&gt;3,B168&lt;=$D$16),K168,0)</f>
        <v>180348.35242495983</v>
      </c>
      <c r="H168" s="42">
        <f ca="1">IF(AND(B168&lt;&gt;"",L168&lt;&gt;$D$17,$D$16&gt;3),G168*Resumo!$F$12,IF(AND(B168&lt;&gt;"",L168&lt;&gt;$D$17,B168&gt;$D$16),G168*Resumo!$F$12,0))</f>
        <v>37.873154009241567</v>
      </c>
      <c r="I168" s="42">
        <f>IF(AND(B168&lt;&gt;"",L168&lt;&gt;$D$17,$D$16&gt;3,$B168&lt;=$D$16),$D$15*Resumo!$F$13,IF(AND(B168&lt;&gt;"",L168&lt;&gt;$D$17,B168&gt;$D$16),$D$15*Resumo!$F$13,0))</f>
        <v>34.369999999999997</v>
      </c>
      <c r="J168" s="42">
        <f>IF(AND(B168&lt;&gt;"",L168&lt;&gt;$D$17,$D$16&gt;3,$B168&lt;=$D$16),Resumo!$F$11,IF(AND(B168&lt;&gt;"",L168&lt;&gt;$D$17,B168&gt;$D$16),Resumo!$F$11,0))</f>
        <v>25</v>
      </c>
      <c r="K168" s="42">
        <f t="shared" ca="1" si="28"/>
        <v>2172.0919562066806</v>
      </c>
      <c r="L168" s="39" t="str">
        <f>IF(B168&lt;&gt;"",VLOOKUP(MONTH(C168),Sheet2!$F$1:$G$12,2,0),"")</f>
        <v>Setembro</v>
      </c>
      <c r="M168" s="200">
        <f t="shared" ca="1" si="34"/>
        <v>0</v>
      </c>
      <c r="N168" s="40">
        <f t="shared" ca="1" si="35"/>
        <v>2074.848802197439</v>
      </c>
      <c r="O168" s="40">
        <f t="shared" ca="1" si="29"/>
        <v>2172.0919562066806</v>
      </c>
      <c r="P168" s="40"/>
      <c r="Q168" s="20">
        <f t="shared" ca="1" si="36"/>
        <v>834.89136490250701</v>
      </c>
      <c r="R168" s="1">
        <f t="shared" si="30"/>
        <v>4455</v>
      </c>
      <c r="S168" s="243">
        <f>IF(AND($K$2&gt;=DATEVALUE("03/04/2020"),$K$2&lt;=DATEVALUE("31/12/2020")),0,IF(Resumo!$C$19="PF",IF(R168&lt;360,0.0082%*R168,3%),IF(R168&lt;360,0.0041%*R168,1.5%)))</f>
        <v>1.4999999999999999E-2</v>
      </c>
      <c r="T168" s="172">
        <f t="shared" ca="1" si="37"/>
        <v>12.523370473537605</v>
      </c>
      <c r="X168" s="20">
        <f t="shared" ca="1" si="38"/>
        <v>2074.848802197439</v>
      </c>
    </row>
    <row r="169" spans="2:24">
      <c r="B169" s="37">
        <f t="shared" si="31"/>
        <v>147</v>
      </c>
      <c r="C169" s="163">
        <f t="shared" si="32"/>
        <v>49232</v>
      </c>
      <c r="D169" s="38">
        <f t="shared" ca="1" si="26"/>
        <v>842.74931039701278</v>
      </c>
      <c r="E169" s="38">
        <f t="shared" ca="1" si="33"/>
        <v>1226.3687964897267</v>
      </c>
      <c r="F169" s="38">
        <f t="shared" ca="1" si="27"/>
        <v>2069.1181068867395</v>
      </c>
      <c r="G169" s="38">
        <f ca="1">IF(B169&lt;=$D$16,G168*(1+$D$13)^((C169-C168)/_xlfn.DAYS(EDATE(C168,1),C168)),G168-D169)+IF(B169&lt;=$D$16,G168*Resumo!$F$12,0)+IF(B169&lt;=$D$16,$D$15*Resumo!$F$13,0)+IF(B169&lt;=$D$16,25,0)-IF(AND($D$16&gt;3,B169&lt;=$D$16),K169,0)</f>
        <v>179505.60311456281</v>
      </c>
      <c r="H169" s="38">
        <f ca="1">IF(AND(B169&lt;&gt;"",L169&lt;&gt;$D$17,$D$16&gt;3),G169*Resumo!$F$12,IF(AND(B169&lt;&gt;"",L169&lt;&gt;$D$17,B169&gt;$D$16),G169*Resumo!$F$12,0))</f>
        <v>37.696176654058192</v>
      </c>
      <c r="I169" s="38">
        <f>IF(AND(B169&lt;&gt;"",L169&lt;&gt;$D$17,$D$16&gt;3,$B169&lt;=$D$16),$D$15*Resumo!$F$13,IF(AND(B169&lt;&gt;"",L169&lt;&gt;$D$17,B169&gt;$D$16),$D$15*Resumo!$F$13,0))</f>
        <v>34.369999999999997</v>
      </c>
      <c r="J169" s="38">
        <f>IF(AND(B169&lt;&gt;"",L169&lt;&gt;$D$17,$D$16&gt;3,$B169&lt;=$D$16),Resumo!$F$11,IF(AND(B169&lt;&gt;"",L169&lt;&gt;$D$17,B169&gt;$D$16),Resumo!$F$11,0))</f>
        <v>25</v>
      </c>
      <c r="K169" s="38">
        <f t="shared" ca="1" si="28"/>
        <v>2166.1842835407974</v>
      </c>
      <c r="L169" s="39" t="str">
        <f>IF(B169&lt;&gt;"",VLOOKUP(MONTH(C169),Sheet2!$F$1:$G$12,2,0),"")</f>
        <v>Outubro</v>
      </c>
      <c r="M169" s="200">
        <f t="shared" ca="1" si="34"/>
        <v>0</v>
      </c>
      <c r="N169" s="40">
        <f t="shared" ca="1" si="35"/>
        <v>2069.1181068867395</v>
      </c>
      <c r="O169" s="40">
        <f t="shared" ca="1" si="29"/>
        <v>2166.1842835407974</v>
      </c>
      <c r="P169" s="40"/>
      <c r="Q169" s="20">
        <f t="shared" ca="1" si="36"/>
        <v>834.89136490250701</v>
      </c>
      <c r="R169" s="1">
        <f t="shared" si="30"/>
        <v>4485</v>
      </c>
      <c r="S169" s="243">
        <f>IF(AND($K$2&gt;=DATEVALUE("03/04/2020"),$K$2&lt;=DATEVALUE("31/12/2020")),0,IF(Resumo!$C$19="PF",IF(R169&lt;360,0.0082%*R169,3%),IF(R169&lt;360,0.0041%*R169,1.5%)))</f>
        <v>1.4999999999999999E-2</v>
      </c>
      <c r="T169" s="172">
        <f t="shared" ca="1" si="37"/>
        <v>12.523370473537605</v>
      </c>
      <c r="X169" s="20">
        <f t="shared" ca="1" si="38"/>
        <v>2069.1181068867395</v>
      </c>
    </row>
    <row r="170" spans="2:24">
      <c r="B170" s="41">
        <f t="shared" si="31"/>
        <v>148</v>
      </c>
      <c r="C170" s="164">
        <f t="shared" si="32"/>
        <v>49263</v>
      </c>
      <c r="D170" s="42">
        <f t="shared" ca="1" si="26"/>
        <v>842.74931039701278</v>
      </c>
      <c r="E170" s="42">
        <f t="shared" ca="1" si="33"/>
        <v>1220.638101179027</v>
      </c>
      <c r="F170" s="42">
        <f t="shared" ca="1" si="27"/>
        <v>2063.38741157604</v>
      </c>
      <c r="G170" s="42">
        <f ca="1">IF(B170&lt;=$D$16,G169*(1+$D$13)^((C170-C169)/_xlfn.DAYS(EDATE(C169,1),C169)),G169-D170)+IF(B170&lt;=$D$16,G169*Resumo!$F$12,0)+IF(B170&lt;=$D$16,$D$15*Resumo!$F$13,0)+IF(B170&lt;=$D$16,25,0)-IF(AND($D$16&gt;3,B170&lt;=$D$16),K170,0)</f>
        <v>178662.85380416579</v>
      </c>
      <c r="H170" s="42">
        <f ca="1">IF(AND(B170&lt;&gt;"",L170&lt;&gt;$D$17,$D$16&gt;3),G170*Resumo!$F$12,IF(AND(B170&lt;&gt;"",L170&lt;&gt;$D$17,B170&gt;$D$16),G170*Resumo!$F$12,0))</f>
        <v>37.519199298874817</v>
      </c>
      <c r="I170" s="42">
        <f>IF(AND(B170&lt;&gt;"",L170&lt;&gt;$D$17,$D$16&gt;3,$B170&lt;=$D$16),$D$15*Resumo!$F$13,IF(AND(B170&lt;&gt;"",L170&lt;&gt;$D$17,B170&gt;$D$16),$D$15*Resumo!$F$13,0))</f>
        <v>34.369999999999997</v>
      </c>
      <c r="J170" s="42">
        <f>IF(AND(B170&lt;&gt;"",L170&lt;&gt;$D$17,$D$16&gt;3,$B170&lt;=$D$16),Resumo!$F$11,IF(AND(B170&lt;&gt;"",L170&lt;&gt;$D$17,B170&gt;$D$16),Resumo!$F$11,0))</f>
        <v>25</v>
      </c>
      <c r="K170" s="42">
        <f t="shared" ca="1" si="28"/>
        <v>2160.2766108749147</v>
      </c>
      <c r="L170" s="39" t="str">
        <f>IF(B170&lt;&gt;"",VLOOKUP(MONTH(C170),Sheet2!$F$1:$G$12,2,0),"")</f>
        <v>Novembro</v>
      </c>
      <c r="M170" s="200">
        <f t="shared" ca="1" si="34"/>
        <v>0</v>
      </c>
      <c r="N170" s="40">
        <f t="shared" ca="1" si="35"/>
        <v>2063.38741157604</v>
      </c>
      <c r="O170" s="40">
        <f t="shared" ca="1" si="29"/>
        <v>2160.2766108749147</v>
      </c>
      <c r="P170" s="40"/>
      <c r="Q170" s="20">
        <f t="shared" ca="1" si="36"/>
        <v>834.89136490250701</v>
      </c>
      <c r="R170" s="1">
        <f t="shared" si="30"/>
        <v>4516</v>
      </c>
      <c r="S170" s="243">
        <f>IF(AND($K$2&gt;=DATEVALUE("03/04/2020"),$K$2&lt;=DATEVALUE("31/12/2020")),0,IF(Resumo!$C$19="PF",IF(R170&lt;360,0.0082%*R170,3%),IF(R170&lt;360,0.0041%*R170,1.5%)))</f>
        <v>1.4999999999999999E-2</v>
      </c>
      <c r="T170" s="172">
        <f t="shared" ca="1" si="37"/>
        <v>12.523370473537605</v>
      </c>
      <c r="X170" s="20">
        <f t="shared" ca="1" si="38"/>
        <v>2063.38741157604</v>
      </c>
    </row>
    <row r="171" spans="2:24">
      <c r="B171" s="37">
        <f t="shared" si="31"/>
        <v>149</v>
      </c>
      <c r="C171" s="163">
        <f t="shared" si="32"/>
        <v>49293</v>
      </c>
      <c r="D171" s="38">
        <f t="shared" ca="1" si="26"/>
        <v>842.74931039701278</v>
      </c>
      <c r="E171" s="38">
        <f t="shared" ca="1" si="33"/>
        <v>1214.9074058683273</v>
      </c>
      <c r="F171" s="38">
        <f t="shared" ca="1" si="27"/>
        <v>2057.65671626534</v>
      </c>
      <c r="G171" s="38">
        <f ca="1">IF(B171&lt;=$D$16,G170*(1+$D$13)^((C171-C170)/_xlfn.DAYS(EDATE(C170,1),C170)),G170-D171)+IF(B171&lt;=$D$16,G170*Resumo!$F$12,0)+IF(B171&lt;=$D$16,$D$15*Resumo!$F$13,0)+IF(B171&lt;=$D$16,25,0)-IF(AND($D$16&gt;3,B171&lt;=$D$16),K171,0)</f>
        <v>177820.10449376877</v>
      </c>
      <c r="H171" s="38">
        <f ca="1">IF(AND(B171&lt;&gt;"",L171&lt;&gt;$D$17,$D$16&gt;3),G171*Resumo!$F$12,IF(AND(B171&lt;&gt;"",L171&lt;&gt;$D$17,B171&gt;$D$16),G171*Resumo!$F$12,0))</f>
        <v>37.342221943691442</v>
      </c>
      <c r="I171" s="38">
        <f>IF(AND(B171&lt;&gt;"",L171&lt;&gt;$D$17,$D$16&gt;3,$B171&lt;=$D$16),$D$15*Resumo!$F$13,IF(AND(B171&lt;&gt;"",L171&lt;&gt;$D$17,B171&gt;$D$16),$D$15*Resumo!$F$13,0))</f>
        <v>34.369999999999997</v>
      </c>
      <c r="J171" s="38">
        <f>IF(AND(B171&lt;&gt;"",L171&lt;&gt;$D$17,$D$16&gt;3,$B171&lt;=$D$16),Resumo!$F$11,IF(AND(B171&lt;&gt;"",L171&lt;&gt;$D$17,B171&gt;$D$16),Resumo!$F$11,0))</f>
        <v>25</v>
      </c>
      <c r="K171" s="38">
        <f t="shared" ca="1" si="28"/>
        <v>2154.3689382090315</v>
      </c>
      <c r="L171" s="39" t="str">
        <f>IF(B171&lt;&gt;"",VLOOKUP(MONTH(C171),Sheet2!$F$1:$G$12,2,0),"")</f>
        <v>Dezembro</v>
      </c>
      <c r="M171" s="200">
        <f t="shared" ca="1" si="34"/>
        <v>0</v>
      </c>
      <c r="N171" s="40">
        <f t="shared" ca="1" si="35"/>
        <v>2057.65671626534</v>
      </c>
      <c r="O171" s="40">
        <f t="shared" ca="1" si="29"/>
        <v>2154.3689382090315</v>
      </c>
      <c r="P171" s="40"/>
      <c r="Q171" s="20">
        <f t="shared" ca="1" si="36"/>
        <v>834.89136490250701</v>
      </c>
      <c r="R171" s="1">
        <f t="shared" si="30"/>
        <v>4546</v>
      </c>
      <c r="S171" s="243">
        <f>IF(AND($K$2&gt;=DATEVALUE("03/04/2020"),$K$2&lt;=DATEVALUE("31/12/2020")),0,IF(Resumo!$C$19="PF",IF(R171&lt;360,0.0082%*R171,3%),IF(R171&lt;360,0.0041%*R171,1.5%)))</f>
        <v>1.4999999999999999E-2</v>
      </c>
      <c r="T171" s="172">
        <f t="shared" ca="1" si="37"/>
        <v>12.523370473537605</v>
      </c>
      <c r="X171" s="20">
        <f t="shared" ca="1" si="38"/>
        <v>2057.65671626534</v>
      </c>
    </row>
    <row r="172" spans="2:24">
      <c r="B172" s="41">
        <f t="shared" si="31"/>
        <v>150</v>
      </c>
      <c r="C172" s="164">
        <f t="shared" si="32"/>
        <v>49324</v>
      </c>
      <c r="D172" s="42">
        <f t="shared" ca="1" si="26"/>
        <v>842.74931039701278</v>
      </c>
      <c r="E172" s="42">
        <f t="shared" ca="1" si="33"/>
        <v>1209.1767105576275</v>
      </c>
      <c r="F172" s="42">
        <f t="shared" ca="1" si="27"/>
        <v>2051.9260209546401</v>
      </c>
      <c r="G172" s="42">
        <f ca="1">IF(B172&lt;=$D$16,G171*(1+$D$13)^((C172-C171)/_xlfn.DAYS(EDATE(C171,1),C171)),G171-D172)+IF(B172&lt;=$D$16,G171*Resumo!$F$12,0)+IF(B172&lt;=$D$16,$D$15*Resumo!$F$13,0)+IF(B172&lt;=$D$16,25,0)-IF(AND($D$16&gt;3,B172&lt;=$D$16),K172,0)</f>
        <v>176977.35518337175</v>
      </c>
      <c r="H172" s="42">
        <f ca="1">IF(AND(B172&lt;&gt;"",L172&lt;&gt;$D$17,$D$16&gt;3),G172*Resumo!$F$12,IF(AND(B172&lt;&gt;"",L172&lt;&gt;$D$17,B172&gt;$D$16),G172*Resumo!$F$12,0))</f>
        <v>37.165244588508067</v>
      </c>
      <c r="I172" s="42">
        <f>IF(AND(B172&lt;&gt;"",L172&lt;&gt;$D$17,$D$16&gt;3,$B172&lt;=$D$16),$D$15*Resumo!$F$13,IF(AND(B172&lt;&gt;"",L172&lt;&gt;$D$17,B172&gt;$D$16),$D$15*Resumo!$F$13,0))</f>
        <v>34.369999999999997</v>
      </c>
      <c r="J172" s="42">
        <f>IF(AND(B172&lt;&gt;"",L172&lt;&gt;$D$17,$D$16&gt;3,$B172&lt;=$D$16),Resumo!$F$11,IF(AND(B172&lt;&gt;"",L172&lt;&gt;$D$17,B172&gt;$D$16),Resumo!$F$11,0))</f>
        <v>25</v>
      </c>
      <c r="K172" s="42">
        <f t="shared" ca="1" si="28"/>
        <v>2148.4612655431479</v>
      </c>
      <c r="L172" s="39" t="str">
        <f>IF(B172&lt;&gt;"",VLOOKUP(MONTH(C172),Sheet2!$F$1:$G$12,2,0),"")</f>
        <v>Janeiro</v>
      </c>
      <c r="M172" s="200">
        <f t="shared" ca="1" si="34"/>
        <v>0</v>
      </c>
      <c r="N172" s="40">
        <f t="shared" ca="1" si="35"/>
        <v>2051.9260209546401</v>
      </c>
      <c r="O172" s="40">
        <f t="shared" ca="1" si="29"/>
        <v>2148.4612655431479</v>
      </c>
      <c r="P172" s="40"/>
      <c r="Q172" s="20">
        <f t="shared" ca="1" si="36"/>
        <v>834.89136490250701</v>
      </c>
      <c r="R172" s="1">
        <f t="shared" si="30"/>
        <v>4577</v>
      </c>
      <c r="S172" s="243">
        <f>IF(AND($K$2&gt;=DATEVALUE("03/04/2020"),$K$2&lt;=DATEVALUE("31/12/2020")),0,IF(Resumo!$C$19="PF",IF(R172&lt;360,0.0082%*R172,3%),IF(R172&lt;360,0.0041%*R172,1.5%)))</f>
        <v>1.4999999999999999E-2</v>
      </c>
      <c r="T172" s="172">
        <f t="shared" ca="1" si="37"/>
        <v>12.523370473537605</v>
      </c>
      <c r="X172" s="20">
        <f t="shared" ca="1" si="38"/>
        <v>2051.9260209546401</v>
      </c>
    </row>
    <row r="173" spans="2:24">
      <c r="B173" s="37">
        <f t="shared" si="31"/>
        <v>151</v>
      </c>
      <c r="C173" s="163">
        <f t="shared" si="32"/>
        <v>49355</v>
      </c>
      <c r="D173" s="38">
        <f t="shared" ca="1" si="26"/>
        <v>842.74931039701278</v>
      </c>
      <c r="E173" s="38">
        <f t="shared" ca="1" si="33"/>
        <v>1203.4460152469278</v>
      </c>
      <c r="F173" s="38">
        <f t="shared" ca="1" si="27"/>
        <v>2046.1953256439406</v>
      </c>
      <c r="G173" s="38">
        <f ca="1">IF(B173&lt;=$D$16,G172*(1+$D$13)^((C173-C172)/_xlfn.DAYS(EDATE(C172,1),C172)),G172-D173)+IF(B173&lt;=$D$16,G172*Resumo!$F$12,0)+IF(B173&lt;=$D$16,$D$15*Resumo!$F$13,0)+IF(B173&lt;=$D$16,25,0)-IF(AND($D$16&gt;3,B173&lt;=$D$16),K173,0)</f>
        <v>176134.60587297473</v>
      </c>
      <c r="H173" s="38">
        <f ca="1">IF(AND(B173&lt;&gt;"",L173&lt;&gt;$D$17,$D$16&gt;3),G173*Resumo!$F$12,IF(AND(B173&lt;&gt;"",L173&lt;&gt;$D$17,B173&gt;$D$16),G173*Resumo!$F$12,0))</f>
        <v>36.988267233324692</v>
      </c>
      <c r="I173" s="38">
        <f>IF(AND(B173&lt;&gt;"",L173&lt;&gt;$D$17,$D$16&gt;3,$B173&lt;=$D$16),$D$15*Resumo!$F$13,IF(AND(B173&lt;&gt;"",L173&lt;&gt;$D$17,B173&gt;$D$16),$D$15*Resumo!$F$13,0))</f>
        <v>34.369999999999997</v>
      </c>
      <c r="J173" s="38">
        <f>IF(AND(B173&lt;&gt;"",L173&lt;&gt;$D$17,$D$16&gt;3,$B173&lt;=$D$16),Resumo!$F$11,IF(AND(B173&lt;&gt;"",L173&lt;&gt;$D$17,B173&gt;$D$16),Resumo!$F$11,0))</f>
        <v>25</v>
      </c>
      <c r="K173" s="38">
        <f t="shared" ca="1" si="28"/>
        <v>2142.5535928772651</v>
      </c>
      <c r="L173" s="39" t="str">
        <f>IF(B173&lt;&gt;"",VLOOKUP(MONTH(C173),Sheet2!$F$1:$G$12,2,0),"")</f>
        <v>Fevereiro</v>
      </c>
      <c r="M173" s="200">
        <f t="shared" ca="1" si="34"/>
        <v>0</v>
      </c>
      <c r="N173" s="40">
        <f t="shared" ca="1" si="35"/>
        <v>2046.1953256439406</v>
      </c>
      <c r="O173" s="40">
        <f t="shared" ca="1" si="29"/>
        <v>2142.5535928772651</v>
      </c>
      <c r="P173" s="40"/>
      <c r="Q173" s="20">
        <f t="shared" ca="1" si="36"/>
        <v>834.89136490250701</v>
      </c>
      <c r="R173" s="1">
        <f t="shared" si="30"/>
        <v>4608</v>
      </c>
      <c r="S173" s="243">
        <f>IF(AND($K$2&gt;=DATEVALUE("03/04/2020"),$K$2&lt;=DATEVALUE("31/12/2020")),0,IF(Resumo!$C$19="PF",IF(R173&lt;360,0.0082%*R173,3%),IF(R173&lt;360,0.0041%*R173,1.5%)))</f>
        <v>1.4999999999999999E-2</v>
      </c>
      <c r="T173" s="172">
        <f t="shared" ca="1" si="37"/>
        <v>12.523370473537605</v>
      </c>
      <c r="X173" s="20">
        <f t="shared" ca="1" si="38"/>
        <v>2046.1953256439406</v>
      </c>
    </row>
    <row r="174" spans="2:24">
      <c r="B174" s="41">
        <f t="shared" si="31"/>
        <v>152</v>
      </c>
      <c r="C174" s="164">
        <f t="shared" si="32"/>
        <v>49383</v>
      </c>
      <c r="D174" s="42">
        <f t="shared" ca="1" si="26"/>
        <v>842.74931039701278</v>
      </c>
      <c r="E174" s="42">
        <f t="shared" ca="1" si="33"/>
        <v>1197.7153199362281</v>
      </c>
      <c r="F174" s="42">
        <f t="shared" ca="1" si="27"/>
        <v>2040.4646303332408</v>
      </c>
      <c r="G174" s="42">
        <f ca="1">IF(B174&lt;=$D$16,G173*(1+$D$13)^((C174-C173)/_xlfn.DAYS(EDATE(C173,1),C173)),G173-D174)+IF(B174&lt;=$D$16,G173*Resumo!$F$12,0)+IF(B174&lt;=$D$16,$D$15*Resumo!$F$13,0)+IF(B174&lt;=$D$16,25,0)-IF(AND($D$16&gt;3,B174&lt;=$D$16),K174,0)</f>
        <v>175291.85656257771</v>
      </c>
      <c r="H174" s="42">
        <f ca="1">IF(AND(B174&lt;&gt;"",L174&lt;&gt;$D$17,$D$16&gt;3),G174*Resumo!$F$12,IF(AND(B174&lt;&gt;"",L174&lt;&gt;$D$17,B174&gt;$D$16),G174*Resumo!$F$12,0))</f>
        <v>36.811289878141324</v>
      </c>
      <c r="I174" s="42">
        <f>IF(AND(B174&lt;&gt;"",L174&lt;&gt;$D$17,$D$16&gt;3,$B174&lt;=$D$16),$D$15*Resumo!$F$13,IF(AND(B174&lt;&gt;"",L174&lt;&gt;$D$17,B174&gt;$D$16),$D$15*Resumo!$F$13,0))</f>
        <v>34.369999999999997</v>
      </c>
      <c r="J174" s="42">
        <f>IF(AND(B174&lt;&gt;"",L174&lt;&gt;$D$17,$D$16&gt;3,$B174&lt;=$D$16),Resumo!$F$11,IF(AND(B174&lt;&gt;"",L174&lt;&gt;$D$17,B174&gt;$D$16),Resumo!$F$11,0))</f>
        <v>25</v>
      </c>
      <c r="K174" s="42">
        <f t="shared" ca="1" si="28"/>
        <v>2136.645920211382</v>
      </c>
      <c r="L174" s="39" t="str">
        <f>IF(B174&lt;&gt;"",VLOOKUP(MONTH(C174),Sheet2!$F$1:$G$12,2,0),"")</f>
        <v>Março</v>
      </c>
      <c r="M174" s="200">
        <f t="shared" ca="1" si="34"/>
        <v>0</v>
      </c>
      <c r="N174" s="40">
        <f t="shared" ca="1" si="35"/>
        <v>2040.4646303332408</v>
      </c>
      <c r="O174" s="40">
        <f t="shared" ca="1" si="29"/>
        <v>2136.645920211382</v>
      </c>
      <c r="P174" s="40"/>
      <c r="Q174" s="20">
        <f t="shared" ca="1" si="36"/>
        <v>834.89136490250701</v>
      </c>
      <c r="R174" s="1">
        <f t="shared" si="30"/>
        <v>4636</v>
      </c>
      <c r="S174" s="243">
        <f>IF(AND($K$2&gt;=DATEVALUE("03/04/2020"),$K$2&lt;=DATEVALUE("31/12/2020")),0,IF(Resumo!$C$19="PF",IF(R174&lt;360,0.0082%*R174,3%),IF(R174&lt;360,0.0041%*R174,1.5%)))</f>
        <v>1.4999999999999999E-2</v>
      </c>
      <c r="T174" s="172">
        <f t="shared" ca="1" si="37"/>
        <v>12.523370473537605</v>
      </c>
      <c r="X174" s="20">
        <f t="shared" ca="1" si="38"/>
        <v>2040.4646303332408</v>
      </c>
    </row>
    <row r="175" spans="2:24">
      <c r="B175" s="37">
        <f t="shared" si="31"/>
        <v>153</v>
      </c>
      <c r="C175" s="163">
        <f t="shared" si="32"/>
        <v>49414</v>
      </c>
      <c r="D175" s="38">
        <f t="shared" ca="1" si="26"/>
        <v>842.74931039701278</v>
      </c>
      <c r="E175" s="38">
        <f t="shared" ca="1" si="33"/>
        <v>1191.9846246255283</v>
      </c>
      <c r="F175" s="38">
        <f t="shared" ca="1" si="27"/>
        <v>2034.7339350225411</v>
      </c>
      <c r="G175" s="38">
        <f ca="1">IF(B175&lt;=$D$16,G174*(1+$D$13)^((C175-C174)/_xlfn.DAYS(EDATE(C174,1),C174)),G174-D175)+IF(B175&lt;=$D$16,G174*Resumo!$F$12,0)+IF(B175&lt;=$D$16,$D$15*Resumo!$F$13,0)+IF(B175&lt;=$D$16,25,0)-IF(AND($D$16&gt;3,B175&lt;=$D$16),K175,0)</f>
        <v>174449.10725218069</v>
      </c>
      <c r="H175" s="38">
        <f ca="1">IF(AND(B175&lt;&gt;"",L175&lt;&gt;$D$17,$D$16&gt;3),G175*Resumo!$F$12,IF(AND(B175&lt;&gt;"",L175&lt;&gt;$D$17,B175&gt;$D$16),G175*Resumo!$F$12,0))</f>
        <v>36.634312522957948</v>
      </c>
      <c r="I175" s="38">
        <f>IF(AND(B175&lt;&gt;"",L175&lt;&gt;$D$17,$D$16&gt;3,$B175&lt;=$D$16),$D$15*Resumo!$F$13,IF(AND(B175&lt;&gt;"",L175&lt;&gt;$D$17,B175&gt;$D$16),$D$15*Resumo!$F$13,0))</f>
        <v>34.369999999999997</v>
      </c>
      <c r="J175" s="38">
        <f>IF(AND(B175&lt;&gt;"",L175&lt;&gt;$D$17,$D$16&gt;3,$B175&lt;=$D$16),Resumo!$F$11,IF(AND(B175&lt;&gt;"",L175&lt;&gt;$D$17,B175&gt;$D$16),Resumo!$F$11,0))</f>
        <v>25</v>
      </c>
      <c r="K175" s="38">
        <f t="shared" ca="1" si="28"/>
        <v>2130.7382475454988</v>
      </c>
      <c r="L175" s="39" t="str">
        <f>IF(B175&lt;&gt;"",VLOOKUP(MONTH(C175),Sheet2!$F$1:$G$12,2,0),"")</f>
        <v>Abril</v>
      </c>
      <c r="M175" s="200">
        <f t="shared" ca="1" si="34"/>
        <v>0</v>
      </c>
      <c r="N175" s="40">
        <f t="shared" ca="1" si="35"/>
        <v>2034.7339350225411</v>
      </c>
      <c r="O175" s="40">
        <f t="shared" ca="1" si="29"/>
        <v>2130.7382475454988</v>
      </c>
      <c r="P175" s="40"/>
      <c r="Q175" s="20">
        <f t="shared" ca="1" si="36"/>
        <v>834.89136490250701</v>
      </c>
      <c r="R175" s="1">
        <f t="shared" si="30"/>
        <v>4667</v>
      </c>
      <c r="S175" s="243">
        <f>IF(AND($K$2&gt;=DATEVALUE("03/04/2020"),$K$2&lt;=DATEVALUE("31/12/2020")),0,IF(Resumo!$C$19="PF",IF(R175&lt;360,0.0082%*R175,3%),IF(R175&lt;360,0.0041%*R175,1.5%)))</f>
        <v>1.4999999999999999E-2</v>
      </c>
      <c r="T175" s="172">
        <f t="shared" ca="1" si="37"/>
        <v>12.523370473537605</v>
      </c>
      <c r="X175" s="20">
        <f t="shared" ca="1" si="38"/>
        <v>2034.7339350225411</v>
      </c>
    </row>
    <row r="176" spans="2:24">
      <c r="B176" s="41">
        <f t="shared" si="31"/>
        <v>154</v>
      </c>
      <c r="C176" s="164">
        <f t="shared" si="32"/>
        <v>49444</v>
      </c>
      <c r="D176" s="42">
        <f t="shared" ca="1" si="26"/>
        <v>842.74931039701278</v>
      </c>
      <c r="E176" s="42">
        <f t="shared" ca="1" si="33"/>
        <v>1186.2539293148286</v>
      </c>
      <c r="F176" s="42">
        <f t="shared" ca="1" si="27"/>
        <v>2029.0032397118414</v>
      </c>
      <c r="G176" s="42">
        <f ca="1">IF(B176&lt;=$D$16,G175*(1+$D$13)^((C176-C175)/_xlfn.DAYS(EDATE(C175,1),C175)),G175-D176)+IF(B176&lt;=$D$16,G175*Resumo!$F$12,0)+IF(B176&lt;=$D$16,$D$15*Resumo!$F$13,0)+IF(B176&lt;=$D$16,25,0)-IF(AND($D$16&gt;3,B176&lt;=$D$16),K176,0)</f>
        <v>173606.35794178367</v>
      </c>
      <c r="H176" s="42">
        <f ca="1">IF(AND(B176&lt;&gt;"",L176&lt;&gt;$D$17,$D$16&gt;3),G176*Resumo!$F$12,IF(AND(B176&lt;&gt;"",L176&lt;&gt;$D$17,B176&gt;$D$16),G176*Resumo!$F$12,0))</f>
        <v>36.457335167774573</v>
      </c>
      <c r="I176" s="42">
        <f>IF(AND(B176&lt;&gt;"",L176&lt;&gt;$D$17,$D$16&gt;3,$B176&lt;=$D$16),$D$15*Resumo!$F$13,IF(AND(B176&lt;&gt;"",L176&lt;&gt;$D$17,B176&gt;$D$16),$D$15*Resumo!$F$13,0))</f>
        <v>34.369999999999997</v>
      </c>
      <c r="J176" s="42">
        <f>IF(AND(B176&lt;&gt;"",L176&lt;&gt;$D$17,$D$16&gt;3,$B176&lt;=$D$16),Resumo!$F$11,IF(AND(B176&lt;&gt;"",L176&lt;&gt;$D$17,B176&gt;$D$16),Resumo!$F$11,0))</f>
        <v>25</v>
      </c>
      <c r="K176" s="42">
        <f t="shared" ca="1" si="28"/>
        <v>2124.8305748796161</v>
      </c>
      <c r="L176" s="39" t="str">
        <f>IF(B176&lt;&gt;"",VLOOKUP(MONTH(C176),Sheet2!$F$1:$G$12,2,0),"")</f>
        <v>Maio</v>
      </c>
      <c r="M176" s="200">
        <f t="shared" ca="1" si="34"/>
        <v>0</v>
      </c>
      <c r="N176" s="40">
        <f t="shared" ca="1" si="35"/>
        <v>2029.0032397118414</v>
      </c>
      <c r="O176" s="40">
        <f t="shared" ca="1" si="29"/>
        <v>2124.8305748796161</v>
      </c>
      <c r="P176" s="40"/>
      <c r="Q176" s="20">
        <f t="shared" ca="1" si="36"/>
        <v>834.89136490250701</v>
      </c>
      <c r="R176" s="1">
        <f t="shared" si="30"/>
        <v>4697</v>
      </c>
      <c r="S176" s="243">
        <f>IF(AND($K$2&gt;=DATEVALUE("03/04/2020"),$K$2&lt;=DATEVALUE("31/12/2020")),0,IF(Resumo!$C$19="PF",IF(R176&lt;360,0.0082%*R176,3%),IF(R176&lt;360,0.0041%*R176,1.5%)))</f>
        <v>1.4999999999999999E-2</v>
      </c>
      <c r="T176" s="172">
        <f t="shared" ca="1" si="37"/>
        <v>12.523370473537605</v>
      </c>
      <c r="X176" s="20">
        <f t="shared" ca="1" si="38"/>
        <v>2029.0032397118414</v>
      </c>
    </row>
    <row r="177" spans="2:24">
      <c r="B177" s="37">
        <f t="shared" si="31"/>
        <v>155</v>
      </c>
      <c r="C177" s="163">
        <f t="shared" si="32"/>
        <v>49475</v>
      </c>
      <c r="D177" s="38">
        <f t="shared" ca="1" si="26"/>
        <v>842.74931039701278</v>
      </c>
      <c r="E177" s="38">
        <f t="shared" ca="1" si="33"/>
        <v>1180.5232340041289</v>
      </c>
      <c r="F177" s="38">
        <f t="shared" ca="1" si="27"/>
        <v>2023.2725444011417</v>
      </c>
      <c r="G177" s="38">
        <f ca="1">IF(B177&lt;=$D$16,G176*(1+$D$13)^((C177-C176)/_xlfn.DAYS(EDATE(C176,1),C176)),G176-D177)+IF(B177&lt;=$D$16,G176*Resumo!$F$12,0)+IF(B177&lt;=$D$16,$D$15*Resumo!$F$13,0)+IF(B177&lt;=$D$16,25,0)-IF(AND($D$16&gt;3,B177&lt;=$D$16),K177,0)</f>
        <v>172763.60863138665</v>
      </c>
      <c r="H177" s="38">
        <f ca="1">IF(AND(B177&lt;&gt;"",L177&lt;&gt;$D$17,$D$16&gt;3),G177*Resumo!$F$12,IF(AND(B177&lt;&gt;"",L177&lt;&gt;$D$17,B177&gt;$D$16),G177*Resumo!$F$12,0))</f>
        <v>36.280357812591198</v>
      </c>
      <c r="I177" s="38">
        <f>IF(AND(B177&lt;&gt;"",L177&lt;&gt;$D$17,$D$16&gt;3,$B177&lt;=$D$16),$D$15*Resumo!$F$13,IF(AND(B177&lt;&gt;"",L177&lt;&gt;$D$17,B177&gt;$D$16),$D$15*Resumo!$F$13,0))</f>
        <v>34.369999999999997</v>
      </c>
      <c r="J177" s="38">
        <f>IF(AND(B177&lt;&gt;"",L177&lt;&gt;$D$17,$D$16&gt;3,$B177&lt;=$D$16),Resumo!$F$11,IF(AND(B177&lt;&gt;"",L177&lt;&gt;$D$17,B177&gt;$D$16),Resumo!$F$11,0))</f>
        <v>25</v>
      </c>
      <c r="K177" s="38">
        <f t="shared" ca="1" si="28"/>
        <v>2118.9229022137329</v>
      </c>
      <c r="L177" s="39" t="str">
        <f>IF(B177&lt;&gt;"",VLOOKUP(MONTH(C177),Sheet2!$F$1:$G$12,2,0),"")</f>
        <v>Junho</v>
      </c>
      <c r="M177" s="200">
        <f t="shared" ca="1" si="34"/>
        <v>0</v>
      </c>
      <c r="N177" s="40">
        <f t="shared" ca="1" si="35"/>
        <v>2023.2725444011417</v>
      </c>
      <c r="O177" s="40">
        <f t="shared" ca="1" si="29"/>
        <v>2118.9229022137329</v>
      </c>
      <c r="P177" s="40"/>
      <c r="Q177" s="20">
        <f t="shared" ca="1" si="36"/>
        <v>834.89136490250701</v>
      </c>
      <c r="R177" s="1">
        <f t="shared" si="30"/>
        <v>4728</v>
      </c>
      <c r="S177" s="243">
        <f>IF(AND($K$2&gt;=DATEVALUE("03/04/2020"),$K$2&lt;=DATEVALUE("31/12/2020")),0,IF(Resumo!$C$19="PF",IF(R177&lt;360,0.0082%*R177,3%),IF(R177&lt;360,0.0041%*R177,1.5%)))</f>
        <v>1.4999999999999999E-2</v>
      </c>
      <c r="T177" s="172">
        <f t="shared" ca="1" si="37"/>
        <v>12.523370473537605</v>
      </c>
      <c r="X177" s="20">
        <f t="shared" ca="1" si="38"/>
        <v>2023.2725444011417</v>
      </c>
    </row>
    <row r="178" spans="2:24">
      <c r="B178" s="41">
        <f t="shared" si="31"/>
        <v>156</v>
      </c>
      <c r="C178" s="164">
        <f t="shared" si="32"/>
        <v>49505</v>
      </c>
      <c r="D178" s="42">
        <f t="shared" ca="1" si="26"/>
        <v>842.74931039701278</v>
      </c>
      <c r="E178" s="42">
        <f t="shared" ca="1" si="33"/>
        <v>1174.7925386934292</v>
      </c>
      <c r="F178" s="42">
        <f t="shared" ca="1" si="27"/>
        <v>2017.5418490904419</v>
      </c>
      <c r="G178" s="42">
        <f ca="1">IF(B178&lt;=$D$16,G177*(1+$D$13)^((C178-C177)/_xlfn.DAYS(EDATE(C177,1),C177)),G177-D178)+IF(B178&lt;=$D$16,G177*Resumo!$F$12,0)+IF(B178&lt;=$D$16,$D$15*Resumo!$F$13,0)+IF(B178&lt;=$D$16,25,0)-IF(AND($D$16&gt;3,B178&lt;=$D$16),K178,0)</f>
        <v>171920.85932098964</v>
      </c>
      <c r="H178" s="42">
        <f ca="1">IF(AND(B178&lt;&gt;"",L178&lt;&gt;$D$17,$D$16&gt;3),G178*Resumo!$F$12,IF(AND(B178&lt;&gt;"",L178&lt;&gt;$D$17,B178&gt;$D$16),G178*Resumo!$F$12,0))</f>
        <v>36.103380457407823</v>
      </c>
      <c r="I178" s="42">
        <f>IF(AND(B178&lt;&gt;"",L178&lt;&gt;$D$17,$D$16&gt;3,$B178&lt;=$D$16),$D$15*Resumo!$F$13,IF(AND(B178&lt;&gt;"",L178&lt;&gt;$D$17,B178&gt;$D$16),$D$15*Resumo!$F$13,0))</f>
        <v>34.369999999999997</v>
      </c>
      <c r="J178" s="42">
        <f>IF(AND(B178&lt;&gt;"",L178&lt;&gt;$D$17,$D$16&gt;3,$B178&lt;=$D$16),Resumo!$F$11,IF(AND(B178&lt;&gt;"",L178&lt;&gt;$D$17,B178&gt;$D$16),Resumo!$F$11,0))</f>
        <v>25</v>
      </c>
      <c r="K178" s="42">
        <f t="shared" ca="1" si="28"/>
        <v>2113.0152295478497</v>
      </c>
      <c r="L178" s="39" t="str">
        <f>IF(B178&lt;&gt;"",VLOOKUP(MONTH(C178),Sheet2!$F$1:$G$12,2,0),"")</f>
        <v>Julho</v>
      </c>
      <c r="M178" s="200">
        <f t="shared" ca="1" si="34"/>
        <v>0</v>
      </c>
      <c r="N178" s="40">
        <f t="shared" ca="1" si="35"/>
        <v>2017.5418490904419</v>
      </c>
      <c r="O178" s="40">
        <f t="shared" ca="1" si="29"/>
        <v>2113.0152295478497</v>
      </c>
      <c r="P178" s="40"/>
      <c r="Q178" s="20">
        <f t="shared" ca="1" si="36"/>
        <v>834.89136490250701</v>
      </c>
      <c r="R178" s="1">
        <f t="shared" si="30"/>
        <v>4758</v>
      </c>
      <c r="S178" s="243">
        <f>IF(AND($K$2&gt;=DATEVALUE("03/04/2020"),$K$2&lt;=DATEVALUE("31/12/2020")),0,IF(Resumo!$C$19="PF",IF(R178&lt;360,0.0082%*R178,3%),IF(R178&lt;360,0.0041%*R178,1.5%)))</f>
        <v>1.4999999999999999E-2</v>
      </c>
      <c r="T178" s="172">
        <f t="shared" ca="1" si="37"/>
        <v>12.523370473537605</v>
      </c>
      <c r="X178" s="20">
        <f t="shared" ca="1" si="38"/>
        <v>2017.5418490904419</v>
      </c>
    </row>
    <row r="179" spans="2:24">
      <c r="B179" s="37">
        <f t="shared" si="31"/>
        <v>157</v>
      </c>
      <c r="C179" s="163">
        <f t="shared" si="32"/>
        <v>49536</v>
      </c>
      <c r="D179" s="38">
        <f t="shared" ca="1" si="26"/>
        <v>842.74931039701278</v>
      </c>
      <c r="E179" s="38">
        <f t="shared" ca="1" si="33"/>
        <v>1169.0618433827294</v>
      </c>
      <c r="F179" s="38">
        <f t="shared" ca="1" si="27"/>
        <v>2011.8111537797422</v>
      </c>
      <c r="G179" s="38">
        <f ca="1">IF(B179&lt;=$D$16,G178*(1+$D$13)^((C179-C178)/_xlfn.DAYS(EDATE(C178,1),C178)),G178-D179)+IF(B179&lt;=$D$16,G178*Resumo!$F$12,0)+IF(B179&lt;=$D$16,$D$15*Resumo!$F$13,0)+IF(B179&lt;=$D$16,25,0)-IF(AND($D$16&gt;3,B179&lt;=$D$16),K179,0)</f>
        <v>171078.11001059262</v>
      </c>
      <c r="H179" s="38">
        <f ca="1">IF(AND(B179&lt;&gt;"",L179&lt;&gt;$D$17,$D$16&gt;3),G179*Resumo!$F$12,IF(AND(B179&lt;&gt;"",L179&lt;&gt;$D$17,B179&gt;$D$16),G179*Resumo!$F$12,0))</f>
        <v>35.926403102224448</v>
      </c>
      <c r="I179" s="38">
        <f>IF(AND(B179&lt;&gt;"",L179&lt;&gt;$D$17,$D$16&gt;3,$B179&lt;=$D$16),$D$15*Resumo!$F$13,IF(AND(B179&lt;&gt;"",L179&lt;&gt;$D$17,B179&gt;$D$16),$D$15*Resumo!$F$13,0))</f>
        <v>34.369999999999997</v>
      </c>
      <c r="J179" s="38">
        <f>IF(AND(B179&lt;&gt;"",L179&lt;&gt;$D$17,$D$16&gt;3,$B179&lt;=$D$16),Resumo!$F$11,IF(AND(B179&lt;&gt;"",L179&lt;&gt;$D$17,B179&gt;$D$16),Resumo!$F$11,0))</f>
        <v>25</v>
      </c>
      <c r="K179" s="38">
        <f t="shared" ca="1" si="28"/>
        <v>2107.1075568819665</v>
      </c>
      <c r="L179" s="39" t="str">
        <f>IF(B179&lt;&gt;"",VLOOKUP(MONTH(C179),Sheet2!$F$1:$G$12,2,0),"")</f>
        <v>Agosto</v>
      </c>
      <c r="M179" s="200">
        <f t="shared" ca="1" si="34"/>
        <v>0</v>
      </c>
      <c r="N179" s="40">
        <f t="shared" ca="1" si="35"/>
        <v>2011.8111537797422</v>
      </c>
      <c r="O179" s="40">
        <f t="shared" ca="1" si="29"/>
        <v>2107.1075568819665</v>
      </c>
      <c r="P179" s="40"/>
      <c r="Q179" s="20">
        <f t="shared" ca="1" si="36"/>
        <v>834.89136490250701</v>
      </c>
      <c r="R179" s="1">
        <f t="shared" si="30"/>
        <v>4789</v>
      </c>
      <c r="S179" s="243">
        <f>IF(AND($K$2&gt;=DATEVALUE("03/04/2020"),$K$2&lt;=DATEVALUE("31/12/2020")),0,IF(Resumo!$C$19="PF",IF(R179&lt;360,0.0082%*R179,3%),IF(R179&lt;360,0.0041%*R179,1.5%)))</f>
        <v>1.4999999999999999E-2</v>
      </c>
      <c r="T179" s="172">
        <f t="shared" ca="1" si="37"/>
        <v>12.523370473537605</v>
      </c>
      <c r="X179" s="20">
        <f t="shared" ca="1" si="38"/>
        <v>2011.8111537797422</v>
      </c>
    </row>
    <row r="180" spans="2:24">
      <c r="B180" s="41">
        <f t="shared" si="31"/>
        <v>158</v>
      </c>
      <c r="C180" s="164">
        <f t="shared" si="32"/>
        <v>49567</v>
      </c>
      <c r="D180" s="42">
        <f t="shared" ca="1" si="26"/>
        <v>842.74931039701278</v>
      </c>
      <c r="E180" s="42">
        <f t="shared" ca="1" si="33"/>
        <v>1163.3311480720297</v>
      </c>
      <c r="F180" s="42">
        <f t="shared" ca="1" si="27"/>
        <v>2006.0804584690425</v>
      </c>
      <c r="G180" s="42">
        <f ca="1">IF(B180&lt;=$D$16,G179*(1+$D$13)^((C180-C179)/_xlfn.DAYS(EDATE(C179,1),C179)),G179-D180)+IF(B180&lt;=$D$16,G179*Resumo!$F$12,0)+IF(B180&lt;=$D$16,$D$15*Resumo!$F$13,0)+IF(B180&lt;=$D$16,25,0)-IF(AND($D$16&gt;3,B180&lt;=$D$16),K180,0)</f>
        <v>170235.3607001956</v>
      </c>
      <c r="H180" s="42">
        <f ca="1">IF(AND(B180&lt;&gt;"",L180&lt;&gt;$D$17,$D$16&gt;3),G180*Resumo!$F$12,IF(AND(B180&lt;&gt;"",L180&lt;&gt;$D$17,B180&gt;$D$16),G180*Resumo!$F$12,0))</f>
        <v>35.74942574704108</v>
      </c>
      <c r="I180" s="42">
        <f>IF(AND(B180&lt;&gt;"",L180&lt;&gt;$D$17,$D$16&gt;3,$B180&lt;=$D$16),$D$15*Resumo!$F$13,IF(AND(B180&lt;&gt;"",L180&lt;&gt;$D$17,B180&gt;$D$16),$D$15*Resumo!$F$13,0))</f>
        <v>34.369999999999997</v>
      </c>
      <c r="J180" s="42">
        <f>IF(AND(B180&lt;&gt;"",L180&lt;&gt;$D$17,$D$16&gt;3,$B180&lt;=$D$16),Resumo!$F$11,IF(AND(B180&lt;&gt;"",L180&lt;&gt;$D$17,B180&gt;$D$16),Resumo!$F$11,0))</f>
        <v>25</v>
      </c>
      <c r="K180" s="42">
        <f t="shared" ca="1" si="28"/>
        <v>2101.1998842160838</v>
      </c>
      <c r="L180" s="39" t="str">
        <f>IF(B180&lt;&gt;"",VLOOKUP(MONTH(C180),Sheet2!$F$1:$G$12,2,0),"")</f>
        <v>Setembro</v>
      </c>
      <c r="M180" s="200">
        <f t="shared" ca="1" si="34"/>
        <v>0</v>
      </c>
      <c r="N180" s="40">
        <f t="shared" ca="1" si="35"/>
        <v>2006.0804584690425</v>
      </c>
      <c r="O180" s="40">
        <f t="shared" ca="1" si="29"/>
        <v>2101.1998842160838</v>
      </c>
      <c r="P180" s="40"/>
      <c r="Q180" s="20">
        <f t="shared" ca="1" si="36"/>
        <v>834.89136490250701</v>
      </c>
      <c r="R180" s="1">
        <f t="shared" si="30"/>
        <v>4820</v>
      </c>
      <c r="S180" s="243">
        <f>IF(AND($K$2&gt;=DATEVALUE("03/04/2020"),$K$2&lt;=DATEVALUE("31/12/2020")),0,IF(Resumo!$C$19="PF",IF(R180&lt;360,0.0082%*R180,3%),IF(R180&lt;360,0.0041%*R180,1.5%)))</f>
        <v>1.4999999999999999E-2</v>
      </c>
      <c r="T180" s="172">
        <f t="shared" ca="1" si="37"/>
        <v>12.523370473537605</v>
      </c>
      <c r="X180" s="20">
        <f t="shared" ca="1" si="38"/>
        <v>2006.0804584690425</v>
      </c>
    </row>
    <row r="181" spans="2:24">
      <c r="B181" s="37">
        <f t="shared" si="31"/>
        <v>159</v>
      </c>
      <c r="C181" s="163">
        <f t="shared" si="32"/>
        <v>49597</v>
      </c>
      <c r="D181" s="38">
        <f t="shared" ca="1" si="26"/>
        <v>842.74931039701278</v>
      </c>
      <c r="E181" s="38">
        <f t="shared" ca="1" si="33"/>
        <v>1157.60045276133</v>
      </c>
      <c r="F181" s="38">
        <f t="shared" ca="1" si="27"/>
        <v>2000.3497631583427</v>
      </c>
      <c r="G181" s="38">
        <f ca="1">IF(B181&lt;=$D$16,G180*(1+$D$13)^((C181-C180)/_xlfn.DAYS(EDATE(C180,1),C180)),G180-D181)+IF(B181&lt;=$D$16,G180*Resumo!$F$12,0)+IF(B181&lt;=$D$16,$D$15*Resumo!$F$13,0)+IF(B181&lt;=$D$16,25,0)-IF(AND($D$16&gt;3,B181&lt;=$D$16),K181,0)</f>
        <v>169392.61138979858</v>
      </c>
      <c r="H181" s="38">
        <f ca="1">IF(AND(B181&lt;&gt;"",L181&lt;&gt;$D$17,$D$16&gt;3),G181*Resumo!$F$12,IF(AND(B181&lt;&gt;"",L181&lt;&gt;$D$17,B181&gt;$D$16),G181*Resumo!$F$12,0))</f>
        <v>35.572448391857705</v>
      </c>
      <c r="I181" s="38">
        <f>IF(AND(B181&lt;&gt;"",L181&lt;&gt;$D$17,$D$16&gt;3,$B181&lt;=$D$16),$D$15*Resumo!$F$13,IF(AND(B181&lt;&gt;"",L181&lt;&gt;$D$17,B181&gt;$D$16),$D$15*Resumo!$F$13,0))</f>
        <v>34.369999999999997</v>
      </c>
      <c r="J181" s="38">
        <f>IF(AND(B181&lt;&gt;"",L181&lt;&gt;$D$17,$D$16&gt;3,$B181&lt;=$D$16),Resumo!$F$11,IF(AND(B181&lt;&gt;"",L181&lt;&gt;$D$17,B181&gt;$D$16),Resumo!$F$11,0))</f>
        <v>25</v>
      </c>
      <c r="K181" s="38">
        <f t="shared" ca="1" si="28"/>
        <v>2095.2922115502006</v>
      </c>
      <c r="L181" s="39" t="str">
        <f>IF(B181&lt;&gt;"",VLOOKUP(MONTH(C181),Sheet2!$F$1:$G$12,2,0),"")</f>
        <v>Outubro</v>
      </c>
      <c r="M181" s="200">
        <f t="shared" ca="1" si="34"/>
        <v>0</v>
      </c>
      <c r="N181" s="40">
        <f t="shared" ca="1" si="35"/>
        <v>2000.3497631583427</v>
      </c>
      <c r="O181" s="40">
        <f t="shared" ca="1" si="29"/>
        <v>2095.2922115502006</v>
      </c>
      <c r="P181" s="40"/>
      <c r="Q181" s="20">
        <f t="shared" ca="1" si="36"/>
        <v>834.89136490250701</v>
      </c>
      <c r="R181" s="1">
        <f t="shared" si="30"/>
        <v>4850</v>
      </c>
      <c r="S181" s="243">
        <f>IF(AND($K$2&gt;=DATEVALUE("03/04/2020"),$K$2&lt;=DATEVALUE("31/12/2020")),0,IF(Resumo!$C$19="PF",IF(R181&lt;360,0.0082%*R181,3%),IF(R181&lt;360,0.0041%*R181,1.5%)))</f>
        <v>1.4999999999999999E-2</v>
      </c>
      <c r="T181" s="172">
        <f t="shared" ca="1" si="37"/>
        <v>12.523370473537605</v>
      </c>
      <c r="X181" s="20">
        <f t="shared" ca="1" si="38"/>
        <v>2000.3497631583427</v>
      </c>
    </row>
    <row r="182" spans="2:24">
      <c r="B182" s="41">
        <f t="shared" si="31"/>
        <v>160</v>
      </c>
      <c r="C182" s="164">
        <f t="shared" si="32"/>
        <v>49628</v>
      </c>
      <c r="D182" s="42">
        <f t="shared" ca="1" si="26"/>
        <v>842.74931039701278</v>
      </c>
      <c r="E182" s="42">
        <f t="shared" ca="1" si="33"/>
        <v>1151.8697574506302</v>
      </c>
      <c r="F182" s="42">
        <f t="shared" ca="1" si="27"/>
        <v>1994.619067847643</v>
      </c>
      <c r="G182" s="42">
        <f ca="1">IF(B182&lt;=$D$16,G181*(1+$D$13)^((C182-C181)/_xlfn.DAYS(EDATE(C181,1),C181)),G181-D182)+IF(B182&lt;=$D$16,G181*Resumo!$F$12,0)+IF(B182&lt;=$D$16,$D$15*Resumo!$F$13,0)+IF(B182&lt;=$D$16,25,0)-IF(AND($D$16&gt;3,B182&lt;=$D$16),K182,0)</f>
        <v>168549.86207940156</v>
      </c>
      <c r="H182" s="42">
        <f ca="1">IF(AND(B182&lt;&gt;"",L182&lt;&gt;$D$17,$D$16&gt;3),G182*Resumo!$F$12,IF(AND(B182&lt;&gt;"",L182&lt;&gt;$D$17,B182&gt;$D$16),G182*Resumo!$F$12,0))</f>
        <v>35.39547103667433</v>
      </c>
      <c r="I182" s="42">
        <f>IF(AND(B182&lt;&gt;"",L182&lt;&gt;$D$17,$D$16&gt;3,$B182&lt;=$D$16),$D$15*Resumo!$F$13,IF(AND(B182&lt;&gt;"",L182&lt;&gt;$D$17,B182&gt;$D$16),$D$15*Resumo!$F$13,0))</f>
        <v>34.369999999999997</v>
      </c>
      <c r="J182" s="42">
        <f>IF(AND(B182&lt;&gt;"",L182&lt;&gt;$D$17,$D$16&gt;3,$B182&lt;=$D$16),Resumo!$F$11,IF(AND(B182&lt;&gt;"",L182&lt;&gt;$D$17,B182&gt;$D$16),Resumo!$F$11,0))</f>
        <v>25</v>
      </c>
      <c r="K182" s="42">
        <f t="shared" ca="1" si="28"/>
        <v>2089.3845388843174</v>
      </c>
      <c r="L182" s="39" t="str">
        <f>IF(B182&lt;&gt;"",VLOOKUP(MONTH(C182),Sheet2!$F$1:$G$12,2,0),"")</f>
        <v>Novembro</v>
      </c>
      <c r="M182" s="200">
        <f t="shared" ca="1" si="34"/>
        <v>0</v>
      </c>
      <c r="N182" s="40">
        <f t="shared" ca="1" si="35"/>
        <v>1994.619067847643</v>
      </c>
      <c r="O182" s="40">
        <f t="shared" ca="1" si="29"/>
        <v>2089.3845388843174</v>
      </c>
      <c r="P182" s="40"/>
      <c r="Q182" s="20">
        <f t="shared" ca="1" si="36"/>
        <v>834.89136490250701</v>
      </c>
      <c r="R182" s="1">
        <f t="shared" si="30"/>
        <v>4881</v>
      </c>
      <c r="S182" s="243">
        <f>IF(AND($K$2&gt;=DATEVALUE("03/04/2020"),$K$2&lt;=DATEVALUE("31/12/2020")),0,IF(Resumo!$C$19="PF",IF(R182&lt;360,0.0082%*R182,3%),IF(R182&lt;360,0.0041%*R182,1.5%)))</f>
        <v>1.4999999999999999E-2</v>
      </c>
      <c r="T182" s="172">
        <f t="shared" ca="1" si="37"/>
        <v>12.523370473537605</v>
      </c>
      <c r="X182" s="20">
        <f t="shared" ca="1" si="38"/>
        <v>1994.619067847643</v>
      </c>
    </row>
    <row r="183" spans="2:24">
      <c r="B183" s="37">
        <f t="shared" si="31"/>
        <v>161</v>
      </c>
      <c r="C183" s="163">
        <f t="shared" si="32"/>
        <v>49658</v>
      </c>
      <c r="D183" s="38">
        <f t="shared" ca="1" si="26"/>
        <v>842.74931039701278</v>
      </c>
      <c r="E183" s="38">
        <f t="shared" ca="1" si="33"/>
        <v>1146.1390621399305</v>
      </c>
      <c r="F183" s="38">
        <f t="shared" ca="1" si="27"/>
        <v>1988.8883725369433</v>
      </c>
      <c r="G183" s="38">
        <f ca="1">IF(B183&lt;=$D$16,G182*(1+$D$13)^((C183-C182)/_xlfn.DAYS(EDATE(C182,1),C182)),G182-D183)+IF(B183&lt;=$D$16,G182*Resumo!$F$12,0)+IF(B183&lt;=$D$16,$D$15*Resumo!$F$13,0)+IF(B183&lt;=$D$16,25,0)-IF(AND($D$16&gt;3,B183&lt;=$D$16),K183,0)</f>
        <v>167707.11276900454</v>
      </c>
      <c r="H183" s="38">
        <f ca="1">IF(AND(B183&lt;&gt;"",L183&lt;&gt;$D$17,$D$16&gt;3),G183*Resumo!$F$12,IF(AND(B183&lt;&gt;"",L183&lt;&gt;$D$17,B183&gt;$D$16),G183*Resumo!$F$12,0))</f>
        <v>35.218493681490955</v>
      </c>
      <c r="I183" s="38">
        <f>IF(AND(B183&lt;&gt;"",L183&lt;&gt;$D$17,$D$16&gt;3,$B183&lt;=$D$16),$D$15*Resumo!$F$13,IF(AND(B183&lt;&gt;"",L183&lt;&gt;$D$17,B183&gt;$D$16),$D$15*Resumo!$F$13,0))</f>
        <v>34.369999999999997</v>
      </c>
      <c r="J183" s="38">
        <f>IF(AND(B183&lt;&gt;"",L183&lt;&gt;$D$17,$D$16&gt;3,$B183&lt;=$D$16),Resumo!$F$11,IF(AND(B183&lt;&gt;"",L183&lt;&gt;$D$17,B183&gt;$D$16),Resumo!$F$11,0))</f>
        <v>25</v>
      </c>
      <c r="K183" s="38">
        <f t="shared" ca="1" si="28"/>
        <v>2083.4768662184342</v>
      </c>
      <c r="L183" s="39" t="str">
        <f>IF(B183&lt;&gt;"",VLOOKUP(MONTH(C183),Sheet2!$F$1:$G$12,2,0),"")</f>
        <v>Dezembro</v>
      </c>
      <c r="M183" s="200">
        <f t="shared" ca="1" si="34"/>
        <v>0</v>
      </c>
      <c r="N183" s="40">
        <f t="shared" ca="1" si="35"/>
        <v>1988.8883725369433</v>
      </c>
      <c r="O183" s="40">
        <f t="shared" ca="1" si="29"/>
        <v>2083.4768662184342</v>
      </c>
      <c r="P183" s="40"/>
      <c r="Q183" s="20">
        <f t="shared" ca="1" si="36"/>
        <v>834.89136490250701</v>
      </c>
      <c r="R183" s="1">
        <f t="shared" si="30"/>
        <v>4911</v>
      </c>
      <c r="S183" s="243">
        <f>IF(AND($K$2&gt;=DATEVALUE("03/04/2020"),$K$2&lt;=DATEVALUE("31/12/2020")),0,IF(Resumo!$C$19="PF",IF(R183&lt;360,0.0082%*R183,3%),IF(R183&lt;360,0.0041%*R183,1.5%)))</f>
        <v>1.4999999999999999E-2</v>
      </c>
      <c r="T183" s="172">
        <f t="shared" ca="1" si="37"/>
        <v>12.523370473537605</v>
      </c>
      <c r="X183" s="20">
        <f t="shared" ca="1" si="38"/>
        <v>1988.8883725369433</v>
      </c>
    </row>
    <row r="184" spans="2:24">
      <c r="B184" s="41">
        <f t="shared" si="31"/>
        <v>162</v>
      </c>
      <c r="C184" s="164">
        <f t="shared" si="32"/>
        <v>49689</v>
      </c>
      <c r="D184" s="42">
        <f t="shared" ca="1" si="26"/>
        <v>842.74931039701278</v>
      </c>
      <c r="E184" s="42">
        <f t="shared" ca="1" si="33"/>
        <v>1140.4083668292308</v>
      </c>
      <c r="F184" s="42">
        <f t="shared" ca="1" si="27"/>
        <v>1983.1576772262435</v>
      </c>
      <c r="G184" s="42">
        <f ca="1">IF(B184&lt;=$D$16,G183*(1+$D$13)^((C184-C183)/_xlfn.DAYS(EDATE(C183,1),C183)),G183-D184)+IF(B184&lt;=$D$16,G183*Resumo!$F$12,0)+IF(B184&lt;=$D$16,$D$15*Resumo!$F$13,0)+IF(B184&lt;=$D$16,25,0)-IF(AND($D$16&gt;3,B184&lt;=$D$16),K184,0)</f>
        <v>166864.36345860752</v>
      </c>
      <c r="H184" s="42">
        <f ca="1">IF(AND(B184&lt;&gt;"",L184&lt;&gt;$D$17,$D$16&gt;3),G184*Resumo!$F$12,IF(AND(B184&lt;&gt;"",L184&lt;&gt;$D$17,B184&gt;$D$16),G184*Resumo!$F$12,0))</f>
        <v>35.04151632630758</v>
      </c>
      <c r="I184" s="42">
        <f>IF(AND(B184&lt;&gt;"",L184&lt;&gt;$D$17,$D$16&gt;3,$B184&lt;=$D$16),$D$15*Resumo!$F$13,IF(AND(B184&lt;&gt;"",L184&lt;&gt;$D$17,B184&gt;$D$16),$D$15*Resumo!$F$13,0))</f>
        <v>34.369999999999997</v>
      </c>
      <c r="J184" s="42">
        <f>IF(AND(B184&lt;&gt;"",L184&lt;&gt;$D$17,$D$16&gt;3,$B184&lt;=$D$16),Resumo!$F$11,IF(AND(B184&lt;&gt;"",L184&lt;&gt;$D$17,B184&gt;$D$16),Resumo!$F$11,0))</f>
        <v>25</v>
      </c>
      <c r="K184" s="42">
        <f t="shared" ca="1" si="28"/>
        <v>2077.569193552551</v>
      </c>
      <c r="L184" s="39" t="str">
        <f>IF(B184&lt;&gt;"",VLOOKUP(MONTH(C184),Sheet2!$F$1:$G$12,2,0),"")</f>
        <v>Janeiro</v>
      </c>
      <c r="M184" s="200">
        <f t="shared" ca="1" si="34"/>
        <v>0</v>
      </c>
      <c r="N184" s="40">
        <f t="shared" ca="1" si="35"/>
        <v>1983.1576772262435</v>
      </c>
      <c r="O184" s="40">
        <f t="shared" ca="1" si="29"/>
        <v>2077.569193552551</v>
      </c>
      <c r="P184" s="40"/>
      <c r="Q184" s="20">
        <f t="shared" ca="1" si="36"/>
        <v>834.89136490250701</v>
      </c>
      <c r="R184" s="1">
        <f t="shared" si="30"/>
        <v>4942</v>
      </c>
      <c r="S184" s="243">
        <f>IF(AND($K$2&gt;=DATEVALUE("03/04/2020"),$K$2&lt;=DATEVALUE("31/12/2020")),0,IF(Resumo!$C$19="PF",IF(R184&lt;360,0.0082%*R184,3%),IF(R184&lt;360,0.0041%*R184,1.5%)))</f>
        <v>1.4999999999999999E-2</v>
      </c>
      <c r="T184" s="172">
        <f t="shared" ca="1" si="37"/>
        <v>12.523370473537605</v>
      </c>
      <c r="X184" s="20">
        <f t="shared" ca="1" si="38"/>
        <v>1983.1576772262435</v>
      </c>
    </row>
    <row r="185" spans="2:24">
      <c r="B185" s="37">
        <f t="shared" si="31"/>
        <v>163</v>
      </c>
      <c r="C185" s="163">
        <f t="shared" si="32"/>
        <v>49720</v>
      </c>
      <c r="D185" s="38">
        <f t="shared" ca="1" si="26"/>
        <v>842.74931039701278</v>
      </c>
      <c r="E185" s="38">
        <f t="shared" ca="1" si="33"/>
        <v>1134.677671518531</v>
      </c>
      <c r="F185" s="38">
        <f t="shared" ca="1" si="27"/>
        <v>1977.4269819155438</v>
      </c>
      <c r="G185" s="38">
        <f ca="1">IF(B185&lt;=$D$16,G184*(1+$D$13)^((C185-C184)/_xlfn.DAYS(EDATE(C184,1),C184)),G184-D185)+IF(B185&lt;=$D$16,G184*Resumo!$F$12,0)+IF(B185&lt;=$D$16,$D$15*Resumo!$F$13,0)+IF(B185&lt;=$D$16,25,0)-IF(AND($D$16&gt;3,B185&lt;=$D$16),K185,0)</f>
        <v>166021.6141482105</v>
      </c>
      <c r="H185" s="38">
        <f ca="1">IF(AND(B185&lt;&gt;"",L185&lt;&gt;$D$17,$D$16&gt;3),G185*Resumo!$F$12,IF(AND(B185&lt;&gt;"",L185&lt;&gt;$D$17,B185&gt;$D$16),G185*Resumo!$F$12,0))</f>
        <v>34.864538971124205</v>
      </c>
      <c r="I185" s="38">
        <f>IF(AND(B185&lt;&gt;"",L185&lt;&gt;$D$17,$D$16&gt;3,$B185&lt;=$D$16),$D$15*Resumo!$F$13,IF(AND(B185&lt;&gt;"",L185&lt;&gt;$D$17,B185&gt;$D$16),$D$15*Resumo!$F$13,0))</f>
        <v>34.369999999999997</v>
      </c>
      <c r="J185" s="38">
        <f>IF(AND(B185&lt;&gt;"",L185&lt;&gt;$D$17,$D$16&gt;3,$B185&lt;=$D$16),Resumo!$F$11,IF(AND(B185&lt;&gt;"",L185&lt;&gt;$D$17,B185&gt;$D$16),Resumo!$F$11,0))</f>
        <v>25</v>
      </c>
      <c r="K185" s="38">
        <f t="shared" ca="1" si="28"/>
        <v>2071.6615208866679</v>
      </c>
      <c r="L185" s="39" t="str">
        <f>IF(B185&lt;&gt;"",VLOOKUP(MONTH(C185),Sheet2!$F$1:$G$12,2,0),"")</f>
        <v>Fevereiro</v>
      </c>
      <c r="M185" s="200">
        <f t="shared" ca="1" si="34"/>
        <v>0</v>
      </c>
      <c r="N185" s="40">
        <f t="shared" ca="1" si="35"/>
        <v>1977.4269819155438</v>
      </c>
      <c r="O185" s="40">
        <f t="shared" ca="1" si="29"/>
        <v>2071.6615208866679</v>
      </c>
      <c r="P185" s="40"/>
      <c r="Q185" s="20">
        <f t="shared" ca="1" si="36"/>
        <v>834.89136490250701</v>
      </c>
      <c r="R185" s="1">
        <f t="shared" si="30"/>
        <v>4973</v>
      </c>
      <c r="S185" s="243">
        <f>IF(AND($K$2&gt;=DATEVALUE("03/04/2020"),$K$2&lt;=DATEVALUE("31/12/2020")),0,IF(Resumo!$C$19="PF",IF(R185&lt;360,0.0082%*R185,3%),IF(R185&lt;360,0.0041%*R185,1.5%)))</f>
        <v>1.4999999999999999E-2</v>
      </c>
      <c r="T185" s="172">
        <f t="shared" ca="1" si="37"/>
        <v>12.523370473537605</v>
      </c>
      <c r="X185" s="20">
        <f t="shared" ca="1" si="38"/>
        <v>1977.4269819155438</v>
      </c>
    </row>
    <row r="186" spans="2:24">
      <c r="B186" s="41">
        <f t="shared" si="31"/>
        <v>164</v>
      </c>
      <c r="C186" s="164">
        <f t="shared" si="32"/>
        <v>49749</v>
      </c>
      <c r="D186" s="42">
        <f t="shared" ca="1" si="26"/>
        <v>842.74931039701278</v>
      </c>
      <c r="E186" s="42">
        <f t="shared" ca="1" si="33"/>
        <v>1128.9469762078313</v>
      </c>
      <c r="F186" s="42">
        <f t="shared" ca="1" si="27"/>
        <v>1971.6962866048441</v>
      </c>
      <c r="G186" s="42">
        <f ca="1">IF(B186&lt;=$D$16,G185*(1+$D$13)^((C186-C185)/_xlfn.DAYS(EDATE(C185,1),C185)),G185-D186)+IF(B186&lt;=$D$16,G185*Resumo!$F$12,0)+IF(B186&lt;=$D$16,$D$15*Resumo!$F$13,0)+IF(B186&lt;=$D$16,25,0)-IF(AND($D$16&gt;3,B186&lt;=$D$16),K186,0)</f>
        <v>165178.86483781348</v>
      </c>
      <c r="H186" s="42">
        <f ca="1">IF(AND(B186&lt;&gt;"",L186&lt;&gt;$D$17,$D$16&gt;3),G186*Resumo!$F$12,IF(AND(B186&lt;&gt;"",L186&lt;&gt;$D$17,B186&gt;$D$16),G186*Resumo!$F$12,0))</f>
        <v>34.68756161594083</v>
      </c>
      <c r="I186" s="42">
        <f>IF(AND(B186&lt;&gt;"",L186&lt;&gt;$D$17,$D$16&gt;3,$B186&lt;=$D$16),$D$15*Resumo!$F$13,IF(AND(B186&lt;&gt;"",L186&lt;&gt;$D$17,B186&gt;$D$16),$D$15*Resumo!$F$13,0))</f>
        <v>34.369999999999997</v>
      </c>
      <c r="J186" s="42">
        <f>IF(AND(B186&lt;&gt;"",L186&lt;&gt;$D$17,$D$16&gt;3,$B186&lt;=$D$16),Resumo!$F$11,IF(AND(B186&lt;&gt;"",L186&lt;&gt;$D$17,B186&gt;$D$16),Resumo!$F$11,0))</f>
        <v>25</v>
      </c>
      <c r="K186" s="42">
        <f t="shared" ca="1" si="28"/>
        <v>2065.7538482207847</v>
      </c>
      <c r="L186" s="39" t="str">
        <f>IF(B186&lt;&gt;"",VLOOKUP(MONTH(C186),Sheet2!$F$1:$G$12,2,0),"")</f>
        <v>Março</v>
      </c>
      <c r="M186" s="200">
        <f t="shared" ca="1" si="34"/>
        <v>0</v>
      </c>
      <c r="N186" s="40">
        <f t="shared" ca="1" si="35"/>
        <v>1971.6962866048441</v>
      </c>
      <c r="O186" s="40">
        <f t="shared" ca="1" si="29"/>
        <v>2065.7538482207847</v>
      </c>
      <c r="P186" s="40"/>
      <c r="Q186" s="20">
        <f t="shared" ca="1" si="36"/>
        <v>834.89136490250701</v>
      </c>
      <c r="R186" s="1">
        <f t="shared" si="30"/>
        <v>5002</v>
      </c>
      <c r="S186" s="243">
        <f>IF(AND($K$2&gt;=DATEVALUE("03/04/2020"),$K$2&lt;=DATEVALUE("31/12/2020")),0,IF(Resumo!$C$19="PF",IF(R186&lt;360,0.0082%*R186,3%),IF(R186&lt;360,0.0041%*R186,1.5%)))</f>
        <v>1.4999999999999999E-2</v>
      </c>
      <c r="T186" s="172">
        <f t="shared" ca="1" si="37"/>
        <v>12.523370473537605</v>
      </c>
      <c r="X186" s="20">
        <f t="shared" ca="1" si="38"/>
        <v>1971.6962866048441</v>
      </c>
    </row>
    <row r="187" spans="2:24">
      <c r="B187" s="37">
        <f t="shared" si="31"/>
        <v>165</v>
      </c>
      <c r="C187" s="163">
        <f t="shared" si="32"/>
        <v>49780</v>
      </c>
      <c r="D187" s="38">
        <f t="shared" ca="1" si="26"/>
        <v>842.74931039701278</v>
      </c>
      <c r="E187" s="38">
        <f t="shared" ca="1" si="33"/>
        <v>1123.2162808971316</v>
      </c>
      <c r="F187" s="38">
        <f t="shared" ca="1" si="27"/>
        <v>1965.9655912941444</v>
      </c>
      <c r="G187" s="38">
        <f ca="1">IF(B187&lt;=$D$16,G186*(1+$D$13)^((C187-C186)/_xlfn.DAYS(EDATE(C186,1),C186)),G186-D187)+IF(B187&lt;=$D$16,G186*Resumo!$F$12,0)+IF(B187&lt;=$D$16,$D$15*Resumo!$F$13,0)+IF(B187&lt;=$D$16,25,0)-IF(AND($D$16&gt;3,B187&lt;=$D$16),K187,0)</f>
        <v>164336.11552741646</v>
      </c>
      <c r="H187" s="38">
        <f ca="1">IF(AND(B187&lt;&gt;"",L187&lt;&gt;$D$17,$D$16&gt;3),G187*Resumo!$F$12,IF(AND(B187&lt;&gt;"",L187&lt;&gt;$D$17,B187&gt;$D$16),G187*Resumo!$F$12,0))</f>
        <v>34.510584260757462</v>
      </c>
      <c r="I187" s="38">
        <f>IF(AND(B187&lt;&gt;"",L187&lt;&gt;$D$17,$D$16&gt;3,$B187&lt;=$D$16),$D$15*Resumo!$F$13,IF(AND(B187&lt;&gt;"",L187&lt;&gt;$D$17,B187&gt;$D$16),$D$15*Resumo!$F$13,0))</f>
        <v>34.369999999999997</v>
      </c>
      <c r="J187" s="38">
        <f>IF(AND(B187&lt;&gt;"",L187&lt;&gt;$D$17,$D$16&gt;3,$B187&lt;=$D$16),Resumo!$F$11,IF(AND(B187&lt;&gt;"",L187&lt;&gt;$D$17,B187&gt;$D$16),Resumo!$F$11,0))</f>
        <v>25</v>
      </c>
      <c r="K187" s="38">
        <f t="shared" ca="1" si="28"/>
        <v>2059.8461755549015</v>
      </c>
      <c r="L187" s="39" t="str">
        <f>IF(B187&lt;&gt;"",VLOOKUP(MONTH(C187),Sheet2!$F$1:$G$12,2,0),"")</f>
        <v>Abril</v>
      </c>
      <c r="M187" s="200">
        <f t="shared" ca="1" si="34"/>
        <v>0</v>
      </c>
      <c r="N187" s="40">
        <f t="shared" ca="1" si="35"/>
        <v>1965.9655912941444</v>
      </c>
      <c r="O187" s="40">
        <f t="shared" ca="1" si="29"/>
        <v>2059.8461755549015</v>
      </c>
      <c r="P187" s="40"/>
      <c r="Q187" s="20">
        <f t="shared" ca="1" si="36"/>
        <v>834.89136490250701</v>
      </c>
      <c r="R187" s="1">
        <f t="shared" si="30"/>
        <v>5033</v>
      </c>
      <c r="S187" s="243">
        <f>IF(AND($K$2&gt;=DATEVALUE("03/04/2020"),$K$2&lt;=DATEVALUE("31/12/2020")),0,IF(Resumo!$C$19="PF",IF(R187&lt;360,0.0082%*R187,3%),IF(R187&lt;360,0.0041%*R187,1.5%)))</f>
        <v>1.4999999999999999E-2</v>
      </c>
      <c r="T187" s="172">
        <f t="shared" ca="1" si="37"/>
        <v>12.523370473537605</v>
      </c>
      <c r="X187" s="20">
        <f t="shared" ca="1" si="38"/>
        <v>1965.9655912941444</v>
      </c>
    </row>
    <row r="188" spans="2:24">
      <c r="B188" s="41">
        <f t="shared" si="31"/>
        <v>166</v>
      </c>
      <c r="C188" s="164">
        <f t="shared" si="32"/>
        <v>49810</v>
      </c>
      <c r="D188" s="42">
        <f t="shared" ca="1" si="26"/>
        <v>842.74931039701278</v>
      </c>
      <c r="E188" s="42">
        <f t="shared" ca="1" si="33"/>
        <v>1117.4855855864319</v>
      </c>
      <c r="F188" s="42">
        <f t="shared" ca="1" si="27"/>
        <v>1960.2348959834446</v>
      </c>
      <c r="G188" s="42">
        <f ca="1">IF(B188&lt;=$D$16,G187*(1+$D$13)^((C188-C187)/_xlfn.DAYS(EDATE(C187,1),C187)),G187-D188)+IF(B188&lt;=$D$16,G187*Resumo!$F$12,0)+IF(B188&lt;=$D$16,$D$15*Resumo!$F$13,0)+IF(B188&lt;=$D$16,25,0)-IF(AND($D$16&gt;3,B188&lt;=$D$16),K188,0)</f>
        <v>163493.36621701944</v>
      </c>
      <c r="H188" s="42">
        <f ca="1">IF(AND(B188&lt;&gt;"",L188&lt;&gt;$D$17,$D$16&gt;3),G188*Resumo!$F$12,IF(AND(B188&lt;&gt;"",L188&lt;&gt;$D$17,B188&gt;$D$16),G188*Resumo!$F$12,0))</f>
        <v>34.333606905574086</v>
      </c>
      <c r="I188" s="42">
        <f>IF(AND(B188&lt;&gt;"",L188&lt;&gt;$D$17,$D$16&gt;3,$B188&lt;=$D$16),$D$15*Resumo!$F$13,IF(AND(B188&lt;&gt;"",L188&lt;&gt;$D$17,B188&gt;$D$16),$D$15*Resumo!$F$13,0))</f>
        <v>34.369999999999997</v>
      </c>
      <c r="J188" s="42">
        <f>IF(AND(B188&lt;&gt;"",L188&lt;&gt;$D$17,$D$16&gt;3,$B188&lt;=$D$16),Resumo!$F$11,IF(AND(B188&lt;&gt;"",L188&lt;&gt;$D$17,B188&gt;$D$16),Resumo!$F$11,0))</f>
        <v>25</v>
      </c>
      <c r="K188" s="42">
        <f t="shared" ca="1" si="28"/>
        <v>2053.9385028890183</v>
      </c>
      <c r="L188" s="39" t="str">
        <f>IF(B188&lt;&gt;"",VLOOKUP(MONTH(C188),Sheet2!$F$1:$G$12,2,0),"")</f>
        <v>Maio</v>
      </c>
      <c r="M188" s="200">
        <f t="shared" ca="1" si="34"/>
        <v>0</v>
      </c>
      <c r="N188" s="40">
        <f t="shared" ca="1" si="35"/>
        <v>1960.2348959834446</v>
      </c>
      <c r="O188" s="40">
        <f t="shared" ca="1" si="29"/>
        <v>2053.9385028890183</v>
      </c>
      <c r="P188" s="40"/>
      <c r="Q188" s="20">
        <f t="shared" ca="1" si="36"/>
        <v>834.89136490250701</v>
      </c>
      <c r="R188" s="1">
        <f t="shared" si="30"/>
        <v>5063</v>
      </c>
      <c r="S188" s="243">
        <f>IF(AND($K$2&gt;=DATEVALUE("03/04/2020"),$K$2&lt;=DATEVALUE("31/12/2020")),0,IF(Resumo!$C$19="PF",IF(R188&lt;360,0.0082%*R188,3%),IF(R188&lt;360,0.0041%*R188,1.5%)))</f>
        <v>1.4999999999999999E-2</v>
      </c>
      <c r="T188" s="172">
        <f t="shared" ca="1" si="37"/>
        <v>12.523370473537605</v>
      </c>
      <c r="X188" s="20">
        <f t="shared" ca="1" si="38"/>
        <v>1960.2348959834446</v>
      </c>
    </row>
    <row r="189" spans="2:24">
      <c r="B189" s="37">
        <f t="shared" si="31"/>
        <v>167</v>
      </c>
      <c r="C189" s="163">
        <f t="shared" si="32"/>
        <v>49841</v>
      </c>
      <c r="D189" s="38">
        <f t="shared" ca="1" si="26"/>
        <v>842.74931039701278</v>
      </c>
      <c r="E189" s="38">
        <f t="shared" ca="1" si="33"/>
        <v>1111.7548902757321</v>
      </c>
      <c r="F189" s="38">
        <f t="shared" ca="1" si="27"/>
        <v>1954.5042006727449</v>
      </c>
      <c r="G189" s="38">
        <f ca="1">IF(B189&lt;=$D$16,G188*(1+$D$13)^((C189-C188)/_xlfn.DAYS(EDATE(C188,1),C188)),G188-D189)+IF(B189&lt;=$D$16,G188*Resumo!$F$12,0)+IF(B189&lt;=$D$16,$D$15*Resumo!$F$13,0)+IF(B189&lt;=$D$16,25,0)-IF(AND($D$16&gt;3,B189&lt;=$D$16),K189,0)</f>
        <v>162650.61690662242</v>
      </c>
      <c r="H189" s="38">
        <f ca="1">IF(AND(B189&lt;&gt;"",L189&lt;&gt;$D$17,$D$16&gt;3),G189*Resumo!$F$12,IF(AND(B189&lt;&gt;"",L189&lt;&gt;$D$17,B189&gt;$D$16),G189*Resumo!$F$12,0))</f>
        <v>34.156629550390711</v>
      </c>
      <c r="I189" s="38">
        <f>IF(AND(B189&lt;&gt;"",L189&lt;&gt;$D$17,$D$16&gt;3,$B189&lt;=$D$16),$D$15*Resumo!$F$13,IF(AND(B189&lt;&gt;"",L189&lt;&gt;$D$17,B189&gt;$D$16),$D$15*Resumo!$F$13,0))</f>
        <v>34.369999999999997</v>
      </c>
      <c r="J189" s="38">
        <f>IF(AND(B189&lt;&gt;"",L189&lt;&gt;$D$17,$D$16&gt;3,$B189&lt;=$D$16),Resumo!$F$11,IF(AND(B189&lt;&gt;"",L189&lt;&gt;$D$17,B189&gt;$D$16),Resumo!$F$11,0))</f>
        <v>25</v>
      </c>
      <c r="K189" s="38">
        <f t="shared" ca="1" si="28"/>
        <v>2048.0308302231356</v>
      </c>
      <c r="L189" s="39" t="str">
        <f>IF(B189&lt;&gt;"",VLOOKUP(MONTH(C189),Sheet2!$F$1:$G$12,2,0),"")</f>
        <v>Junho</v>
      </c>
      <c r="M189" s="200">
        <f t="shared" ca="1" si="34"/>
        <v>0</v>
      </c>
      <c r="N189" s="40">
        <f t="shared" ca="1" si="35"/>
        <v>1954.5042006727449</v>
      </c>
      <c r="O189" s="40">
        <f t="shared" ca="1" si="29"/>
        <v>2048.0308302231356</v>
      </c>
      <c r="P189" s="40"/>
      <c r="Q189" s="20">
        <f t="shared" ca="1" si="36"/>
        <v>834.89136490250701</v>
      </c>
      <c r="R189" s="1">
        <f t="shared" si="30"/>
        <v>5094</v>
      </c>
      <c r="S189" s="243">
        <f>IF(AND($K$2&gt;=DATEVALUE("03/04/2020"),$K$2&lt;=DATEVALUE("31/12/2020")),0,IF(Resumo!$C$19="PF",IF(R189&lt;360,0.0082%*R189,3%),IF(R189&lt;360,0.0041%*R189,1.5%)))</f>
        <v>1.4999999999999999E-2</v>
      </c>
      <c r="T189" s="172">
        <f t="shared" ca="1" si="37"/>
        <v>12.523370473537605</v>
      </c>
      <c r="X189" s="20">
        <f t="shared" ca="1" si="38"/>
        <v>1954.5042006727449</v>
      </c>
    </row>
    <row r="190" spans="2:24">
      <c r="B190" s="41">
        <f t="shared" si="31"/>
        <v>168</v>
      </c>
      <c r="C190" s="164">
        <f t="shared" si="32"/>
        <v>49871</v>
      </c>
      <c r="D190" s="42">
        <f t="shared" ca="1" si="26"/>
        <v>842.74931039701278</v>
      </c>
      <c r="E190" s="42">
        <f t="shared" ca="1" si="33"/>
        <v>1106.0241949650324</v>
      </c>
      <c r="F190" s="42">
        <f t="shared" ca="1" si="27"/>
        <v>1948.7735053620452</v>
      </c>
      <c r="G190" s="42">
        <f ca="1">IF(B190&lt;=$D$16,G189*(1+$D$13)^((C190-C189)/_xlfn.DAYS(EDATE(C189,1),C189)),G189-D190)+IF(B190&lt;=$D$16,G189*Resumo!$F$12,0)+IF(B190&lt;=$D$16,$D$15*Resumo!$F$13,0)+IF(B190&lt;=$D$16,25,0)-IF(AND($D$16&gt;3,B190&lt;=$D$16),K190,0)</f>
        <v>161807.86759622541</v>
      </c>
      <c r="H190" s="42">
        <f ca="1">IF(AND(B190&lt;&gt;"",L190&lt;&gt;$D$17,$D$16&gt;3),G190*Resumo!$F$12,IF(AND(B190&lt;&gt;"",L190&lt;&gt;$D$17,B190&gt;$D$16),G190*Resumo!$F$12,0))</f>
        <v>33.979652195207336</v>
      </c>
      <c r="I190" s="42">
        <f>IF(AND(B190&lt;&gt;"",L190&lt;&gt;$D$17,$D$16&gt;3,$B190&lt;=$D$16),$D$15*Resumo!$F$13,IF(AND(B190&lt;&gt;"",L190&lt;&gt;$D$17,B190&gt;$D$16),$D$15*Resumo!$F$13,0))</f>
        <v>34.369999999999997</v>
      </c>
      <c r="J190" s="42">
        <f>IF(AND(B190&lt;&gt;"",L190&lt;&gt;$D$17,$D$16&gt;3,$B190&lt;=$D$16),Resumo!$F$11,IF(AND(B190&lt;&gt;"",L190&lt;&gt;$D$17,B190&gt;$D$16),Resumo!$F$11,0))</f>
        <v>25</v>
      </c>
      <c r="K190" s="42">
        <f t="shared" ca="1" si="28"/>
        <v>2042.1231575572524</v>
      </c>
      <c r="L190" s="39" t="str">
        <f>IF(B190&lt;&gt;"",VLOOKUP(MONTH(C190),Sheet2!$F$1:$G$12,2,0),"")</f>
        <v>Julho</v>
      </c>
      <c r="M190" s="200">
        <f t="shared" ca="1" si="34"/>
        <v>0</v>
      </c>
      <c r="N190" s="40">
        <f t="shared" ca="1" si="35"/>
        <v>1948.7735053620452</v>
      </c>
      <c r="O190" s="40">
        <f t="shared" ca="1" si="29"/>
        <v>2042.1231575572524</v>
      </c>
      <c r="P190" s="40"/>
      <c r="Q190" s="20">
        <f t="shared" ca="1" si="36"/>
        <v>834.89136490250701</v>
      </c>
      <c r="R190" s="1">
        <f t="shared" si="30"/>
        <v>5124</v>
      </c>
      <c r="S190" s="243">
        <f>IF(AND($K$2&gt;=DATEVALUE("03/04/2020"),$K$2&lt;=DATEVALUE("31/12/2020")),0,IF(Resumo!$C$19="PF",IF(R190&lt;360,0.0082%*R190,3%),IF(R190&lt;360,0.0041%*R190,1.5%)))</f>
        <v>1.4999999999999999E-2</v>
      </c>
      <c r="T190" s="172">
        <f t="shared" ca="1" si="37"/>
        <v>12.523370473537605</v>
      </c>
      <c r="X190" s="20">
        <f t="shared" ca="1" si="38"/>
        <v>1948.7735053620452</v>
      </c>
    </row>
    <row r="191" spans="2:24">
      <c r="B191" s="37">
        <f t="shared" si="31"/>
        <v>169</v>
      </c>
      <c r="C191" s="163">
        <f t="shared" si="32"/>
        <v>49902</v>
      </c>
      <c r="D191" s="38">
        <f t="shared" ca="1" si="26"/>
        <v>842.74931039701278</v>
      </c>
      <c r="E191" s="38">
        <f t="shared" ca="1" si="33"/>
        <v>1100.2934996543327</v>
      </c>
      <c r="F191" s="38">
        <f t="shared" ca="1" si="27"/>
        <v>1943.0428100513454</v>
      </c>
      <c r="G191" s="38">
        <f ca="1">IF(B191&lt;=$D$16,G190*(1+$D$13)^((C191-C190)/_xlfn.DAYS(EDATE(C190,1),C190)),G190-D191)+IF(B191&lt;=$D$16,G190*Resumo!$F$12,0)+IF(B191&lt;=$D$16,$D$15*Resumo!$F$13,0)+IF(B191&lt;=$D$16,25,0)-IF(AND($D$16&gt;3,B191&lt;=$D$16),K191,0)</f>
        <v>160965.11828582839</v>
      </c>
      <c r="H191" s="38">
        <f ca="1">IF(AND(B191&lt;&gt;"",L191&lt;&gt;$D$17,$D$16&gt;3),G191*Resumo!$F$12,IF(AND(B191&lt;&gt;"",L191&lt;&gt;$D$17,B191&gt;$D$16),G191*Resumo!$F$12,0))</f>
        <v>33.802674840023961</v>
      </c>
      <c r="I191" s="38">
        <f>IF(AND(B191&lt;&gt;"",L191&lt;&gt;$D$17,$D$16&gt;3,$B191&lt;=$D$16),$D$15*Resumo!$F$13,IF(AND(B191&lt;&gt;"",L191&lt;&gt;$D$17,B191&gt;$D$16),$D$15*Resumo!$F$13,0))</f>
        <v>34.369999999999997</v>
      </c>
      <c r="J191" s="38">
        <f>IF(AND(B191&lt;&gt;"",L191&lt;&gt;$D$17,$D$16&gt;3,$B191&lt;=$D$16),Resumo!$F$11,IF(AND(B191&lt;&gt;"",L191&lt;&gt;$D$17,B191&gt;$D$16),Resumo!$F$11,0))</f>
        <v>25</v>
      </c>
      <c r="K191" s="38">
        <f t="shared" ca="1" si="28"/>
        <v>2036.2154848913692</v>
      </c>
      <c r="L191" s="39" t="str">
        <f>IF(B191&lt;&gt;"",VLOOKUP(MONTH(C191),Sheet2!$F$1:$G$12,2,0),"")</f>
        <v>Agosto</v>
      </c>
      <c r="M191" s="200">
        <f t="shared" ca="1" si="34"/>
        <v>0</v>
      </c>
      <c r="N191" s="40">
        <f t="shared" ca="1" si="35"/>
        <v>1943.0428100513454</v>
      </c>
      <c r="O191" s="40">
        <f t="shared" ca="1" si="29"/>
        <v>2036.2154848913692</v>
      </c>
      <c r="P191" s="40"/>
      <c r="Q191" s="20">
        <f t="shared" ca="1" si="36"/>
        <v>834.89136490250701</v>
      </c>
      <c r="R191" s="1">
        <f t="shared" si="30"/>
        <v>5155</v>
      </c>
      <c r="S191" s="243">
        <f>IF(AND($K$2&gt;=DATEVALUE("03/04/2020"),$K$2&lt;=DATEVALUE("31/12/2020")),0,IF(Resumo!$C$19="PF",IF(R191&lt;360,0.0082%*R191,3%),IF(R191&lt;360,0.0041%*R191,1.5%)))</f>
        <v>1.4999999999999999E-2</v>
      </c>
      <c r="T191" s="172">
        <f t="shared" ca="1" si="37"/>
        <v>12.523370473537605</v>
      </c>
      <c r="X191" s="20">
        <f t="shared" ca="1" si="38"/>
        <v>1943.0428100513454</v>
      </c>
    </row>
    <row r="192" spans="2:24">
      <c r="B192" s="41">
        <f t="shared" si="31"/>
        <v>170</v>
      </c>
      <c r="C192" s="164">
        <f t="shared" si="32"/>
        <v>49933</v>
      </c>
      <c r="D192" s="42">
        <f t="shared" ca="1" si="26"/>
        <v>842.74931039701278</v>
      </c>
      <c r="E192" s="42">
        <f t="shared" ca="1" si="33"/>
        <v>1094.5628043436329</v>
      </c>
      <c r="F192" s="42">
        <f t="shared" ca="1" si="27"/>
        <v>1937.3121147406457</v>
      </c>
      <c r="G192" s="42">
        <f ca="1">IF(B192&lt;=$D$16,G191*(1+$D$13)^((C192-C191)/_xlfn.DAYS(EDATE(C191,1),C191)),G191-D192)+IF(B192&lt;=$D$16,G191*Resumo!$F$12,0)+IF(B192&lt;=$D$16,$D$15*Resumo!$F$13,0)+IF(B192&lt;=$D$16,25,0)-IF(AND($D$16&gt;3,B192&lt;=$D$16),K192,0)</f>
        <v>160122.36897543137</v>
      </c>
      <c r="H192" s="42">
        <f ca="1">IF(AND(B192&lt;&gt;"",L192&lt;&gt;$D$17,$D$16&gt;3),G192*Resumo!$F$12,IF(AND(B192&lt;&gt;"",L192&lt;&gt;$D$17,B192&gt;$D$16),G192*Resumo!$F$12,0))</f>
        <v>33.625697484840586</v>
      </c>
      <c r="I192" s="42">
        <f>IF(AND(B192&lt;&gt;"",L192&lt;&gt;$D$17,$D$16&gt;3,$B192&lt;=$D$16),$D$15*Resumo!$F$13,IF(AND(B192&lt;&gt;"",L192&lt;&gt;$D$17,B192&gt;$D$16),$D$15*Resumo!$F$13,0))</f>
        <v>34.369999999999997</v>
      </c>
      <c r="J192" s="42">
        <f>IF(AND(B192&lt;&gt;"",L192&lt;&gt;$D$17,$D$16&gt;3,$B192&lt;=$D$16),Resumo!$F$11,IF(AND(B192&lt;&gt;"",L192&lt;&gt;$D$17,B192&gt;$D$16),Resumo!$F$11,0))</f>
        <v>25</v>
      </c>
      <c r="K192" s="42">
        <f t="shared" ca="1" si="28"/>
        <v>2030.3078122254863</v>
      </c>
      <c r="L192" s="39" t="str">
        <f>IF(B192&lt;&gt;"",VLOOKUP(MONTH(C192),Sheet2!$F$1:$G$12,2,0),"")</f>
        <v>Setembro</v>
      </c>
      <c r="M192" s="200">
        <f t="shared" ca="1" si="34"/>
        <v>0</v>
      </c>
      <c r="N192" s="40">
        <f t="shared" ca="1" si="35"/>
        <v>1937.3121147406457</v>
      </c>
      <c r="O192" s="40">
        <f t="shared" ca="1" si="29"/>
        <v>2030.3078122254863</v>
      </c>
      <c r="P192" s="40"/>
      <c r="Q192" s="20">
        <f t="shared" ca="1" si="36"/>
        <v>834.89136490250701</v>
      </c>
      <c r="R192" s="1">
        <f t="shared" si="30"/>
        <v>5186</v>
      </c>
      <c r="S192" s="243">
        <f>IF(AND($K$2&gt;=DATEVALUE("03/04/2020"),$K$2&lt;=DATEVALUE("31/12/2020")),0,IF(Resumo!$C$19="PF",IF(R192&lt;360,0.0082%*R192,3%),IF(R192&lt;360,0.0041%*R192,1.5%)))</f>
        <v>1.4999999999999999E-2</v>
      </c>
      <c r="T192" s="172">
        <f t="shared" ca="1" si="37"/>
        <v>12.523370473537605</v>
      </c>
      <c r="X192" s="20">
        <f t="shared" ca="1" si="38"/>
        <v>1937.3121147406457</v>
      </c>
    </row>
    <row r="193" spans="2:24">
      <c r="B193" s="37">
        <f t="shared" si="31"/>
        <v>171</v>
      </c>
      <c r="C193" s="163">
        <f t="shared" si="32"/>
        <v>49963</v>
      </c>
      <c r="D193" s="38">
        <f t="shared" ca="1" si="26"/>
        <v>842.74931039701278</v>
      </c>
      <c r="E193" s="38">
        <f t="shared" ca="1" si="33"/>
        <v>1088.8321090329332</v>
      </c>
      <c r="F193" s="38">
        <f t="shared" ca="1" si="27"/>
        <v>1931.581419429946</v>
      </c>
      <c r="G193" s="38">
        <f ca="1">IF(B193&lt;=$D$16,G192*(1+$D$13)^((C193-C192)/_xlfn.DAYS(EDATE(C192,1),C192)),G192-D193)+IF(B193&lt;=$D$16,G192*Resumo!$F$12,0)+IF(B193&lt;=$D$16,$D$15*Resumo!$F$13,0)+IF(B193&lt;=$D$16,25,0)-IF(AND($D$16&gt;3,B193&lt;=$D$16),K193,0)</f>
        <v>159279.61966503435</v>
      </c>
      <c r="H193" s="38">
        <f ca="1">IF(AND(B193&lt;&gt;"",L193&lt;&gt;$D$17,$D$16&gt;3),G193*Resumo!$F$12,IF(AND(B193&lt;&gt;"",L193&lt;&gt;$D$17,B193&gt;$D$16),G193*Resumo!$F$12,0))</f>
        <v>33.448720129657211</v>
      </c>
      <c r="I193" s="38">
        <f>IF(AND(B193&lt;&gt;"",L193&lt;&gt;$D$17,$D$16&gt;3,$B193&lt;=$D$16),$D$15*Resumo!$F$13,IF(AND(B193&lt;&gt;"",L193&lt;&gt;$D$17,B193&gt;$D$16),$D$15*Resumo!$F$13,0))</f>
        <v>34.369999999999997</v>
      </c>
      <c r="J193" s="38">
        <f>IF(AND(B193&lt;&gt;"",L193&lt;&gt;$D$17,$D$16&gt;3,$B193&lt;=$D$16),Resumo!$F$11,IF(AND(B193&lt;&gt;"",L193&lt;&gt;$D$17,B193&gt;$D$16),Resumo!$F$11,0))</f>
        <v>25</v>
      </c>
      <c r="K193" s="38">
        <f t="shared" ca="1" si="28"/>
        <v>2024.4001395596031</v>
      </c>
      <c r="L193" s="39" t="str">
        <f>IF(B193&lt;&gt;"",VLOOKUP(MONTH(C193),Sheet2!$F$1:$G$12,2,0),"")</f>
        <v>Outubro</v>
      </c>
      <c r="M193" s="200">
        <f t="shared" ca="1" si="34"/>
        <v>0</v>
      </c>
      <c r="N193" s="40">
        <f t="shared" ca="1" si="35"/>
        <v>1931.581419429946</v>
      </c>
      <c r="O193" s="40">
        <f t="shared" ca="1" si="29"/>
        <v>2024.4001395596031</v>
      </c>
      <c r="P193" s="40"/>
      <c r="Q193" s="20">
        <f t="shared" ca="1" si="36"/>
        <v>834.89136490250701</v>
      </c>
      <c r="R193" s="1">
        <f t="shared" si="30"/>
        <v>5216</v>
      </c>
      <c r="S193" s="243">
        <f>IF(AND($K$2&gt;=DATEVALUE("03/04/2020"),$K$2&lt;=DATEVALUE("31/12/2020")),0,IF(Resumo!$C$19="PF",IF(R193&lt;360,0.0082%*R193,3%),IF(R193&lt;360,0.0041%*R193,1.5%)))</f>
        <v>1.4999999999999999E-2</v>
      </c>
      <c r="T193" s="172">
        <f t="shared" ca="1" si="37"/>
        <v>12.523370473537605</v>
      </c>
      <c r="X193" s="20">
        <f t="shared" ca="1" si="38"/>
        <v>1931.581419429946</v>
      </c>
    </row>
    <row r="194" spans="2:24">
      <c r="B194" s="41">
        <f t="shared" si="31"/>
        <v>172</v>
      </c>
      <c r="C194" s="164">
        <f t="shared" si="32"/>
        <v>49994</v>
      </c>
      <c r="D194" s="42">
        <f t="shared" ca="1" si="26"/>
        <v>842.74931039701278</v>
      </c>
      <c r="E194" s="42">
        <f t="shared" ca="1" si="33"/>
        <v>1083.1014137222335</v>
      </c>
      <c r="F194" s="42">
        <f t="shared" ca="1" si="27"/>
        <v>1925.8507241192463</v>
      </c>
      <c r="G194" s="42">
        <f ca="1">IF(B194&lt;=$D$16,G193*(1+$D$13)^((C194-C193)/_xlfn.DAYS(EDATE(C193,1),C193)),G193-D194)+IF(B194&lt;=$D$16,G193*Resumo!$F$12,0)+IF(B194&lt;=$D$16,$D$15*Resumo!$F$13,0)+IF(B194&lt;=$D$16,25,0)-IF(AND($D$16&gt;3,B194&lt;=$D$16),K194,0)</f>
        <v>158436.87035463733</v>
      </c>
      <c r="H194" s="42">
        <f ca="1">IF(AND(B194&lt;&gt;"",L194&lt;&gt;$D$17,$D$16&gt;3),G194*Resumo!$F$12,IF(AND(B194&lt;&gt;"",L194&lt;&gt;$D$17,B194&gt;$D$16),G194*Resumo!$F$12,0))</f>
        <v>33.271742774473843</v>
      </c>
      <c r="I194" s="42">
        <f>IF(AND(B194&lt;&gt;"",L194&lt;&gt;$D$17,$D$16&gt;3,$B194&lt;=$D$16),$D$15*Resumo!$F$13,IF(AND(B194&lt;&gt;"",L194&lt;&gt;$D$17,B194&gt;$D$16),$D$15*Resumo!$F$13,0))</f>
        <v>34.369999999999997</v>
      </c>
      <c r="J194" s="42">
        <f>IF(AND(B194&lt;&gt;"",L194&lt;&gt;$D$17,$D$16&gt;3,$B194&lt;=$D$16),Resumo!$F$11,IF(AND(B194&lt;&gt;"",L194&lt;&gt;$D$17,B194&gt;$D$16),Resumo!$F$11,0))</f>
        <v>25</v>
      </c>
      <c r="K194" s="42">
        <f t="shared" ca="1" si="28"/>
        <v>2018.4924668937199</v>
      </c>
      <c r="L194" s="39" t="str">
        <f>IF(B194&lt;&gt;"",VLOOKUP(MONTH(C194),Sheet2!$F$1:$G$12,2,0),"")</f>
        <v>Novembro</v>
      </c>
      <c r="M194" s="200">
        <f t="shared" ca="1" si="34"/>
        <v>0</v>
      </c>
      <c r="N194" s="40">
        <f t="shared" ca="1" si="35"/>
        <v>1925.8507241192463</v>
      </c>
      <c r="O194" s="40">
        <f t="shared" ca="1" si="29"/>
        <v>2018.4924668937199</v>
      </c>
      <c r="P194" s="40"/>
      <c r="Q194" s="20">
        <f t="shared" ca="1" si="36"/>
        <v>834.89136490250701</v>
      </c>
      <c r="R194" s="1">
        <f t="shared" si="30"/>
        <v>5247</v>
      </c>
      <c r="S194" s="243">
        <f>IF(AND($K$2&gt;=DATEVALUE("03/04/2020"),$K$2&lt;=DATEVALUE("31/12/2020")),0,IF(Resumo!$C$19="PF",IF(R194&lt;360,0.0082%*R194,3%),IF(R194&lt;360,0.0041%*R194,1.5%)))</f>
        <v>1.4999999999999999E-2</v>
      </c>
      <c r="T194" s="172">
        <f t="shared" ca="1" si="37"/>
        <v>12.523370473537605</v>
      </c>
      <c r="X194" s="20">
        <f t="shared" ca="1" si="38"/>
        <v>1925.8507241192463</v>
      </c>
    </row>
    <row r="195" spans="2:24">
      <c r="B195" s="37">
        <f t="shared" si="31"/>
        <v>173</v>
      </c>
      <c r="C195" s="163">
        <f t="shared" si="32"/>
        <v>50024</v>
      </c>
      <c r="D195" s="38">
        <f t="shared" ca="1" si="26"/>
        <v>842.74931039701278</v>
      </c>
      <c r="E195" s="38">
        <f t="shared" ca="1" si="33"/>
        <v>1077.3707184115337</v>
      </c>
      <c r="F195" s="38">
        <f t="shared" ca="1" si="27"/>
        <v>1920.1200288085465</v>
      </c>
      <c r="G195" s="38">
        <f ca="1">IF(B195&lt;=$D$16,G194*(1+$D$13)^((C195-C194)/_xlfn.DAYS(EDATE(C194,1),C194)),G194-D195)+IF(B195&lt;=$D$16,G194*Resumo!$F$12,0)+IF(B195&lt;=$D$16,$D$15*Resumo!$F$13,0)+IF(B195&lt;=$D$16,25,0)-IF(AND($D$16&gt;3,B195&lt;=$D$16),K195,0)</f>
        <v>157594.12104424031</v>
      </c>
      <c r="H195" s="38">
        <f ca="1">IF(AND(B195&lt;&gt;"",L195&lt;&gt;$D$17,$D$16&gt;3),G195*Resumo!$F$12,IF(AND(B195&lt;&gt;"",L195&lt;&gt;$D$17,B195&gt;$D$16),G195*Resumo!$F$12,0))</f>
        <v>33.094765419290468</v>
      </c>
      <c r="I195" s="38">
        <f>IF(AND(B195&lt;&gt;"",L195&lt;&gt;$D$17,$D$16&gt;3,$B195&lt;=$D$16),$D$15*Resumo!$F$13,IF(AND(B195&lt;&gt;"",L195&lt;&gt;$D$17,B195&gt;$D$16),$D$15*Resumo!$F$13,0))</f>
        <v>34.369999999999997</v>
      </c>
      <c r="J195" s="38">
        <f>IF(AND(B195&lt;&gt;"",L195&lt;&gt;$D$17,$D$16&gt;3,$B195&lt;=$D$16),Resumo!$F$11,IF(AND(B195&lt;&gt;"",L195&lt;&gt;$D$17,B195&gt;$D$16),Resumo!$F$11,0))</f>
        <v>25</v>
      </c>
      <c r="K195" s="38">
        <f t="shared" ca="1" si="28"/>
        <v>2012.5847942278369</v>
      </c>
      <c r="L195" s="39" t="str">
        <f>IF(B195&lt;&gt;"",VLOOKUP(MONTH(C195),Sheet2!$F$1:$G$12,2,0),"")</f>
        <v>Dezembro</v>
      </c>
      <c r="M195" s="200">
        <f t="shared" ca="1" si="34"/>
        <v>0</v>
      </c>
      <c r="N195" s="40">
        <f t="shared" ca="1" si="35"/>
        <v>1920.1200288085465</v>
      </c>
      <c r="O195" s="40">
        <f t="shared" ca="1" si="29"/>
        <v>2012.5847942278369</v>
      </c>
      <c r="P195" s="40"/>
      <c r="Q195" s="20">
        <f t="shared" ca="1" si="36"/>
        <v>834.89136490250701</v>
      </c>
      <c r="R195" s="1">
        <f t="shared" si="30"/>
        <v>5277</v>
      </c>
      <c r="S195" s="243">
        <f>IF(AND($K$2&gt;=DATEVALUE("03/04/2020"),$K$2&lt;=DATEVALUE("31/12/2020")),0,IF(Resumo!$C$19="PF",IF(R195&lt;360,0.0082%*R195,3%),IF(R195&lt;360,0.0041%*R195,1.5%)))</f>
        <v>1.4999999999999999E-2</v>
      </c>
      <c r="T195" s="172">
        <f t="shared" ca="1" si="37"/>
        <v>12.523370473537605</v>
      </c>
      <c r="X195" s="20">
        <f t="shared" ca="1" si="38"/>
        <v>1920.1200288085465</v>
      </c>
    </row>
    <row r="196" spans="2:24">
      <c r="B196" s="41">
        <f t="shared" si="31"/>
        <v>174</v>
      </c>
      <c r="C196" s="164">
        <f t="shared" si="32"/>
        <v>50055</v>
      </c>
      <c r="D196" s="42">
        <f t="shared" ca="1" si="26"/>
        <v>842.74931039701278</v>
      </c>
      <c r="E196" s="42">
        <f t="shared" ca="1" si="33"/>
        <v>1071.640023100834</v>
      </c>
      <c r="F196" s="42">
        <f t="shared" ca="1" si="27"/>
        <v>1914.3893334978468</v>
      </c>
      <c r="G196" s="42">
        <f ca="1">IF(B196&lt;=$D$16,G195*(1+$D$13)^((C196-C195)/_xlfn.DAYS(EDATE(C195,1),C195)),G195-D196)+IF(B196&lt;=$D$16,G195*Resumo!$F$12,0)+IF(B196&lt;=$D$16,$D$15*Resumo!$F$13,0)+IF(B196&lt;=$D$16,25,0)-IF(AND($D$16&gt;3,B196&lt;=$D$16),K196,0)</f>
        <v>156751.37173384329</v>
      </c>
      <c r="H196" s="42">
        <f ca="1">IF(AND(B196&lt;&gt;"",L196&lt;&gt;$D$17,$D$16&gt;3),G196*Resumo!$F$12,IF(AND(B196&lt;&gt;"",L196&lt;&gt;$D$17,B196&gt;$D$16),G196*Resumo!$F$12,0))</f>
        <v>32.917788064107093</v>
      </c>
      <c r="I196" s="42">
        <f>IF(AND(B196&lt;&gt;"",L196&lt;&gt;$D$17,$D$16&gt;3,$B196&lt;=$D$16),$D$15*Resumo!$F$13,IF(AND(B196&lt;&gt;"",L196&lt;&gt;$D$17,B196&gt;$D$16),$D$15*Resumo!$F$13,0))</f>
        <v>34.369999999999997</v>
      </c>
      <c r="J196" s="42">
        <f>IF(AND(B196&lt;&gt;"",L196&lt;&gt;$D$17,$D$16&gt;3,$B196&lt;=$D$16),Resumo!$F$11,IF(AND(B196&lt;&gt;"",L196&lt;&gt;$D$17,B196&gt;$D$16),Resumo!$F$11,0))</f>
        <v>25</v>
      </c>
      <c r="K196" s="42">
        <f t="shared" ca="1" si="28"/>
        <v>2006.6771215619538</v>
      </c>
      <c r="L196" s="39" t="str">
        <f>IF(B196&lt;&gt;"",VLOOKUP(MONTH(C196),Sheet2!$F$1:$G$12,2,0),"")</f>
        <v>Janeiro</v>
      </c>
      <c r="M196" s="200">
        <f t="shared" ca="1" si="34"/>
        <v>0</v>
      </c>
      <c r="N196" s="40">
        <f t="shared" ca="1" si="35"/>
        <v>1914.3893334978468</v>
      </c>
      <c r="O196" s="40">
        <f t="shared" ca="1" si="29"/>
        <v>2006.6771215619538</v>
      </c>
      <c r="P196" s="40"/>
      <c r="Q196" s="20">
        <f t="shared" ca="1" si="36"/>
        <v>834.89136490250701</v>
      </c>
      <c r="R196" s="1">
        <f t="shared" si="30"/>
        <v>5308</v>
      </c>
      <c r="S196" s="243">
        <f>IF(AND($K$2&gt;=DATEVALUE("03/04/2020"),$K$2&lt;=DATEVALUE("31/12/2020")),0,IF(Resumo!$C$19="PF",IF(R196&lt;360,0.0082%*R196,3%),IF(R196&lt;360,0.0041%*R196,1.5%)))</f>
        <v>1.4999999999999999E-2</v>
      </c>
      <c r="T196" s="172">
        <f t="shared" ca="1" si="37"/>
        <v>12.523370473537605</v>
      </c>
      <c r="X196" s="20">
        <f t="shared" ca="1" si="38"/>
        <v>1914.3893334978468</v>
      </c>
    </row>
    <row r="197" spans="2:24">
      <c r="B197" s="37">
        <f t="shared" si="31"/>
        <v>175</v>
      </c>
      <c r="C197" s="163">
        <f t="shared" si="32"/>
        <v>50086</v>
      </c>
      <c r="D197" s="38">
        <f t="shared" ca="1" si="26"/>
        <v>842.74931039701278</v>
      </c>
      <c r="E197" s="38">
        <f t="shared" ca="1" si="33"/>
        <v>1065.9093277901343</v>
      </c>
      <c r="F197" s="38">
        <f t="shared" ca="1" si="27"/>
        <v>1908.6586381871471</v>
      </c>
      <c r="G197" s="38">
        <f ca="1">IF(B197&lt;=$D$16,G196*(1+$D$13)^((C197-C196)/_xlfn.DAYS(EDATE(C196,1),C196)),G196-D197)+IF(B197&lt;=$D$16,G196*Resumo!$F$12,0)+IF(B197&lt;=$D$16,$D$15*Resumo!$F$13,0)+IF(B197&lt;=$D$16,25,0)-IF(AND($D$16&gt;3,B197&lt;=$D$16),K197,0)</f>
        <v>155908.62242344627</v>
      </c>
      <c r="H197" s="38">
        <f ca="1">IF(AND(B197&lt;&gt;"",L197&lt;&gt;$D$17,$D$16&gt;3),G197*Resumo!$F$12,IF(AND(B197&lt;&gt;"",L197&lt;&gt;$D$17,B197&gt;$D$16),G197*Resumo!$F$12,0))</f>
        <v>32.740810708923718</v>
      </c>
      <c r="I197" s="38">
        <f>IF(AND(B197&lt;&gt;"",L197&lt;&gt;$D$17,$D$16&gt;3,$B197&lt;=$D$16),$D$15*Resumo!$F$13,IF(AND(B197&lt;&gt;"",L197&lt;&gt;$D$17,B197&gt;$D$16),$D$15*Resumo!$F$13,0))</f>
        <v>34.369999999999997</v>
      </c>
      <c r="J197" s="38">
        <f>IF(AND(B197&lt;&gt;"",L197&lt;&gt;$D$17,$D$16&gt;3,$B197&lt;=$D$16),Resumo!$F$11,IF(AND(B197&lt;&gt;"",L197&lt;&gt;$D$17,B197&gt;$D$16),Resumo!$F$11,0))</f>
        <v>25</v>
      </c>
      <c r="K197" s="38">
        <f t="shared" ca="1" si="28"/>
        <v>2000.7694488960706</v>
      </c>
      <c r="L197" s="39" t="str">
        <f>IF(B197&lt;&gt;"",VLOOKUP(MONTH(C197),Sheet2!$F$1:$G$12,2,0),"")</f>
        <v>Fevereiro</v>
      </c>
      <c r="M197" s="200">
        <f t="shared" ca="1" si="34"/>
        <v>0</v>
      </c>
      <c r="N197" s="40">
        <f t="shared" ca="1" si="35"/>
        <v>1908.6586381871471</v>
      </c>
      <c r="O197" s="40">
        <f t="shared" ca="1" si="29"/>
        <v>2000.7694488960706</v>
      </c>
      <c r="P197" s="40"/>
      <c r="Q197" s="20">
        <f t="shared" ca="1" si="36"/>
        <v>834.89136490250701</v>
      </c>
      <c r="R197" s="1">
        <f t="shared" si="30"/>
        <v>5339</v>
      </c>
      <c r="S197" s="243">
        <f>IF(AND($K$2&gt;=DATEVALUE("03/04/2020"),$K$2&lt;=DATEVALUE("31/12/2020")),0,IF(Resumo!$C$19="PF",IF(R197&lt;360,0.0082%*R197,3%),IF(R197&lt;360,0.0041%*R197,1.5%)))</f>
        <v>1.4999999999999999E-2</v>
      </c>
      <c r="T197" s="172">
        <f t="shared" ca="1" si="37"/>
        <v>12.523370473537605</v>
      </c>
      <c r="X197" s="20">
        <f t="shared" ca="1" si="38"/>
        <v>1908.6586381871471</v>
      </c>
    </row>
    <row r="198" spans="2:24">
      <c r="B198" s="41">
        <f t="shared" si="31"/>
        <v>176</v>
      </c>
      <c r="C198" s="164">
        <f t="shared" si="32"/>
        <v>50114</v>
      </c>
      <c r="D198" s="42">
        <f t="shared" ca="1" si="26"/>
        <v>842.74931039701278</v>
      </c>
      <c r="E198" s="42">
        <f t="shared" ca="1" si="33"/>
        <v>1060.1786324794346</v>
      </c>
      <c r="F198" s="42">
        <f t="shared" ca="1" si="27"/>
        <v>1902.9279428764473</v>
      </c>
      <c r="G198" s="42">
        <f ca="1">IF(B198&lt;=$D$16,G197*(1+$D$13)^((C198-C197)/_xlfn.DAYS(EDATE(C197,1),C197)),G197-D198)+IF(B198&lt;=$D$16,G197*Resumo!$F$12,0)+IF(B198&lt;=$D$16,$D$15*Resumo!$F$13,0)+IF(B198&lt;=$D$16,25,0)-IF(AND($D$16&gt;3,B198&lt;=$D$16),K198,0)</f>
        <v>155065.87311304925</v>
      </c>
      <c r="H198" s="42">
        <f ca="1">IF(AND(B198&lt;&gt;"",L198&lt;&gt;$D$17,$D$16&gt;3),G198*Resumo!$F$12,IF(AND(B198&lt;&gt;"",L198&lt;&gt;$D$17,B198&gt;$D$16),G198*Resumo!$F$12,0))</f>
        <v>32.563833353740343</v>
      </c>
      <c r="I198" s="42">
        <f>IF(AND(B198&lt;&gt;"",L198&lt;&gt;$D$17,$D$16&gt;3,$B198&lt;=$D$16),$D$15*Resumo!$F$13,IF(AND(B198&lt;&gt;"",L198&lt;&gt;$D$17,B198&gt;$D$16),$D$15*Resumo!$F$13,0))</f>
        <v>34.369999999999997</v>
      </c>
      <c r="J198" s="42">
        <f>IF(AND(B198&lt;&gt;"",L198&lt;&gt;$D$17,$D$16&gt;3,$B198&lt;=$D$16),Resumo!$F$11,IF(AND(B198&lt;&gt;"",L198&lt;&gt;$D$17,B198&gt;$D$16),Resumo!$F$11,0))</f>
        <v>25</v>
      </c>
      <c r="K198" s="42">
        <f t="shared" ca="1" si="28"/>
        <v>1994.8617762301876</v>
      </c>
      <c r="L198" s="39" t="str">
        <f>IF(B198&lt;&gt;"",VLOOKUP(MONTH(C198),Sheet2!$F$1:$G$12,2,0),"")</f>
        <v>Março</v>
      </c>
      <c r="M198" s="200">
        <f t="shared" ca="1" si="34"/>
        <v>0</v>
      </c>
      <c r="N198" s="40">
        <f t="shared" ca="1" si="35"/>
        <v>1902.9279428764473</v>
      </c>
      <c r="O198" s="40">
        <f t="shared" ca="1" si="29"/>
        <v>1994.8617762301876</v>
      </c>
      <c r="P198" s="40"/>
      <c r="Q198" s="20">
        <f t="shared" ca="1" si="36"/>
        <v>834.89136490250701</v>
      </c>
      <c r="R198" s="1">
        <f t="shared" si="30"/>
        <v>5367</v>
      </c>
      <c r="S198" s="243">
        <f>IF(AND($K$2&gt;=DATEVALUE("03/04/2020"),$K$2&lt;=DATEVALUE("31/12/2020")),0,IF(Resumo!$C$19="PF",IF(R198&lt;360,0.0082%*R198,3%),IF(R198&lt;360,0.0041%*R198,1.5%)))</f>
        <v>1.4999999999999999E-2</v>
      </c>
      <c r="T198" s="172">
        <f t="shared" ca="1" si="37"/>
        <v>12.523370473537605</v>
      </c>
      <c r="X198" s="20">
        <f t="shared" ca="1" si="38"/>
        <v>1902.9279428764473</v>
      </c>
    </row>
    <row r="199" spans="2:24">
      <c r="B199" s="37">
        <f t="shared" si="31"/>
        <v>177</v>
      </c>
      <c r="C199" s="163">
        <f t="shared" si="32"/>
        <v>50145</v>
      </c>
      <c r="D199" s="38">
        <f t="shared" ca="1" si="26"/>
        <v>842.74931039701278</v>
      </c>
      <c r="E199" s="38">
        <f t="shared" ca="1" si="33"/>
        <v>1054.4479371687348</v>
      </c>
      <c r="F199" s="38">
        <f t="shared" ca="1" si="27"/>
        <v>1897.1972475657476</v>
      </c>
      <c r="G199" s="38">
        <f ca="1">IF(B199&lt;=$D$16,G198*(1+$D$13)^((C199-C198)/_xlfn.DAYS(EDATE(C198,1),C198)),G198-D199)+IF(B199&lt;=$D$16,G198*Resumo!$F$12,0)+IF(B199&lt;=$D$16,$D$15*Resumo!$F$13,0)+IF(B199&lt;=$D$16,25,0)-IF(AND($D$16&gt;3,B199&lt;=$D$16),K199,0)</f>
        <v>154223.12380265223</v>
      </c>
      <c r="H199" s="38">
        <f ca="1">IF(AND(B199&lt;&gt;"",L199&lt;&gt;$D$17,$D$16&gt;3),G199*Resumo!$F$12,IF(AND(B199&lt;&gt;"",L199&lt;&gt;$D$17,B199&gt;$D$16),G199*Resumo!$F$12,0))</f>
        <v>32.386855998556968</v>
      </c>
      <c r="I199" s="38">
        <f>IF(AND(B199&lt;&gt;"",L199&lt;&gt;$D$17,$D$16&gt;3,$B199&lt;=$D$16),$D$15*Resumo!$F$13,IF(AND(B199&lt;&gt;"",L199&lt;&gt;$D$17,B199&gt;$D$16),$D$15*Resumo!$F$13,0))</f>
        <v>34.369999999999997</v>
      </c>
      <c r="J199" s="38">
        <f>IF(AND(B199&lt;&gt;"",L199&lt;&gt;$D$17,$D$16&gt;3,$B199&lt;=$D$16),Resumo!$F$11,IF(AND(B199&lt;&gt;"",L199&lt;&gt;$D$17,B199&gt;$D$16),Resumo!$F$11,0))</f>
        <v>25</v>
      </c>
      <c r="K199" s="38">
        <f t="shared" ca="1" si="28"/>
        <v>1988.9541035643044</v>
      </c>
      <c r="L199" s="39" t="str">
        <f>IF(B199&lt;&gt;"",VLOOKUP(MONTH(C199),Sheet2!$F$1:$G$12,2,0),"")</f>
        <v>Abril</v>
      </c>
      <c r="M199" s="200">
        <f t="shared" ca="1" si="34"/>
        <v>0</v>
      </c>
      <c r="N199" s="40">
        <f t="shared" ca="1" si="35"/>
        <v>1897.1972475657476</v>
      </c>
      <c r="O199" s="40">
        <f t="shared" ca="1" si="29"/>
        <v>1988.9541035643044</v>
      </c>
      <c r="P199" s="40"/>
      <c r="Q199" s="20">
        <f t="shared" ca="1" si="36"/>
        <v>834.89136490250701</v>
      </c>
      <c r="R199" s="1">
        <f t="shared" si="30"/>
        <v>5398</v>
      </c>
      <c r="S199" s="243">
        <f>IF(AND($K$2&gt;=DATEVALUE("03/04/2020"),$K$2&lt;=DATEVALUE("31/12/2020")),0,IF(Resumo!$C$19="PF",IF(R199&lt;360,0.0082%*R199,3%),IF(R199&lt;360,0.0041%*R199,1.5%)))</f>
        <v>1.4999999999999999E-2</v>
      </c>
      <c r="T199" s="172">
        <f t="shared" ca="1" si="37"/>
        <v>12.523370473537605</v>
      </c>
      <c r="X199" s="20">
        <f t="shared" ca="1" si="38"/>
        <v>1897.1972475657476</v>
      </c>
    </row>
    <row r="200" spans="2:24">
      <c r="B200" s="41">
        <f t="shared" si="31"/>
        <v>178</v>
      </c>
      <c r="C200" s="164">
        <f t="shared" si="32"/>
        <v>50175</v>
      </c>
      <c r="D200" s="42">
        <f t="shared" ca="1" si="26"/>
        <v>842.74931039701278</v>
      </c>
      <c r="E200" s="42">
        <f t="shared" ca="1" si="33"/>
        <v>1048.7172418580351</v>
      </c>
      <c r="F200" s="42">
        <f t="shared" ca="1" si="27"/>
        <v>1891.4665522550479</v>
      </c>
      <c r="G200" s="42">
        <f ca="1">IF(B200&lt;=$D$16,G199*(1+$D$13)^((C200-C199)/_xlfn.DAYS(EDATE(C199,1),C199)),G199-D200)+IF(B200&lt;=$D$16,G199*Resumo!$F$12,0)+IF(B200&lt;=$D$16,$D$15*Resumo!$F$13,0)+IF(B200&lt;=$D$16,25,0)-IF(AND($D$16&gt;3,B200&lt;=$D$16),K200,0)</f>
        <v>153380.37449225521</v>
      </c>
      <c r="H200" s="42">
        <f ca="1">IF(AND(B200&lt;&gt;"",L200&lt;&gt;$D$17,$D$16&gt;3),G200*Resumo!$F$12,IF(AND(B200&lt;&gt;"",L200&lt;&gt;$D$17,B200&gt;$D$16),G200*Resumo!$F$12,0))</f>
        <v>32.2098786433736</v>
      </c>
      <c r="I200" s="42">
        <f>IF(AND(B200&lt;&gt;"",L200&lt;&gt;$D$17,$D$16&gt;3,$B200&lt;=$D$16),$D$15*Resumo!$F$13,IF(AND(B200&lt;&gt;"",L200&lt;&gt;$D$17,B200&gt;$D$16),$D$15*Resumo!$F$13,0))</f>
        <v>34.369999999999997</v>
      </c>
      <c r="J200" s="42">
        <f>IF(AND(B200&lt;&gt;"",L200&lt;&gt;$D$17,$D$16&gt;3,$B200&lt;=$D$16),Resumo!$F$11,IF(AND(B200&lt;&gt;"",L200&lt;&gt;$D$17,B200&gt;$D$16),Resumo!$F$11,0))</f>
        <v>25</v>
      </c>
      <c r="K200" s="42">
        <f t="shared" ca="1" si="28"/>
        <v>1983.0464308984215</v>
      </c>
      <c r="L200" s="39" t="str">
        <f>IF(B200&lt;&gt;"",VLOOKUP(MONTH(C200),Sheet2!$F$1:$G$12,2,0),"")</f>
        <v>Maio</v>
      </c>
      <c r="M200" s="200">
        <f t="shared" ca="1" si="34"/>
        <v>0</v>
      </c>
      <c r="N200" s="40">
        <f t="shared" ca="1" si="35"/>
        <v>1891.4665522550479</v>
      </c>
      <c r="O200" s="40">
        <f t="shared" ca="1" si="29"/>
        <v>1983.0464308984215</v>
      </c>
      <c r="P200" s="40"/>
      <c r="Q200" s="20">
        <f t="shared" ca="1" si="36"/>
        <v>834.89136490250701</v>
      </c>
      <c r="R200" s="1">
        <f t="shared" si="30"/>
        <v>5428</v>
      </c>
      <c r="S200" s="243">
        <f>IF(AND($K$2&gt;=DATEVALUE("03/04/2020"),$K$2&lt;=DATEVALUE("31/12/2020")),0,IF(Resumo!$C$19="PF",IF(R200&lt;360,0.0082%*R200,3%),IF(R200&lt;360,0.0041%*R200,1.5%)))</f>
        <v>1.4999999999999999E-2</v>
      </c>
      <c r="T200" s="172">
        <f t="shared" ca="1" si="37"/>
        <v>12.523370473537605</v>
      </c>
      <c r="X200" s="20">
        <f t="shared" ca="1" si="38"/>
        <v>1891.4665522550479</v>
      </c>
    </row>
    <row r="201" spans="2:24">
      <c r="B201" s="37">
        <f t="shared" si="31"/>
        <v>179</v>
      </c>
      <c r="C201" s="163">
        <f t="shared" si="32"/>
        <v>50206</v>
      </c>
      <c r="D201" s="38">
        <f t="shared" ca="1" si="26"/>
        <v>842.74931039701278</v>
      </c>
      <c r="E201" s="38">
        <f t="shared" ca="1" si="33"/>
        <v>1042.9865465473354</v>
      </c>
      <c r="F201" s="38">
        <f t="shared" ca="1" si="27"/>
        <v>1885.7358569443481</v>
      </c>
      <c r="G201" s="38">
        <f ca="1">IF(B201&lt;=$D$16,G200*(1+$D$13)^((C201-C200)/_xlfn.DAYS(EDATE(C200,1),C200)),G200-D201)+IF(B201&lt;=$D$16,G200*Resumo!$F$12,0)+IF(B201&lt;=$D$16,$D$15*Resumo!$F$13,0)+IF(B201&lt;=$D$16,25,0)-IF(AND($D$16&gt;3,B201&lt;=$D$16),K201,0)</f>
        <v>152537.62518185819</v>
      </c>
      <c r="H201" s="38">
        <f ca="1">IF(AND(B201&lt;&gt;"",L201&lt;&gt;$D$17,$D$16&gt;3),G201*Resumo!$F$12,IF(AND(B201&lt;&gt;"",L201&lt;&gt;$D$17,B201&gt;$D$16),G201*Resumo!$F$12,0))</f>
        <v>32.032901288190224</v>
      </c>
      <c r="I201" s="38">
        <f>IF(AND(B201&lt;&gt;"",L201&lt;&gt;$D$17,$D$16&gt;3,$B201&lt;=$D$16),$D$15*Resumo!$F$13,IF(AND(B201&lt;&gt;"",L201&lt;&gt;$D$17,B201&gt;$D$16),$D$15*Resumo!$F$13,0))</f>
        <v>34.369999999999997</v>
      </c>
      <c r="J201" s="38">
        <f>IF(AND(B201&lt;&gt;"",L201&lt;&gt;$D$17,$D$16&gt;3,$B201&lt;=$D$16),Resumo!$F$11,IF(AND(B201&lt;&gt;"",L201&lt;&gt;$D$17,B201&gt;$D$16),Resumo!$F$11,0))</f>
        <v>25</v>
      </c>
      <c r="K201" s="38">
        <f t="shared" ca="1" si="28"/>
        <v>1977.1387582325383</v>
      </c>
      <c r="L201" s="39" t="str">
        <f>IF(B201&lt;&gt;"",VLOOKUP(MONTH(C201),Sheet2!$F$1:$G$12,2,0),"")</f>
        <v>Junho</v>
      </c>
      <c r="M201" s="200">
        <f t="shared" ca="1" si="34"/>
        <v>0</v>
      </c>
      <c r="N201" s="40">
        <f t="shared" ca="1" si="35"/>
        <v>1885.7358569443481</v>
      </c>
      <c r="O201" s="40">
        <f t="shared" ca="1" si="29"/>
        <v>1977.1387582325383</v>
      </c>
      <c r="P201" s="40"/>
      <c r="Q201" s="20">
        <f t="shared" ca="1" si="36"/>
        <v>834.89136490250701</v>
      </c>
      <c r="R201" s="1">
        <f t="shared" si="30"/>
        <v>5459</v>
      </c>
      <c r="S201" s="243">
        <f>IF(AND($K$2&gt;=DATEVALUE("03/04/2020"),$K$2&lt;=DATEVALUE("31/12/2020")),0,IF(Resumo!$C$19="PF",IF(R201&lt;360,0.0082%*R201,3%),IF(R201&lt;360,0.0041%*R201,1.5%)))</f>
        <v>1.4999999999999999E-2</v>
      </c>
      <c r="T201" s="172">
        <f t="shared" ca="1" si="37"/>
        <v>12.523370473537605</v>
      </c>
      <c r="X201" s="20">
        <f t="shared" ca="1" si="38"/>
        <v>1885.7358569443481</v>
      </c>
    </row>
    <row r="202" spans="2:24">
      <c r="B202" s="41">
        <f t="shared" si="31"/>
        <v>180</v>
      </c>
      <c r="C202" s="164">
        <f t="shared" si="32"/>
        <v>50236</v>
      </c>
      <c r="D202" s="42">
        <f t="shared" ca="1" si="26"/>
        <v>842.74931039701278</v>
      </c>
      <c r="E202" s="42">
        <f t="shared" ca="1" si="33"/>
        <v>1037.2558512366356</v>
      </c>
      <c r="F202" s="42">
        <f t="shared" ca="1" si="27"/>
        <v>1880.0051616336484</v>
      </c>
      <c r="G202" s="42">
        <f ca="1">IF(B202&lt;=$D$16,G201*(1+$D$13)^((C202-C201)/_xlfn.DAYS(EDATE(C201,1),C201)),G201-D202)+IF(B202&lt;=$D$16,G201*Resumo!$F$12,0)+IF(B202&lt;=$D$16,$D$15*Resumo!$F$13,0)+IF(B202&lt;=$D$16,25,0)-IF(AND($D$16&gt;3,B202&lt;=$D$16),K202,0)</f>
        <v>151694.87587146118</v>
      </c>
      <c r="H202" s="42">
        <f ca="1">IF(AND(B202&lt;&gt;"",L202&lt;&gt;$D$17,$D$16&gt;3),G202*Resumo!$F$12,IF(AND(B202&lt;&gt;"",L202&lt;&gt;$D$17,B202&gt;$D$16),G202*Resumo!$F$12,0))</f>
        <v>31.855923933006849</v>
      </c>
      <c r="I202" s="42">
        <f>IF(AND(B202&lt;&gt;"",L202&lt;&gt;$D$17,$D$16&gt;3,$B202&lt;=$D$16),$D$15*Resumo!$F$13,IF(AND(B202&lt;&gt;"",L202&lt;&gt;$D$17,B202&gt;$D$16),$D$15*Resumo!$F$13,0))</f>
        <v>34.369999999999997</v>
      </c>
      <c r="J202" s="42">
        <f>IF(AND(B202&lt;&gt;"",L202&lt;&gt;$D$17,$D$16&gt;3,$B202&lt;=$D$16),Resumo!$F$11,IF(AND(B202&lt;&gt;"",L202&lt;&gt;$D$17,B202&gt;$D$16),Resumo!$F$11,0))</f>
        <v>25</v>
      </c>
      <c r="K202" s="42">
        <f t="shared" ca="1" si="28"/>
        <v>1971.2310855666551</v>
      </c>
      <c r="L202" s="39" t="str">
        <f>IF(B202&lt;&gt;"",VLOOKUP(MONTH(C202),Sheet2!$F$1:$G$12,2,0),"")</f>
        <v>Julho</v>
      </c>
      <c r="M202" s="200">
        <f t="shared" ca="1" si="34"/>
        <v>0</v>
      </c>
      <c r="N202" s="40">
        <f t="shared" ca="1" si="35"/>
        <v>1880.0051616336484</v>
      </c>
      <c r="O202" s="40">
        <f t="shared" ca="1" si="29"/>
        <v>1971.2310855666551</v>
      </c>
      <c r="P202" s="40"/>
      <c r="Q202" s="20">
        <f t="shared" ca="1" si="36"/>
        <v>834.89136490250701</v>
      </c>
      <c r="R202" s="1">
        <f t="shared" si="30"/>
        <v>5489</v>
      </c>
      <c r="S202" s="243">
        <f>IF(AND($K$2&gt;=DATEVALUE("03/04/2020"),$K$2&lt;=DATEVALUE("31/12/2020")),0,IF(Resumo!$C$19="PF",IF(R202&lt;360,0.0082%*R202,3%),IF(R202&lt;360,0.0041%*R202,1.5%)))</f>
        <v>1.4999999999999999E-2</v>
      </c>
      <c r="T202" s="172">
        <f t="shared" ca="1" si="37"/>
        <v>12.523370473537605</v>
      </c>
      <c r="X202" s="20">
        <f t="shared" ca="1" si="38"/>
        <v>1880.0051616336484</v>
      </c>
    </row>
    <row r="203" spans="2:24">
      <c r="B203" s="37">
        <f t="shared" si="31"/>
        <v>181</v>
      </c>
      <c r="C203" s="163">
        <f t="shared" si="32"/>
        <v>50267</v>
      </c>
      <c r="D203" s="38">
        <f t="shared" ca="1" si="26"/>
        <v>842.74931039701278</v>
      </c>
      <c r="E203" s="38">
        <f t="shared" ca="1" si="33"/>
        <v>1031.5251559259359</v>
      </c>
      <c r="F203" s="38">
        <f t="shared" ca="1" si="27"/>
        <v>1874.2744663229487</v>
      </c>
      <c r="G203" s="38">
        <f ca="1">IF(B203&lt;=$D$16,G202*(1+$D$13)^((C203-C202)/_xlfn.DAYS(EDATE(C202,1),C202)),G202-D203)+IF(B203&lt;=$D$16,G202*Resumo!$F$12,0)+IF(B203&lt;=$D$16,$D$15*Resumo!$F$13,0)+IF(B203&lt;=$D$16,25,0)-IF(AND($D$16&gt;3,B203&lt;=$D$16),K203,0)</f>
        <v>150852.12656106416</v>
      </c>
      <c r="H203" s="38">
        <f ca="1">IF(AND(B203&lt;&gt;"",L203&lt;&gt;$D$17,$D$16&gt;3),G203*Resumo!$F$12,IF(AND(B203&lt;&gt;"",L203&lt;&gt;$D$17,B203&gt;$D$16),G203*Resumo!$F$12,0))</f>
        <v>31.678946577823474</v>
      </c>
      <c r="I203" s="38">
        <f>IF(AND(B203&lt;&gt;"",L203&lt;&gt;$D$17,$D$16&gt;3,$B203&lt;=$D$16),$D$15*Resumo!$F$13,IF(AND(B203&lt;&gt;"",L203&lt;&gt;$D$17,B203&gt;$D$16),$D$15*Resumo!$F$13,0))</f>
        <v>34.369999999999997</v>
      </c>
      <c r="J203" s="38">
        <f>IF(AND(B203&lt;&gt;"",L203&lt;&gt;$D$17,$D$16&gt;3,$B203&lt;=$D$16),Resumo!$F$11,IF(AND(B203&lt;&gt;"",L203&lt;&gt;$D$17,B203&gt;$D$16),Resumo!$F$11,0))</f>
        <v>25</v>
      </c>
      <c r="K203" s="38">
        <f t="shared" ca="1" si="28"/>
        <v>1965.3234129007722</v>
      </c>
      <c r="L203" s="39" t="str">
        <f>IF(B203&lt;&gt;"",VLOOKUP(MONTH(C203),Sheet2!$F$1:$G$12,2,0),"")</f>
        <v>Agosto</v>
      </c>
      <c r="M203" s="200">
        <f t="shared" ca="1" si="34"/>
        <v>0</v>
      </c>
      <c r="N203" s="40">
        <f t="shared" ca="1" si="35"/>
        <v>1874.2744663229487</v>
      </c>
      <c r="O203" s="40">
        <f t="shared" ca="1" si="29"/>
        <v>1965.3234129007722</v>
      </c>
      <c r="P203" s="40"/>
      <c r="Q203" s="20">
        <f t="shared" ca="1" si="36"/>
        <v>834.89136490250701</v>
      </c>
      <c r="R203" s="1">
        <f t="shared" si="30"/>
        <v>5520</v>
      </c>
      <c r="S203" s="243">
        <f>IF(AND($K$2&gt;=DATEVALUE("03/04/2020"),$K$2&lt;=DATEVALUE("31/12/2020")),0,IF(Resumo!$C$19="PF",IF(R203&lt;360,0.0082%*R203,3%),IF(R203&lt;360,0.0041%*R203,1.5%)))</f>
        <v>1.4999999999999999E-2</v>
      </c>
      <c r="T203" s="172">
        <f t="shared" ca="1" si="37"/>
        <v>12.523370473537605</v>
      </c>
      <c r="X203" s="20">
        <f t="shared" ca="1" si="38"/>
        <v>1874.2744663229487</v>
      </c>
    </row>
    <row r="204" spans="2:24">
      <c r="B204" s="41">
        <f t="shared" si="31"/>
        <v>182</v>
      </c>
      <c r="C204" s="164">
        <f t="shared" si="32"/>
        <v>50298</v>
      </c>
      <c r="D204" s="42">
        <f t="shared" ca="1" si="26"/>
        <v>842.74931039701278</v>
      </c>
      <c r="E204" s="42">
        <f t="shared" ca="1" si="33"/>
        <v>1025.7944606152362</v>
      </c>
      <c r="F204" s="42">
        <f t="shared" ca="1" si="27"/>
        <v>1868.543771012249</v>
      </c>
      <c r="G204" s="42">
        <f ca="1">IF(B204&lt;=$D$16,G203*(1+$D$13)^((C204-C203)/_xlfn.DAYS(EDATE(C203,1),C203)),G203-D204)+IF(B204&lt;=$D$16,G203*Resumo!$F$12,0)+IF(B204&lt;=$D$16,$D$15*Resumo!$F$13,0)+IF(B204&lt;=$D$16,25,0)-IF(AND($D$16&gt;3,B204&lt;=$D$16),K204,0)</f>
        <v>150009.37725066714</v>
      </c>
      <c r="H204" s="42">
        <f ca="1">IF(AND(B204&lt;&gt;"",L204&lt;&gt;$D$17,$D$16&gt;3),G204*Resumo!$F$12,IF(AND(B204&lt;&gt;"",L204&lt;&gt;$D$17,B204&gt;$D$16),G204*Resumo!$F$12,0))</f>
        <v>31.501969222640099</v>
      </c>
      <c r="I204" s="42">
        <f>IF(AND(B204&lt;&gt;"",L204&lt;&gt;$D$17,$D$16&gt;3,$B204&lt;=$D$16),$D$15*Resumo!$F$13,IF(AND(B204&lt;&gt;"",L204&lt;&gt;$D$17,B204&gt;$D$16),$D$15*Resumo!$F$13,0))</f>
        <v>34.369999999999997</v>
      </c>
      <c r="J204" s="42">
        <f>IF(AND(B204&lt;&gt;"",L204&lt;&gt;$D$17,$D$16&gt;3,$B204&lt;=$D$16),Resumo!$F$11,IF(AND(B204&lt;&gt;"",L204&lt;&gt;$D$17,B204&gt;$D$16),Resumo!$F$11,0))</f>
        <v>25</v>
      </c>
      <c r="K204" s="42">
        <f t="shared" ca="1" si="28"/>
        <v>1959.415740234889</v>
      </c>
      <c r="L204" s="39" t="str">
        <f>IF(B204&lt;&gt;"",VLOOKUP(MONTH(C204),Sheet2!$F$1:$G$12,2,0),"")</f>
        <v>Setembro</v>
      </c>
      <c r="M204" s="200">
        <f t="shared" ca="1" si="34"/>
        <v>0</v>
      </c>
      <c r="N204" s="40">
        <f t="shared" ca="1" si="35"/>
        <v>1868.543771012249</v>
      </c>
      <c r="O204" s="40">
        <f t="shared" ca="1" si="29"/>
        <v>1959.415740234889</v>
      </c>
      <c r="P204" s="40"/>
      <c r="Q204" s="20">
        <f t="shared" ca="1" si="36"/>
        <v>834.89136490250701</v>
      </c>
      <c r="R204" s="1">
        <f t="shared" si="30"/>
        <v>5551</v>
      </c>
      <c r="S204" s="243">
        <f>IF(AND($K$2&gt;=DATEVALUE("03/04/2020"),$K$2&lt;=DATEVALUE("31/12/2020")),0,IF(Resumo!$C$19="PF",IF(R204&lt;360,0.0082%*R204,3%),IF(R204&lt;360,0.0041%*R204,1.5%)))</f>
        <v>1.4999999999999999E-2</v>
      </c>
      <c r="T204" s="172">
        <f t="shared" ca="1" si="37"/>
        <v>12.523370473537605</v>
      </c>
      <c r="X204" s="20">
        <f t="shared" ca="1" si="38"/>
        <v>1868.543771012249</v>
      </c>
    </row>
    <row r="205" spans="2:24">
      <c r="B205" s="37">
        <f t="shared" si="31"/>
        <v>183</v>
      </c>
      <c r="C205" s="163">
        <f t="shared" si="32"/>
        <v>50328</v>
      </c>
      <c r="D205" s="38">
        <f t="shared" ca="1" si="26"/>
        <v>842.74931039701278</v>
      </c>
      <c r="E205" s="38">
        <f t="shared" ca="1" si="33"/>
        <v>1020.0637653045364</v>
      </c>
      <c r="F205" s="38">
        <f t="shared" ca="1" si="27"/>
        <v>1862.8130757015492</v>
      </c>
      <c r="G205" s="38">
        <f ca="1">IF(B205&lt;=$D$16,G204*(1+$D$13)^((C205-C204)/_xlfn.DAYS(EDATE(C204,1),C204)),G204-D205)+IF(B205&lt;=$D$16,G204*Resumo!$F$12,0)+IF(B205&lt;=$D$16,$D$15*Resumo!$F$13,0)+IF(B205&lt;=$D$16,25,0)-IF(AND($D$16&gt;3,B205&lt;=$D$16),K205,0)</f>
        <v>149166.62794027012</v>
      </c>
      <c r="H205" s="38">
        <f ca="1">IF(AND(B205&lt;&gt;"",L205&lt;&gt;$D$17,$D$16&gt;3),G205*Resumo!$F$12,IF(AND(B205&lt;&gt;"",L205&lt;&gt;$D$17,B205&gt;$D$16),G205*Resumo!$F$12,0))</f>
        <v>31.324991867456728</v>
      </c>
      <c r="I205" s="38">
        <f>IF(AND(B205&lt;&gt;"",L205&lt;&gt;$D$17,$D$16&gt;3,$B205&lt;=$D$16),$D$15*Resumo!$F$13,IF(AND(B205&lt;&gt;"",L205&lt;&gt;$D$17,B205&gt;$D$16),$D$15*Resumo!$F$13,0))</f>
        <v>34.369999999999997</v>
      </c>
      <c r="J205" s="38">
        <f>IF(AND(B205&lt;&gt;"",L205&lt;&gt;$D$17,$D$16&gt;3,$B205&lt;=$D$16),Resumo!$F$11,IF(AND(B205&lt;&gt;"",L205&lt;&gt;$D$17,B205&gt;$D$16),Resumo!$F$11,0))</f>
        <v>25</v>
      </c>
      <c r="K205" s="38">
        <f t="shared" ca="1" si="28"/>
        <v>1953.5080675690058</v>
      </c>
      <c r="L205" s="39" t="str">
        <f>IF(B205&lt;&gt;"",VLOOKUP(MONTH(C205),Sheet2!$F$1:$G$12,2,0),"")</f>
        <v>Outubro</v>
      </c>
      <c r="M205" s="200">
        <f t="shared" ca="1" si="34"/>
        <v>0</v>
      </c>
      <c r="N205" s="40">
        <f t="shared" ca="1" si="35"/>
        <v>1862.8130757015492</v>
      </c>
      <c r="O205" s="40">
        <f t="shared" ca="1" si="29"/>
        <v>1953.5080675690058</v>
      </c>
      <c r="P205" s="40"/>
      <c r="Q205" s="20">
        <f t="shared" ca="1" si="36"/>
        <v>834.89136490250701</v>
      </c>
      <c r="R205" s="1">
        <f t="shared" si="30"/>
        <v>5581</v>
      </c>
      <c r="S205" s="243">
        <f>IF(AND($K$2&gt;=DATEVALUE("03/04/2020"),$K$2&lt;=DATEVALUE("31/12/2020")),0,IF(Resumo!$C$19="PF",IF(R205&lt;360,0.0082%*R205,3%),IF(R205&lt;360,0.0041%*R205,1.5%)))</f>
        <v>1.4999999999999999E-2</v>
      </c>
      <c r="T205" s="172">
        <f t="shared" ca="1" si="37"/>
        <v>12.523370473537605</v>
      </c>
      <c r="X205" s="20">
        <f t="shared" ca="1" si="38"/>
        <v>1862.8130757015492</v>
      </c>
    </row>
    <row r="206" spans="2:24">
      <c r="B206" s="41">
        <f t="shared" si="31"/>
        <v>184</v>
      </c>
      <c r="C206" s="164">
        <f t="shared" si="32"/>
        <v>50359</v>
      </c>
      <c r="D206" s="42">
        <f t="shared" ca="1" si="26"/>
        <v>842.74931039701278</v>
      </c>
      <c r="E206" s="42">
        <f t="shared" ca="1" si="33"/>
        <v>1014.3330699938367</v>
      </c>
      <c r="F206" s="42">
        <f t="shared" ca="1" si="27"/>
        <v>1857.0823803908495</v>
      </c>
      <c r="G206" s="42">
        <f ca="1">IF(B206&lt;=$D$16,G205*(1+$D$13)^((C206-C205)/_xlfn.DAYS(EDATE(C205,1),C205)),G205-D206)+IF(B206&lt;=$D$16,G205*Resumo!$F$12,0)+IF(B206&lt;=$D$16,$D$15*Resumo!$F$13,0)+IF(B206&lt;=$D$16,25,0)-IF(AND($D$16&gt;3,B206&lt;=$D$16),K206,0)</f>
        <v>148323.8786298731</v>
      </c>
      <c r="H206" s="42">
        <f ca="1">IF(AND(B206&lt;&gt;"",L206&lt;&gt;$D$17,$D$16&gt;3),G206*Resumo!$F$12,IF(AND(B206&lt;&gt;"",L206&lt;&gt;$D$17,B206&gt;$D$16),G206*Resumo!$F$12,0))</f>
        <v>31.148014512273352</v>
      </c>
      <c r="I206" s="42">
        <f>IF(AND(B206&lt;&gt;"",L206&lt;&gt;$D$17,$D$16&gt;3,$B206&lt;=$D$16),$D$15*Resumo!$F$13,IF(AND(B206&lt;&gt;"",L206&lt;&gt;$D$17,B206&gt;$D$16),$D$15*Resumo!$F$13,0))</f>
        <v>34.369999999999997</v>
      </c>
      <c r="J206" s="42">
        <f>IF(AND(B206&lt;&gt;"",L206&lt;&gt;$D$17,$D$16&gt;3,$B206&lt;=$D$16),Resumo!$F$11,IF(AND(B206&lt;&gt;"",L206&lt;&gt;$D$17,B206&gt;$D$16),Resumo!$F$11,0))</f>
        <v>25</v>
      </c>
      <c r="K206" s="42">
        <f t="shared" ca="1" si="28"/>
        <v>1947.6003949031228</v>
      </c>
      <c r="L206" s="39" t="str">
        <f>IF(B206&lt;&gt;"",VLOOKUP(MONTH(C206),Sheet2!$F$1:$G$12,2,0),"")</f>
        <v>Novembro</v>
      </c>
      <c r="M206" s="200">
        <f t="shared" ca="1" si="34"/>
        <v>0</v>
      </c>
      <c r="N206" s="40">
        <f t="shared" ca="1" si="35"/>
        <v>1857.0823803908495</v>
      </c>
      <c r="O206" s="40">
        <f t="shared" ca="1" si="29"/>
        <v>1947.6003949031228</v>
      </c>
      <c r="P206" s="40"/>
      <c r="Q206" s="20">
        <f t="shared" ca="1" si="36"/>
        <v>834.89136490250701</v>
      </c>
      <c r="R206" s="1">
        <f t="shared" si="30"/>
        <v>5612</v>
      </c>
      <c r="S206" s="243">
        <f>IF(AND($K$2&gt;=DATEVALUE("03/04/2020"),$K$2&lt;=DATEVALUE("31/12/2020")),0,IF(Resumo!$C$19="PF",IF(R206&lt;360,0.0082%*R206,3%),IF(R206&lt;360,0.0041%*R206,1.5%)))</f>
        <v>1.4999999999999999E-2</v>
      </c>
      <c r="T206" s="172">
        <f t="shared" ca="1" si="37"/>
        <v>12.523370473537605</v>
      </c>
      <c r="X206" s="20">
        <f t="shared" ca="1" si="38"/>
        <v>1857.0823803908495</v>
      </c>
    </row>
    <row r="207" spans="2:24">
      <c r="B207" s="37">
        <f t="shared" si="31"/>
        <v>185</v>
      </c>
      <c r="C207" s="163">
        <f t="shared" si="32"/>
        <v>50389</v>
      </c>
      <c r="D207" s="38">
        <f t="shared" ca="1" si="26"/>
        <v>842.74931039701278</v>
      </c>
      <c r="E207" s="38">
        <f t="shared" ca="1" si="33"/>
        <v>1008.602374683137</v>
      </c>
      <c r="F207" s="38">
        <f t="shared" ca="1" si="27"/>
        <v>1851.3516850801498</v>
      </c>
      <c r="G207" s="38">
        <f ca="1">IF(B207&lt;=$D$16,G206*(1+$D$13)^((C207-C206)/_xlfn.DAYS(EDATE(C206,1),C206)),G206-D207)+IF(B207&lt;=$D$16,G206*Resumo!$F$12,0)+IF(B207&lt;=$D$16,$D$15*Resumo!$F$13,0)+IF(B207&lt;=$D$16,25,0)-IF(AND($D$16&gt;3,B207&lt;=$D$16),K207,0)</f>
        <v>147481.12931947608</v>
      </c>
      <c r="H207" s="38">
        <f ca="1">IF(AND(B207&lt;&gt;"",L207&lt;&gt;$D$17,$D$16&gt;3),G207*Resumo!$F$12,IF(AND(B207&lt;&gt;"",L207&lt;&gt;$D$17,B207&gt;$D$16),G207*Resumo!$F$12,0))</f>
        <v>30.971037157089977</v>
      </c>
      <c r="I207" s="38">
        <f>IF(AND(B207&lt;&gt;"",L207&lt;&gt;$D$17,$D$16&gt;3,$B207&lt;=$D$16),$D$15*Resumo!$F$13,IF(AND(B207&lt;&gt;"",L207&lt;&gt;$D$17,B207&gt;$D$16),$D$15*Resumo!$F$13,0))</f>
        <v>34.369999999999997</v>
      </c>
      <c r="J207" s="38">
        <f>IF(AND(B207&lt;&gt;"",L207&lt;&gt;$D$17,$D$16&gt;3,$B207&lt;=$D$16),Resumo!$F$11,IF(AND(B207&lt;&gt;"",L207&lt;&gt;$D$17,B207&gt;$D$16),Resumo!$F$11,0))</f>
        <v>25</v>
      </c>
      <c r="K207" s="38">
        <f t="shared" ca="1" si="28"/>
        <v>1941.6927222372396</v>
      </c>
      <c r="L207" s="39" t="str">
        <f>IF(B207&lt;&gt;"",VLOOKUP(MONTH(C207),Sheet2!$F$1:$G$12,2,0),"")</f>
        <v>Dezembro</v>
      </c>
      <c r="M207" s="200">
        <f t="shared" ca="1" si="34"/>
        <v>0</v>
      </c>
      <c r="N207" s="40">
        <f t="shared" ca="1" si="35"/>
        <v>1851.3516850801498</v>
      </c>
      <c r="O207" s="40">
        <f t="shared" ca="1" si="29"/>
        <v>1941.6927222372396</v>
      </c>
      <c r="P207" s="40"/>
      <c r="Q207" s="20">
        <f t="shared" ca="1" si="36"/>
        <v>834.89136490250701</v>
      </c>
      <c r="R207" s="1">
        <f t="shared" si="30"/>
        <v>5642</v>
      </c>
      <c r="S207" s="243">
        <f>IF(AND($K$2&gt;=DATEVALUE("03/04/2020"),$K$2&lt;=DATEVALUE("31/12/2020")),0,IF(Resumo!$C$19="PF",IF(R207&lt;360,0.0082%*R207,3%),IF(R207&lt;360,0.0041%*R207,1.5%)))</f>
        <v>1.4999999999999999E-2</v>
      </c>
      <c r="T207" s="172">
        <f t="shared" ca="1" si="37"/>
        <v>12.523370473537605</v>
      </c>
      <c r="X207" s="20">
        <f t="shared" ca="1" si="38"/>
        <v>1851.3516850801498</v>
      </c>
    </row>
    <row r="208" spans="2:24">
      <c r="B208" s="41">
        <f t="shared" si="31"/>
        <v>186</v>
      </c>
      <c r="C208" s="164">
        <f t="shared" si="32"/>
        <v>50420</v>
      </c>
      <c r="D208" s="42">
        <f t="shared" ca="1" si="26"/>
        <v>842.74931039701278</v>
      </c>
      <c r="E208" s="42">
        <f t="shared" ca="1" si="33"/>
        <v>1002.8716793724373</v>
      </c>
      <c r="F208" s="42">
        <f t="shared" ca="1" si="27"/>
        <v>1845.62098976945</v>
      </c>
      <c r="G208" s="42">
        <f ca="1">IF(B208&lt;=$D$16,G207*(1+$D$13)^((C208-C207)/_xlfn.DAYS(EDATE(C207,1),C207)),G207-D208)+IF(B208&lt;=$D$16,G207*Resumo!$F$12,0)+IF(B208&lt;=$D$16,$D$15*Resumo!$F$13,0)+IF(B208&lt;=$D$16,25,0)-IF(AND($D$16&gt;3,B208&lt;=$D$16),K208,0)</f>
        <v>146638.38000907906</v>
      </c>
      <c r="H208" s="42">
        <f ca="1">IF(AND(B208&lt;&gt;"",L208&lt;&gt;$D$17,$D$16&gt;3),G208*Resumo!$F$12,IF(AND(B208&lt;&gt;"",L208&lt;&gt;$D$17,B208&gt;$D$16),G208*Resumo!$F$12,0))</f>
        <v>30.794059801906606</v>
      </c>
      <c r="I208" s="42">
        <f>IF(AND(B208&lt;&gt;"",L208&lt;&gt;$D$17,$D$16&gt;3,$B208&lt;=$D$16),$D$15*Resumo!$F$13,IF(AND(B208&lt;&gt;"",L208&lt;&gt;$D$17,B208&gt;$D$16),$D$15*Resumo!$F$13,0))</f>
        <v>34.369999999999997</v>
      </c>
      <c r="J208" s="42">
        <f>IF(AND(B208&lt;&gt;"",L208&lt;&gt;$D$17,$D$16&gt;3,$B208&lt;=$D$16),Resumo!$F$11,IF(AND(B208&lt;&gt;"",L208&lt;&gt;$D$17,B208&gt;$D$16),Resumo!$F$11,0))</f>
        <v>25</v>
      </c>
      <c r="K208" s="42">
        <f t="shared" ca="1" si="28"/>
        <v>1935.7850495713565</v>
      </c>
      <c r="L208" s="39" t="str">
        <f>IF(B208&lt;&gt;"",VLOOKUP(MONTH(C208),Sheet2!$F$1:$G$12,2,0),"")</f>
        <v>Janeiro</v>
      </c>
      <c r="M208" s="200">
        <f t="shared" ca="1" si="34"/>
        <v>0</v>
      </c>
      <c r="N208" s="40">
        <f t="shared" ca="1" si="35"/>
        <v>1845.62098976945</v>
      </c>
      <c r="O208" s="40">
        <f t="shared" ca="1" si="29"/>
        <v>1935.7850495713565</v>
      </c>
      <c r="P208" s="40"/>
      <c r="Q208" s="20">
        <f t="shared" ca="1" si="36"/>
        <v>834.89136490250701</v>
      </c>
      <c r="R208" s="1">
        <f t="shared" si="30"/>
        <v>5673</v>
      </c>
      <c r="S208" s="243">
        <f>IF(AND($K$2&gt;=DATEVALUE("03/04/2020"),$K$2&lt;=DATEVALUE("31/12/2020")),0,IF(Resumo!$C$19="PF",IF(R208&lt;360,0.0082%*R208,3%),IF(R208&lt;360,0.0041%*R208,1.5%)))</f>
        <v>1.4999999999999999E-2</v>
      </c>
      <c r="T208" s="172">
        <f t="shared" ca="1" si="37"/>
        <v>12.523370473537605</v>
      </c>
      <c r="X208" s="20">
        <f t="shared" ca="1" si="38"/>
        <v>1845.62098976945</v>
      </c>
    </row>
    <row r="209" spans="2:24">
      <c r="B209" s="37">
        <f t="shared" si="31"/>
        <v>187</v>
      </c>
      <c r="C209" s="163">
        <f t="shared" si="32"/>
        <v>50451</v>
      </c>
      <c r="D209" s="38">
        <f t="shared" ca="1" si="26"/>
        <v>842.74931039701278</v>
      </c>
      <c r="E209" s="38">
        <f t="shared" ca="1" si="33"/>
        <v>997.14098406173753</v>
      </c>
      <c r="F209" s="38">
        <f t="shared" ca="1" si="27"/>
        <v>1839.8902944587503</v>
      </c>
      <c r="G209" s="38">
        <f ca="1">IF(B209&lt;=$D$16,G208*(1+$D$13)^((C209-C208)/_xlfn.DAYS(EDATE(C208,1),C208)),G208-D209)+IF(B209&lt;=$D$16,G208*Resumo!$F$12,0)+IF(B209&lt;=$D$16,$D$15*Resumo!$F$13,0)+IF(B209&lt;=$D$16,25,0)-IF(AND($D$16&gt;3,B209&lt;=$D$16),K209,0)</f>
        <v>145795.63069868204</v>
      </c>
      <c r="H209" s="38">
        <f ca="1">IF(AND(B209&lt;&gt;"",L209&lt;&gt;$D$17,$D$16&gt;3),G209*Resumo!$F$12,IF(AND(B209&lt;&gt;"",L209&lt;&gt;$D$17,B209&gt;$D$16),G209*Resumo!$F$12,0))</f>
        <v>30.617082446723231</v>
      </c>
      <c r="I209" s="38">
        <f>IF(AND(B209&lt;&gt;"",L209&lt;&gt;$D$17,$D$16&gt;3,$B209&lt;=$D$16),$D$15*Resumo!$F$13,IF(AND(B209&lt;&gt;"",L209&lt;&gt;$D$17,B209&gt;$D$16),$D$15*Resumo!$F$13,0))</f>
        <v>34.369999999999997</v>
      </c>
      <c r="J209" s="38">
        <f>IF(AND(B209&lt;&gt;"",L209&lt;&gt;$D$17,$D$16&gt;3,$B209&lt;=$D$16),Resumo!$F$11,IF(AND(B209&lt;&gt;"",L209&lt;&gt;$D$17,B209&gt;$D$16),Resumo!$F$11,0))</f>
        <v>25</v>
      </c>
      <c r="K209" s="38">
        <f t="shared" ca="1" si="28"/>
        <v>1929.8773769054735</v>
      </c>
      <c r="L209" s="39" t="str">
        <f>IF(B209&lt;&gt;"",VLOOKUP(MONTH(C209),Sheet2!$F$1:$G$12,2,0),"")</f>
        <v>Fevereiro</v>
      </c>
      <c r="M209" s="200">
        <f t="shared" ca="1" si="34"/>
        <v>0</v>
      </c>
      <c r="N209" s="40">
        <f t="shared" ca="1" si="35"/>
        <v>1839.8902944587503</v>
      </c>
      <c r="O209" s="40">
        <f t="shared" ca="1" si="29"/>
        <v>1929.8773769054735</v>
      </c>
      <c r="P209" s="40"/>
      <c r="Q209" s="20">
        <f t="shared" ca="1" si="36"/>
        <v>834.89136490250701</v>
      </c>
      <c r="R209" s="1">
        <f t="shared" si="30"/>
        <v>5704</v>
      </c>
      <c r="S209" s="243">
        <f>IF(AND($K$2&gt;=DATEVALUE("03/04/2020"),$K$2&lt;=DATEVALUE("31/12/2020")),0,IF(Resumo!$C$19="PF",IF(R209&lt;360,0.0082%*R209,3%),IF(R209&lt;360,0.0041%*R209,1.5%)))</f>
        <v>1.4999999999999999E-2</v>
      </c>
      <c r="T209" s="172">
        <f t="shared" ca="1" si="37"/>
        <v>12.523370473537605</v>
      </c>
      <c r="X209" s="20">
        <f t="shared" ca="1" si="38"/>
        <v>1839.8902944587503</v>
      </c>
    </row>
    <row r="210" spans="2:24">
      <c r="B210" s="41">
        <f t="shared" si="31"/>
        <v>188</v>
      </c>
      <c r="C210" s="164">
        <f t="shared" si="32"/>
        <v>50479</v>
      </c>
      <c r="D210" s="42">
        <f t="shared" ca="1" si="26"/>
        <v>842.74931039701278</v>
      </c>
      <c r="E210" s="42">
        <f t="shared" ca="1" si="33"/>
        <v>991.4102887510378</v>
      </c>
      <c r="F210" s="42">
        <f t="shared" ca="1" si="27"/>
        <v>1834.1595991480506</v>
      </c>
      <c r="G210" s="42">
        <f ca="1">IF(B210&lt;=$D$16,G209*(1+$D$13)^((C210-C209)/_xlfn.DAYS(EDATE(C209,1),C209)),G209-D210)+IF(B210&lt;=$D$16,G209*Resumo!$F$12,0)+IF(B210&lt;=$D$16,$D$15*Resumo!$F$13,0)+IF(B210&lt;=$D$16,25,0)-IF(AND($D$16&gt;3,B210&lt;=$D$16),K210,0)</f>
        <v>144952.88138828502</v>
      </c>
      <c r="H210" s="42">
        <f ca="1">IF(AND(B210&lt;&gt;"",L210&lt;&gt;$D$17,$D$16&gt;3),G210*Resumo!$F$12,IF(AND(B210&lt;&gt;"",L210&lt;&gt;$D$17,B210&gt;$D$16),G210*Resumo!$F$12,0))</f>
        <v>30.440105091539856</v>
      </c>
      <c r="I210" s="42">
        <f>IF(AND(B210&lt;&gt;"",L210&lt;&gt;$D$17,$D$16&gt;3,$B210&lt;=$D$16),$D$15*Resumo!$F$13,IF(AND(B210&lt;&gt;"",L210&lt;&gt;$D$17,B210&gt;$D$16),$D$15*Resumo!$F$13,0))</f>
        <v>34.369999999999997</v>
      </c>
      <c r="J210" s="42">
        <f>IF(AND(B210&lt;&gt;"",L210&lt;&gt;$D$17,$D$16&gt;3,$B210&lt;=$D$16),Resumo!$F$11,IF(AND(B210&lt;&gt;"",L210&lt;&gt;$D$17,B210&gt;$D$16),Resumo!$F$11,0))</f>
        <v>25</v>
      </c>
      <c r="K210" s="42">
        <f t="shared" ca="1" si="28"/>
        <v>1923.9697042395903</v>
      </c>
      <c r="L210" s="39" t="str">
        <f>IF(B210&lt;&gt;"",VLOOKUP(MONTH(C210),Sheet2!$F$1:$G$12,2,0),"")</f>
        <v>Março</v>
      </c>
      <c r="M210" s="200">
        <f t="shared" ca="1" si="34"/>
        <v>0</v>
      </c>
      <c r="N210" s="40">
        <f t="shared" ca="1" si="35"/>
        <v>1834.1595991480506</v>
      </c>
      <c r="O210" s="40">
        <f t="shared" ca="1" si="29"/>
        <v>1923.9697042395903</v>
      </c>
      <c r="P210" s="40"/>
      <c r="Q210" s="20">
        <f t="shared" ca="1" si="36"/>
        <v>834.89136490250701</v>
      </c>
      <c r="R210" s="1">
        <f t="shared" si="30"/>
        <v>5732</v>
      </c>
      <c r="S210" s="243">
        <f>IF(AND($K$2&gt;=DATEVALUE("03/04/2020"),$K$2&lt;=DATEVALUE("31/12/2020")),0,IF(Resumo!$C$19="PF",IF(R210&lt;360,0.0082%*R210,3%),IF(R210&lt;360,0.0041%*R210,1.5%)))</f>
        <v>1.4999999999999999E-2</v>
      </c>
      <c r="T210" s="172">
        <f t="shared" ca="1" si="37"/>
        <v>12.523370473537605</v>
      </c>
      <c r="X210" s="20">
        <f t="shared" ca="1" si="38"/>
        <v>1834.1595991480506</v>
      </c>
    </row>
    <row r="211" spans="2:24">
      <c r="B211" s="37">
        <f t="shared" si="31"/>
        <v>189</v>
      </c>
      <c r="C211" s="163">
        <f t="shared" si="32"/>
        <v>50510</v>
      </c>
      <c r="D211" s="38">
        <f t="shared" ca="1" si="26"/>
        <v>842.74931039701278</v>
      </c>
      <c r="E211" s="38">
        <f t="shared" ca="1" si="33"/>
        <v>985.67959344033807</v>
      </c>
      <c r="F211" s="38">
        <f t="shared" ca="1" si="27"/>
        <v>1828.4289038373508</v>
      </c>
      <c r="G211" s="38">
        <f ca="1">IF(B211&lt;=$D$16,G210*(1+$D$13)^((C211-C210)/_xlfn.DAYS(EDATE(C210,1),C210)),G210-D211)+IF(B211&lt;=$D$16,G210*Resumo!$F$12,0)+IF(B211&lt;=$D$16,$D$15*Resumo!$F$13,0)+IF(B211&lt;=$D$16,25,0)-IF(AND($D$16&gt;3,B211&lt;=$D$16),K211,0)</f>
        <v>144110.132077888</v>
      </c>
      <c r="H211" s="38">
        <f ca="1">IF(AND(B211&lt;&gt;"",L211&lt;&gt;$D$17,$D$16&gt;3),G211*Resumo!$F$12,IF(AND(B211&lt;&gt;"",L211&lt;&gt;$D$17,B211&gt;$D$16),G211*Resumo!$F$12,0))</f>
        <v>30.263127736356481</v>
      </c>
      <c r="I211" s="38">
        <f>IF(AND(B211&lt;&gt;"",L211&lt;&gt;$D$17,$D$16&gt;3,$B211&lt;=$D$16),$D$15*Resumo!$F$13,IF(AND(B211&lt;&gt;"",L211&lt;&gt;$D$17,B211&gt;$D$16),$D$15*Resumo!$F$13,0))</f>
        <v>34.369999999999997</v>
      </c>
      <c r="J211" s="38">
        <f>IF(AND(B211&lt;&gt;"",L211&lt;&gt;$D$17,$D$16&gt;3,$B211&lt;=$D$16),Resumo!$F$11,IF(AND(B211&lt;&gt;"",L211&lt;&gt;$D$17,B211&gt;$D$16),Resumo!$F$11,0))</f>
        <v>25</v>
      </c>
      <c r="K211" s="38">
        <f t="shared" ca="1" si="28"/>
        <v>1918.0620315737071</v>
      </c>
      <c r="L211" s="39" t="str">
        <f>IF(B211&lt;&gt;"",VLOOKUP(MONTH(C211),Sheet2!$F$1:$G$12,2,0),"")</f>
        <v>Abril</v>
      </c>
      <c r="M211" s="200">
        <f t="shared" ca="1" si="34"/>
        <v>0</v>
      </c>
      <c r="N211" s="40">
        <f t="shared" ca="1" si="35"/>
        <v>1828.4289038373508</v>
      </c>
      <c r="O211" s="40">
        <f t="shared" ca="1" si="29"/>
        <v>1918.0620315737071</v>
      </c>
      <c r="P211" s="40"/>
      <c r="Q211" s="20">
        <f t="shared" ca="1" si="36"/>
        <v>834.89136490250701</v>
      </c>
      <c r="R211" s="1">
        <f t="shared" si="30"/>
        <v>5763</v>
      </c>
      <c r="S211" s="243">
        <f>IF(AND($K$2&gt;=DATEVALUE("03/04/2020"),$K$2&lt;=DATEVALUE("31/12/2020")),0,IF(Resumo!$C$19="PF",IF(R211&lt;360,0.0082%*R211,3%),IF(R211&lt;360,0.0041%*R211,1.5%)))</f>
        <v>1.4999999999999999E-2</v>
      </c>
      <c r="T211" s="172">
        <f t="shared" ca="1" si="37"/>
        <v>12.523370473537605</v>
      </c>
      <c r="X211" s="20">
        <f t="shared" ca="1" si="38"/>
        <v>1828.4289038373508</v>
      </c>
    </row>
    <row r="212" spans="2:24">
      <c r="B212" s="41">
        <f t="shared" si="31"/>
        <v>190</v>
      </c>
      <c r="C212" s="164">
        <f t="shared" si="32"/>
        <v>50540</v>
      </c>
      <c r="D212" s="42">
        <f t="shared" ca="1" si="26"/>
        <v>842.74931039701278</v>
      </c>
      <c r="E212" s="42">
        <f t="shared" ca="1" si="33"/>
        <v>979.94889812963834</v>
      </c>
      <c r="F212" s="42">
        <f t="shared" ca="1" si="27"/>
        <v>1822.6982085266511</v>
      </c>
      <c r="G212" s="42">
        <f ca="1">IF(B212&lt;=$D$16,G211*(1+$D$13)^((C212-C211)/_xlfn.DAYS(EDATE(C211,1),C211)),G211-D212)+IF(B212&lt;=$D$16,G211*Resumo!$F$12,0)+IF(B212&lt;=$D$16,$D$15*Resumo!$F$13,0)+IF(B212&lt;=$D$16,25,0)-IF(AND($D$16&gt;3,B212&lt;=$D$16),K212,0)</f>
        <v>143267.38276749098</v>
      </c>
      <c r="H212" s="42">
        <f ca="1">IF(AND(B212&lt;&gt;"",L212&lt;&gt;$D$17,$D$16&gt;3),G212*Resumo!$F$12,IF(AND(B212&lt;&gt;"",L212&lt;&gt;$D$17,B212&gt;$D$16),G212*Resumo!$F$12,0))</f>
        <v>30.086150381173109</v>
      </c>
      <c r="I212" s="42">
        <f>IF(AND(B212&lt;&gt;"",L212&lt;&gt;$D$17,$D$16&gt;3,$B212&lt;=$D$16),$D$15*Resumo!$F$13,IF(AND(B212&lt;&gt;"",L212&lt;&gt;$D$17,B212&gt;$D$16),$D$15*Resumo!$F$13,0))</f>
        <v>34.369999999999997</v>
      </c>
      <c r="J212" s="42">
        <f>IF(AND(B212&lt;&gt;"",L212&lt;&gt;$D$17,$D$16&gt;3,$B212&lt;=$D$16),Resumo!$F$11,IF(AND(B212&lt;&gt;"",L212&lt;&gt;$D$17,B212&gt;$D$16),Resumo!$F$11,0))</f>
        <v>25</v>
      </c>
      <c r="K212" s="42">
        <f t="shared" ca="1" si="28"/>
        <v>1912.1543589078242</v>
      </c>
      <c r="L212" s="39" t="str">
        <f>IF(B212&lt;&gt;"",VLOOKUP(MONTH(C212),Sheet2!$F$1:$G$12,2,0),"")</f>
        <v>Maio</v>
      </c>
      <c r="M212" s="200">
        <f t="shared" ca="1" si="34"/>
        <v>0</v>
      </c>
      <c r="N212" s="40">
        <f t="shared" ca="1" si="35"/>
        <v>1822.6982085266511</v>
      </c>
      <c r="O212" s="40">
        <f t="shared" ca="1" si="29"/>
        <v>1912.1543589078242</v>
      </c>
      <c r="P212" s="40"/>
      <c r="Q212" s="20">
        <f t="shared" ca="1" si="36"/>
        <v>834.89136490250701</v>
      </c>
      <c r="R212" s="1">
        <f t="shared" si="30"/>
        <v>5793</v>
      </c>
      <c r="S212" s="243">
        <f>IF(AND($K$2&gt;=DATEVALUE("03/04/2020"),$K$2&lt;=DATEVALUE("31/12/2020")),0,IF(Resumo!$C$19="PF",IF(R212&lt;360,0.0082%*R212,3%),IF(R212&lt;360,0.0041%*R212,1.5%)))</f>
        <v>1.4999999999999999E-2</v>
      </c>
      <c r="T212" s="172">
        <f t="shared" ca="1" si="37"/>
        <v>12.523370473537605</v>
      </c>
      <c r="X212" s="20">
        <f t="shared" ca="1" si="38"/>
        <v>1822.6982085266511</v>
      </c>
    </row>
    <row r="213" spans="2:24">
      <c r="B213" s="37">
        <f t="shared" si="31"/>
        <v>191</v>
      </c>
      <c r="C213" s="163">
        <f t="shared" si="32"/>
        <v>50571</v>
      </c>
      <c r="D213" s="38">
        <f t="shared" ca="1" si="26"/>
        <v>842.74931039701278</v>
      </c>
      <c r="E213" s="38">
        <f t="shared" ca="1" si="33"/>
        <v>974.21820281893861</v>
      </c>
      <c r="F213" s="38">
        <f t="shared" ca="1" si="27"/>
        <v>1816.9675132159514</v>
      </c>
      <c r="G213" s="38">
        <f ca="1">IF(B213&lt;=$D$16,G212*(1+$D$13)^((C213-C212)/_xlfn.DAYS(EDATE(C212,1),C212)),G212-D213)+IF(B213&lt;=$D$16,G212*Resumo!$F$12,0)+IF(B213&lt;=$D$16,$D$15*Resumo!$F$13,0)+IF(B213&lt;=$D$16,25,0)-IF(AND($D$16&gt;3,B213&lt;=$D$16),K213,0)</f>
        <v>142424.63345709397</v>
      </c>
      <c r="H213" s="38">
        <f ca="1">IF(AND(B213&lt;&gt;"",L213&lt;&gt;$D$17,$D$16&gt;3),G213*Resumo!$F$12,IF(AND(B213&lt;&gt;"",L213&lt;&gt;$D$17,B213&gt;$D$16),G213*Resumo!$F$12,0))</f>
        <v>29.909173025989734</v>
      </c>
      <c r="I213" s="38">
        <f>IF(AND(B213&lt;&gt;"",L213&lt;&gt;$D$17,$D$16&gt;3,$B213&lt;=$D$16),$D$15*Resumo!$F$13,IF(AND(B213&lt;&gt;"",L213&lt;&gt;$D$17,B213&gt;$D$16),$D$15*Resumo!$F$13,0))</f>
        <v>34.369999999999997</v>
      </c>
      <c r="J213" s="38">
        <f>IF(AND(B213&lt;&gt;"",L213&lt;&gt;$D$17,$D$16&gt;3,$B213&lt;=$D$16),Resumo!$F$11,IF(AND(B213&lt;&gt;"",L213&lt;&gt;$D$17,B213&gt;$D$16),Resumo!$F$11,0))</f>
        <v>25</v>
      </c>
      <c r="K213" s="38">
        <f t="shared" ca="1" si="28"/>
        <v>1906.246686241941</v>
      </c>
      <c r="L213" s="39" t="str">
        <f>IF(B213&lt;&gt;"",VLOOKUP(MONTH(C213),Sheet2!$F$1:$G$12,2,0),"")</f>
        <v>Junho</v>
      </c>
      <c r="M213" s="200">
        <f t="shared" ca="1" si="34"/>
        <v>0</v>
      </c>
      <c r="N213" s="40">
        <f t="shared" ca="1" si="35"/>
        <v>1816.9675132159514</v>
      </c>
      <c r="O213" s="40">
        <f t="shared" ca="1" si="29"/>
        <v>1906.246686241941</v>
      </c>
      <c r="P213" s="40"/>
      <c r="Q213" s="20">
        <f t="shared" ca="1" si="36"/>
        <v>834.89136490250701</v>
      </c>
      <c r="R213" s="1">
        <f t="shared" si="30"/>
        <v>5824</v>
      </c>
      <c r="S213" s="243">
        <f>IF(AND($K$2&gt;=DATEVALUE("03/04/2020"),$K$2&lt;=DATEVALUE("31/12/2020")),0,IF(Resumo!$C$19="PF",IF(R213&lt;360,0.0082%*R213,3%),IF(R213&lt;360,0.0041%*R213,1.5%)))</f>
        <v>1.4999999999999999E-2</v>
      </c>
      <c r="T213" s="172">
        <f t="shared" ca="1" si="37"/>
        <v>12.523370473537605</v>
      </c>
      <c r="X213" s="20">
        <f t="shared" ca="1" si="38"/>
        <v>1816.9675132159514</v>
      </c>
    </row>
    <row r="214" spans="2:24">
      <c r="B214" s="41">
        <f t="shared" si="31"/>
        <v>192</v>
      </c>
      <c r="C214" s="164">
        <f t="shared" si="32"/>
        <v>50601</v>
      </c>
      <c r="D214" s="42">
        <f t="shared" ca="1" si="26"/>
        <v>842.74931039701278</v>
      </c>
      <c r="E214" s="42">
        <f t="shared" ca="1" si="33"/>
        <v>968.48750750823888</v>
      </c>
      <c r="F214" s="42">
        <f t="shared" ca="1" si="27"/>
        <v>1811.2368179052517</v>
      </c>
      <c r="G214" s="42">
        <f ca="1">IF(B214&lt;=$D$16,G213*(1+$D$13)^((C214-C213)/_xlfn.DAYS(EDATE(C213,1),C213)),G213-D214)+IF(B214&lt;=$D$16,G213*Resumo!$F$12,0)+IF(B214&lt;=$D$16,$D$15*Resumo!$F$13,0)+IF(B214&lt;=$D$16,25,0)-IF(AND($D$16&gt;3,B214&lt;=$D$16),K214,0)</f>
        <v>141581.88414669695</v>
      </c>
      <c r="H214" s="42">
        <f ca="1">IF(AND(B214&lt;&gt;"",L214&lt;&gt;$D$17,$D$16&gt;3),G214*Resumo!$F$12,IF(AND(B214&lt;&gt;"",L214&lt;&gt;$D$17,B214&gt;$D$16),G214*Resumo!$F$12,0))</f>
        <v>29.732195670806359</v>
      </c>
      <c r="I214" s="42">
        <f>IF(AND(B214&lt;&gt;"",L214&lt;&gt;$D$17,$D$16&gt;3,$B214&lt;=$D$16),$D$15*Resumo!$F$13,IF(AND(B214&lt;&gt;"",L214&lt;&gt;$D$17,B214&gt;$D$16),$D$15*Resumo!$F$13,0))</f>
        <v>34.369999999999997</v>
      </c>
      <c r="J214" s="42">
        <f>IF(AND(B214&lt;&gt;"",L214&lt;&gt;$D$17,$D$16&gt;3,$B214&lt;=$D$16),Resumo!$F$11,IF(AND(B214&lt;&gt;"",L214&lt;&gt;$D$17,B214&gt;$D$16),Resumo!$F$11,0))</f>
        <v>25</v>
      </c>
      <c r="K214" s="42">
        <f t="shared" ca="1" si="28"/>
        <v>1900.3390135760578</v>
      </c>
      <c r="L214" s="39" t="str">
        <f>IF(B214&lt;&gt;"",VLOOKUP(MONTH(C214),Sheet2!$F$1:$G$12,2,0),"")</f>
        <v>Julho</v>
      </c>
      <c r="M214" s="200">
        <f t="shared" ca="1" si="34"/>
        <v>0</v>
      </c>
      <c r="N214" s="40">
        <f t="shared" ca="1" si="35"/>
        <v>1811.2368179052517</v>
      </c>
      <c r="O214" s="40">
        <f t="shared" ca="1" si="29"/>
        <v>1900.3390135760578</v>
      </c>
      <c r="P214" s="40"/>
      <c r="Q214" s="20">
        <f t="shared" ca="1" si="36"/>
        <v>834.89136490250701</v>
      </c>
      <c r="R214" s="1">
        <f t="shared" si="30"/>
        <v>5854</v>
      </c>
      <c r="S214" s="243">
        <f>IF(AND($K$2&gt;=DATEVALUE("03/04/2020"),$K$2&lt;=DATEVALUE("31/12/2020")),0,IF(Resumo!$C$19="PF",IF(R214&lt;360,0.0082%*R214,3%),IF(R214&lt;360,0.0041%*R214,1.5%)))</f>
        <v>1.4999999999999999E-2</v>
      </c>
      <c r="T214" s="172">
        <f t="shared" ca="1" si="37"/>
        <v>12.523370473537605</v>
      </c>
      <c r="X214" s="20">
        <f t="shared" ca="1" si="38"/>
        <v>1811.2368179052517</v>
      </c>
    </row>
    <row r="215" spans="2:24">
      <c r="B215" s="37">
        <f t="shared" si="31"/>
        <v>193</v>
      </c>
      <c r="C215" s="163">
        <f t="shared" si="32"/>
        <v>50632</v>
      </c>
      <c r="D215" s="38">
        <f t="shared" ref="D215:D278" ca="1" si="39">IF(AND(B215&lt;&gt;"",L215&lt;&gt;$D$17,B215&gt;$D$16),VLOOKUP(IF($D$16=0,"I",$D$16),B:G,6,0)/($D$12-$E$17-$D$16),0)</f>
        <v>842.74931039701278</v>
      </c>
      <c r="E215" s="38">
        <f t="shared" ca="1" si="33"/>
        <v>962.75681219753915</v>
      </c>
      <c r="F215" s="38">
        <f t="shared" ref="F215:F278" ca="1" si="40">D215+E215</f>
        <v>1805.5061225945519</v>
      </c>
      <c r="G215" s="38">
        <f ca="1">IF(B215&lt;=$D$16,G214*(1+$D$13)^((C215-C214)/_xlfn.DAYS(EDATE(C214,1),C214)),G214-D215)+IF(B215&lt;=$D$16,G214*Resumo!$F$12,0)+IF(B215&lt;=$D$16,$D$15*Resumo!$F$13,0)+IF(B215&lt;=$D$16,25,0)-IF(AND($D$16&gt;3,B215&lt;=$D$16),K215,0)</f>
        <v>140739.13483629993</v>
      </c>
      <c r="H215" s="38">
        <f ca="1">IF(AND(B215&lt;&gt;"",L215&lt;&gt;$D$17,$D$16&gt;3),G215*Resumo!$F$12,IF(AND(B215&lt;&gt;"",L215&lt;&gt;$D$17,B215&gt;$D$16),G215*Resumo!$F$12,0))</f>
        <v>29.555218315622987</v>
      </c>
      <c r="I215" s="38">
        <f>IF(AND(B215&lt;&gt;"",L215&lt;&gt;$D$17,$D$16&gt;3,$B215&lt;=$D$16),$D$15*Resumo!$F$13,IF(AND(B215&lt;&gt;"",L215&lt;&gt;$D$17,B215&gt;$D$16),$D$15*Resumo!$F$13,0))</f>
        <v>34.369999999999997</v>
      </c>
      <c r="J215" s="38">
        <f>IF(AND(B215&lt;&gt;"",L215&lt;&gt;$D$17,$D$16&gt;3,$B215&lt;=$D$16),Resumo!$F$11,IF(AND(B215&lt;&gt;"",L215&lt;&gt;$D$17,B215&gt;$D$16),Resumo!$F$11,0))</f>
        <v>25</v>
      </c>
      <c r="K215" s="38">
        <f t="shared" ref="K215:K278" ca="1" si="41">IF(B215&lt;&gt;"",D215+E215+H215+I215+J215,"")</f>
        <v>1894.4313409101749</v>
      </c>
      <c r="L215" s="39" t="str">
        <f>IF(B215&lt;&gt;"",VLOOKUP(MONTH(C215),Sheet2!$F$1:$G$12,2,0),"")</f>
        <v>Agosto</v>
      </c>
      <c r="M215" s="200">
        <f t="shared" ca="1" si="34"/>
        <v>0</v>
      </c>
      <c r="N215" s="40">
        <f t="shared" ca="1" si="35"/>
        <v>1805.5061225945519</v>
      </c>
      <c r="O215" s="40">
        <f t="shared" ref="O215:O278" ca="1" si="42">K215</f>
        <v>1894.4313409101749</v>
      </c>
      <c r="P215" s="40"/>
      <c r="Q215" s="20">
        <f t="shared" ca="1" si="36"/>
        <v>834.89136490250701</v>
      </c>
      <c r="R215" s="1">
        <f t="shared" ref="R215:R278" si="43">IFERROR(C215-$K$2,0)</f>
        <v>5885</v>
      </c>
      <c r="S215" s="243">
        <f>IF(AND($K$2&gt;=DATEVALUE("03/04/2020"),$K$2&lt;=DATEVALUE("31/12/2020")),0,IF(Resumo!$C$19="PF",IF(R215&lt;360,0.0082%*R215,3%),IF(R215&lt;360,0.0041%*R215,1.5%)))</f>
        <v>1.4999999999999999E-2</v>
      </c>
      <c r="T215" s="172">
        <f t="shared" ca="1" si="37"/>
        <v>12.523370473537605</v>
      </c>
      <c r="X215" s="20">
        <f t="shared" ca="1" si="38"/>
        <v>1805.5061225945519</v>
      </c>
    </row>
    <row r="216" spans="2:24">
      <c r="B216" s="41">
        <f t="shared" ref="B216:B279" si="44">IF(B215&lt;$D$12,B215+1,"")</f>
        <v>194</v>
      </c>
      <c r="C216" s="164">
        <f t="shared" ref="C216:C279" si="45">IF(B216&lt;&gt;"",EDATE($C$22,B216),"")</f>
        <v>50663</v>
      </c>
      <c r="D216" s="42">
        <f t="shared" ca="1" si="39"/>
        <v>842.74931039701278</v>
      </c>
      <c r="E216" s="42">
        <f t="shared" ref="E216:E279" ca="1" si="46">IF(AND(B216&lt;&gt;"",L216&lt;&gt;$D$17,B216&lt;$D$16,$D$16&lt;4),0,IF(AND(B216&lt;&gt;"",L216&lt;&gt;$D$17,B216&lt;=$D$16,$D$16&gt;3),G215*$D$13,IF(AND(B216&lt;&gt;"",L216&lt;&gt;$D$17,B216&gt;$D$16),G215*$D$13,0)))</f>
        <v>957.02611688683942</v>
      </c>
      <c r="F216" s="42">
        <f t="shared" ca="1" si="40"/>
        <v>1799.7754272838522</v>
      </c>
      <c r="G216" s="42">
        <f ca="1">IF(B216&lt;=$D$16,G215*(1+$D$13)^((C216-C215)/_xlfn.DAYS(EDATE(C215,1),C215)),G215-D216)+IF(B216&lt;=$D$16,G215*Resumo!$F$12,0)+IF(B216&lt;=$D$16,$D$15*Resumo!$F$13,0)+IF(B216&lt;=$D$16,25,0)-IF(AND($D$16&gt;3,B216&lt;=$D$16),K216,0)</f>
        <v>139896.38552590291</v>
      </c>
      <c r="H216" s="42">
        <f ca="1">IF(AND(B216&lt;&gt;"",L216&lt;&gt;$D$17,$D$16&gt;3),G216*Resumo!$F$12,IF(AND(B216&lt;&gt;"",L216&lt;&gt;$D$17,B216&gt;$D$16),G216*Resumo!$F$12,0))</f>
        <v>29.378240960439612</v>
      </c>
      <c r="I216" s="42">
        <f>IF(AND(B216&lt;&gt;"",L216&lt;&gt;$D$17,$D$16&gt;3,$B216&lt;=$D$16),$D$15*Resumo!$F$13,IF(AND(B216&lt;&gt;"",L216&lt;&gt;$D$17,B216&gt;$D$16),$D$15*Resumo!$F$13,0))</f>
        <v>34.369999999999997</v>
      </c>
      <c r="J216" s="42">
        <f>IF(AND(B216&lt;&gt;"",L216&lt;&gt;$D$17,$D$16&gt;3,$B216&lt;=$D$16),Resumo!$F$11,IF(AND(B216&lt;&gt;"",L216&lt;&gt;$D$17,B216&gt;$D$16),Resumo!$F$11,0))</f>
        <v>25</v>
      </c>
      <c r="K216" s="42">
        <f t="shared" ca="1" si="41"/>
        <v>1888.5236682442917</v>
      </c>
      <c r="L216" s="39" t="str">
        <f>IF(B216&lt;&gt;"",VLOOKUP(MONTH(C216),Sheet2!$F$1:$G$12,2,0),"")</f>
        <v>Setembro</v>
      </c>
      <c r="M216" s="200">
        <f t="shared" ref="M216:M279" ca="1" si="47">IF(AND(M215=0,K216&gt;K215),C216,0)</f>
        <v>0</v>
      </c>
      <c r="N216" s="40">
        <f t="shared" ref="N216:N279" ca="1" si="48">D216+E216</f>
        <v>1799.7754272838522</v>
      </c>
      <c r="O216" s="40">
        <f t="shared" ca="1" si="42"/>
        <v>1888.5236682442917</v>
      </c>
      <c r="P216" s="40"/>
      <c r="Q216" s="20">
        <f t="shared" ref="Q216:Q279" ca="1" si="49">IF(D216=0,0,$G$21/($D$12-$E$17-$D$16))</f>
        <v>834.89136490250701</v>
      </c>
      <c r="R216" s="1">
        <f t="shared" si="43"/>
        <v>5916</v>
      </c>
      <c r="S216" s="243">
        <f>IF(AND($K$2&gt;=DATEVALUE("03/04/2020"),$K$2&lt;=DATEVALUE("31/12/2020")),0,IF(Resumo!$C$19="PF",IF(R216&lt;360,0.0082%*R216,3%),IF(R216&lt;360,0.0041%*R216,1.5%)))</f>
        <v>1.4999999999999999E-2</v>
      </c>
      <c r="T216" s="172">
        <f t="shared" ref="T216:T279" ca="1" si="50">S216*Q216</f>
        <v>12.523370473537605</v>
      </c>
      <c r="X216" s="20">
        <f t="shared" ref="X216:X279" ca="1" si="51">F216</f>
        <v>1799.7754272838522</v>
      </c>
    </row>
    <row r="217" spans="2:24">
      <c r="B217" s="37">
        <f t="shared" si="44"/>
        <v>195</v>
      </c>
      <c r="C217" s="163">
        <f t="shared" si="45"/>
        <v>50693</v>
      </c>
      <c r="D217" s="38">
        <f t="shared" ca="1" si="39"/>
        <v>842.74931039701278</v>
      </c>
      <c r="E217" s="38">
        <f t="shared" ca="1" si="46"/>
        <v>951.29542157613969</v>
      </c>
      <c r="F217" s="38">
        <f t="shared" ca="1" si="40"/>
        <v>1794.0447319731525</v>
      </c>
      <c r="G217" s="38">
        <f ca="1">IF(B217&lt;=$D$16,G216*(1+$D$13)^((C217-C216)/_xlfn.DAYS(EDATE(C216,1),C216)),G216-D217)+IF(B217&lt;=$D$16,G216*Resumo!$F$12,0)+IF(B217&lt;=$D$16,$D$15*Resumo!$F$13,0)+IF(B217&lt;=$D$16,25,0)-IF(AND($D$16&gt;3,B217&lt;=$D$16),K217,0)</f>
        <v>139053.63621550589</v>
      </c>
      <c r="H217" s="38">
        <f ca="1">IF(AND(B217&lt;&gt;"",L217&lt;&gt;$D$17,$D$16&gt;3),G217*Resumo!$F$12,IF(AND(B217&lt;&gt;"",L217&lt;&gt;$D$17,B217&gt;$D$16),G217*Resumo!$F$12,0))</f>
        <v>29.201263605256237</v>
      </c>
      <c r="I217" s="38">
        <f>IF(AND(B217&lt;&gt;"",L217&lt;&gt;$D$17,$D$16&gt;3,$B217&lt;=$D$16),$D$15*Resumo!$F$13,IF(AND(B217&lt;&gt;"",L217&lt;&gt;$D$17,B217&gt;$D$16),$D$15*Resumo!$F$13,0))</f>
        <v>34.369999999999997</v>
      </c>
      <c r="J217" s="38">
        <f>IF(AND(B217&lt;&gt;"",L217&lt;&gt;$D$17,$D$16&gt;3,$B217&lt;=$D$16),Resumo!$F$11,IF(AND(B217&lt;&gt;"",L217&lt;&gt;$D$17,B217&gt;$D$16),Resumo!$F$11,0))</f>
        <v>25</v>
      </c>
      <c r="K217" s="38">
        <f t="shared" ca="1" si="41"/>
        <v>1882.6159955784085</v>
      </c>
      <c r="L217" s="39" t="str">
        <f>IF(B217&lt;&gt;"",VLOOKUP(MONTH(C217),Sheet2!$F$1:$G$12,2,0),"")</f>
        <v>Outubro</v>
      </c>
      <c r="M217" s="200">
        <f t="shared" ca="1" si="47"/>
        <v>0</v>
      </c>
      <c r="N217" s="40">
        <f t="shared" ca="1" si="48"/>
        <v>1794.0447319731525</v>
      </c>
      <c r="O217" s="40">
        <f t="shared" ca="1" si="42"/>
        <v>1882.6159955784085</v>
      </c>
      <c r="P217" s="40"/>
      <c r="Q217" s="20">
        <f t="shared" ca="1" si="49"/>
        <v>834.89136490250701</v>
      </c>
      <c r="R217" s="1">
        <f t="shared" si="43"/>
        <v>5946</v>
      </c>
      <c r="S217" s="243">
        <f>IF(AND($K$2&gt;=DATEVALUE("03/04/2020"),$K$2&lt;=DATEVALUE("31/12/2020")),0,IF(Resumo!$C$19="PF",IF(R217&lt;360,0.0082%*R217,3%),IF(R217&lt;360,0.0041%*R217,1.5%)))</f>
        <v>1.4999999999999999E-2</v>
      </c>
      <c r="T217" s="172">
        <f t="shared" ca="1" si="50"/>
        <v>12.523370473537605</v>
      </c>
      <c r="X217" s="20">
        <f t="shared" ca="1" si="51"/>
        <v>1794.0447319731525</v>
      </c>
    </row>
    <row r="218" spans="2:24">
      <c r="B218" s="41">
        <f t="shared" si="44"/>
        <v>196</v>
      </c>
      <c r="C218" s="164">
        <f t="shared" si="45"/>
        <v>50724</v>
      </c>
      <c r="D218" s="42">
        <f t="shared" ca="1" si="39"/>
        <v>842.74931039701278</v>
      </c>
      <c r="E218" s="42">
        <f t="shared" ca="1" si="46"/>
        <v>945.56472626543996</v>
      </c>
      <c r="F218" s="42">
        <f t="shared" ca="1" si="40"/>
        <v>1788.3140366624527</v>
      </c>
      <c r="G218" s="42">
        <f ca="1">IF(B218&lt;=$D$16,G217*(1+$D$13)^((C218-C217)/_xlfn.DAYS(EDATE(C217,1),C217)),G217-D218)+IF(B218&lt;=$D$16,G217*Resumo!$F$12,0)+IF(B218&lt;=$D$16,$D$15*Resumo!$F$13,0)+IF(B218&lt;=$D$16,25,0)-IF(AND($D$16&gt;3,B218&lt;=$D$16),K218,0)</f>
        <v>138210.88690510887</v>
      </c>
      <c r="H218" s="42">
        <f ca="1">IF(AND(B218&lt;&gt;"",L218&lt;&gt;$D$17,$D$16&gt;3),G218*Resumo!$F$12,IF(AND(B218&lt;&gt;"",L218&lt;&gt;$D$17,B218&gt;$D$16),G218*Resumo!$F$12,0))</f>
        <v>29.024286250072866</v>
      </c>
      <c r="I218" s="42">
        <f>IF(AND(B218&lt;&gt;"",L218&lt;&gt;$D$17,$D$16&gt;3,$B218&lt;=$D$16),$D$15*Resumo!$F$13,IF(AND(B218&lt;&gt;"",L218&lt;&gt;$D$17,B218&gt;$D$16),$D$15*Resumo!$F$13,0))</f>
        <v>34.369999999999997</v>
      </c>
      <c r="J218" s="42">
        <f>IF(AND(B218&lt;&gt;"",L218&lt;&gt;$D$17,$D$16&gt;3,$B218&lt;=$D$16),Resumo!$F$11,IF(AND(B218&lt;&gt;"",L218&lt;&gt;$D$17,B218&gt;$D$16),Resumo!$F$11,0))</f>
        <v>25</v>
      </c>
      <c r="K218" s="42">
        <f t="shared" ca="1" si="41"/>
        <v>1876.7083229125255</v>
      </c>
      <c r="L218" s="39" t="str">
        <f>IF(B218&lt;&gt;"",VLOOKUP(MONTH(C218),Sheet2!$F$1:$G$12,2,0),"")</f>
        <v>Novembro</v>
      </c>
      <c r="M218" s="200">
        <f t="shared" ca="1" si="47"/>
        <v>0</v>
      </c>
      <c r="N218" s="40">
        <f t="shared" ca="1" si="48"/>
        <v>1788.3140366624527</v>
      </c>
      <c r="O218" s="40">
        <f t="shared" ca="1" si="42"/>
        <v>1876.7083229125255</v>
      </c>
      <c r="P218" s="40"/>
      <c r="Q218" s="20">
        <f t="shared" ca="1" si="49"/>
        <v>834.89136490250701</v>
      </c>
      <c r="R218" s="1">
        <f t="shared" si="43"/>
        <v>5977</v>
      </c>
      <c r="S218" s="243">
        <f>IF(AND($K$2&gt;=DATEVALUE("03/04/2020"),$K$2&lt;=DATEVALUE("31/12/2020")),0,IF(Resumo!$C$19="PF",IF(R218&lt;360,0.0082%*R218,3%),IF(R218&lt;360,0.0041%*R218,1.5%)))</f>
        <v>1.4999999999999999E-2</v>
      </c>
      <c r="T218" s="172">
        <f t="shared" ca="1" si="50"/>
        <v>12.523370473537605</v>
      </c>
      <c r="X218" s="20">
        <f t="shared" ca="1" si="51"/>
        <v>1788.3140366624527</v>
      </c>
    </row>
    <row r="219" spans="2:24">
      <c r="B219" s="37">
        <f t="shared" si="44"/>
        <v>197</v>
      </c>
      <c r="C219" s="163">
        <f t="shared" si="45"/>
        <v>50754</v>
      </c>
      <c r="D219" s="38">
        <f t="shared" ca="1" si="39"/>
        <v>842.74931039701278</v>
      </c>
      <c r="E219" s="38">
        <f t="shared" ca="1" si="46"/>
        <v>939.83403095474023</v>
      </c>
      <c r="F219" s="38">
        <f t="shared" ca="1" si="40"/>
        <v>1782.583341351753</v>
      </c>
      <c r="G219" s="38">
        <f ca="1">IF(B219&lt;=$D$16,G218*(1+$D$13)^((C219-C218)/_xlfn.DAYS(EDATE(C218,1),C218)),G218-D219)+IF(B219&lt;=$D$16,G218*Resumo!$F$12,0)+IF(B219&lt;=$D$16,$D$15*Resumo!$F$13,0)+IF(B219&lt;=$D$16,25,0)-IF(AND($D$16&gt;3,B219&lt;=$D$16),K219,0)</f>
        <v>137368.13759471185</v>
      </c>
      <c r="H219" s="38">
        <f ca="1">IF(AND(B219&lt;&gt;"",L219&lt;&gt;$D$17,$D$16&gt;3),G219*Resumo!$F$12,IF(AND(B219&lt;&gt;"",L219&lt;&gt;$D$17,B219&gt;$D$16),G219*Resumo!$F$12,0))</f>
        <v>28.84730889488949</v>
      </c>
      <c r="I219" s="38">
        <f>IF(AND(B219&lt;&gt;"",L219&lt;&gt;$D$17,$D$16&gt;3,$B219&lt;=$D$16),$D$15*Resumo!$F$13,IF(AND(B219&lt;&gt;"",L219&lt;&gt;$D$17,B219&gt;$D$16),$D$15*Resumo!$F$13,0))</f>
        <v>34.369999999999997</v>
      </c>
      <c r="J219" s="38">
        <f>IF(AND(B219&lt;&gt;"",L219&lt;&gt;$D$17,$D$16&gt;3,$B219&lt;=$D$16),Resumo!$F$11,IF(AND(B219&lt;&gt;"",L219&lt;&gt;$D$17,B219&gt;$D$16),Resumo!$F$11,0))</f>
        <v>25</v>
      </c>
      <c r="K219" s="38">
        <f t="shared" ca="1" si="41"/>
        <v>1870.8006502466424</v>
      </c>
      <c r="L219" s="39" t="str">
        <f>IF(B219&lt;&gt;"",VLOOKUP(MONTH(C219),Sheet2!$F$1:$G$12,2,0),"")</f>
        <v>Dezembro</v>
      </c>
      <c r="M219" s="200">
        <f t="shared" ca="1" si="47"/>
        <v>0</v>
      </c>
      <c r="N219" s="40">
        <f t="shared" ca="1" si="48"/>
        <v>1782.583341351753</v>
      </c>
      <c r="O219" s="40">
        <f t="shared" ca="1" si="42"/>
        <v>1870.8006502466424</v>
      </c>
      <c r="P219" s="40"/>
      <c r="Q219" s="20">
        <f t="shared" ca="1" si="49"/>
        <v>834.89136490250701</v>
      </c>
      <c r="R219" s="1">
        <f t="shared" si="43"/>
        <v>6007</v>
      </c>
      <c r="S219" s="243">
        <f>IF(AND($K$2&gt;=DATEVALUE("03/04/2020"),$K$2&lt;=DATEVALUE("31/12/2020")),0,IF(Resumo!$C$19="PF",IF(R219&lt;360,0.0082%*R219,3%),IF(R219&lt;360,0.0041%*R219,1.5%)))</f>
        <v>1.4999999999999999E-2</v>
      </c>
      <c r="T219" s="172">
        <f t="shared" ca="1" si="50"/>
        <v>12.523370473537605</v>
      </c>
      <c r="X219" s="20">
        <f t="shared" ca="1" si="51"/>
        <v>1782.583341351753</v>
      </c>
    </row>
    <row r="220" spans="2:24">
      <c r="B220" s="41">
        <f t="shared" si="44"/>
        <v>198</v>
      </c>
      <c r="C220" s="164">
        <f t="shared" si="45"/>
        <v>50785</v>
      </c>
      <c r="D220" s="42">
        <f t="shared" ca="1" si="39"/>
        <v>842.74931039701278</v>
      </c>
      <c r="E220" s="42">
        <f t="shared" ca="1" si="46"/>
        <v>934.1033356440405</v>
      </c>
      <c r="F220" s="42">
        <f t="shared" ca="1" si="40"/>
        <v>1776.8526460410533</v>
      </c>
      <c r="G220" s="42">
        <f ca="1">IF(B220&lt;=$D$16,G219*(1+$D$13)^((C220-C219)/_xlfn.DAYS(EDATE(C219,1),C219)),G219-D220)+IF(B220&lt;=$D$16,G219*Resumo!$F$12,0)+IF(B220&lt;=$D$16,$D$15*Resumo!$F$13,0)+IF(B220&lt;=$D$16,25,0)-IF(AND($D$16&gt;3,B220&lt;=$D$16),K220,0)</f>
        <v>136525.38828431483</v>
      </c>
      <c r="H220" s="42">
        <f ca="1">IF(AND(B220&lt;&gt;"",L220&lt;&gt;$D$17,$D$16&gt;3),G220*Resumo!$F$12,IF(AND(B220&lt;&gt;"",L220&lt;&gt;$D$17,B220&gt;$D$16),G220*Resumo!$F$12,0))</f>
        <v>28.670331539706115</v>
      </c>
      <c r="I220" s="42">
        <f>IF(AND(B220&lt;&gt;"",L220&lt;&gt;$D$17,$D$16&gt;3,$B220&lt;=$D$16),$D$15*Resumo!$F$13,IF(AND(B220&lt;&gt;"",L220&lt;&gt;$D$17,B220&gt;$D$16),$D$15*Resumo!$F$13,0))</f>
        <v>34.369999999999997</v>
      </c>
      <c r="J220" s="42">
        <f>IF(AND(B220&lt;&gt;"",L220&lt;&gt;$D$17,$D$16&gt;3,$B220&lt;=$D$16),Resumo!$F$11,IF(AND(B220&lt;&gt;"",L220&lt;&gt;$D$17,B220&gt;$D$16),Resumo!$F$11,0))</f>
        <v>25</v>
      </c>
      <c r="K220" s="42">
        <f t="shared" ca="1" si="41"/>
        <v>1864.8929775807592</v>
      </c>
      <c r="L220" s="39" t="str">
        <f>IF(B220&lt;&gt;"",VLOOKUP(MONTH(C220),Sheet2!$F$1:$G$12,2,0),"")</f>
        <v>Janeiro</v>
      </c>
      <c r="M220" s="200">
        <f t="shared" ca="1" si="47"/>
        <v>0</v>
      </c>
      <c r="N220" s="40">
        <f t="shared" ca="1" si="48"/>
        <v>1776.8526460410533</v>
      </c>
      <c r="O220" s="40">
        <f t="shared" ca="1" si="42"/>
        <v>1864.8929775807592</v>
      </c>
      <c r="P220" s="40"/>
      <c r="Q220" s="20">
        <f t="shared" ca="1" si="49"/>
        <v>834.89136490250701</v>
      </c>
      <c r="R220" s="1">
        <f t="shared" si="43"/>
        <v>6038</v>
      </c>
      <c r="S220" s="243">
        <f>IF(AND($K$2&gt;=DATEVALUE("03/04/2020"),$K$2&lt;=DATEVALUE("31/12/2020")),0,IF(Resumo!$C$19="PF",IF(R220&lt;360,0.0082%*R220,3%),IF(R220&lt;360,0.0041%*R220,1.5%)))</f>
        <v>1.4999999999999999E-2</v>
      </c>
      <c r="T220" s="172">
        <f t="shared" ca="1" si="50"/>
        <v>12.523370473537605</v>
      </c>
      <c r="X220" s="20">
        <f t="shared" ca="1" si="51"/>
        <v>1776.8526460410533</v>
      </c>
    </row>
    <row r="221" spans="2:24">
      <c r="B221" s="37">
        <f t="shared" si="44"/>
        <v>199</v>
      </c>
      <c r="C221" s="163">
        <f t="shared" si="45"/>
        <v>50816</v>
      </c>
      <c r="D221" s="38">
        <f t="shared" ca="1" si="39"/>
        <v>842.74931039701278</v>
      </c>
      <c r="E221" s="38">
        <f t="shared" ca="1" si="46"/>
        <v>928.37264033334077</v>
      </c>
      <c r="F221" s="38">
        <f t="shared" ca="1" si="40"/>
        <v>1771.1219507303535</v>
      </c>
      <c r="G221" s="38">
        <f ca="1">IF(B221&lt;=$D$16,G220*(1+$D$13)^((C221-C220)/_xlfn.DAYS(EDATE(C220,1),C220)),G220-D221)+IF(B221&lt;=$D$16,G220*Resumo!$F$12,0)+IF(B221&lt;=$D$16,$D$15*Resumo!$F$13,0)+IF(B221&lt;=$D$16,25,0)-IF(AND($D$16&gt;3,B221&lt;=$D$16),K221,0)</f>
        <v>135682.63897391781</v>
      </c>
      <c r="H221" s="38">
        <f ca="1">IF(AND(B221&lt;&gt;"",L221&lt;&gt;$D$17,$D$16&gt;3),G221*Resumo!$F$12,IF(AND(B221&lt;&gt;"",L221&lt;&gt;$D$17,B221&gt;$D$16),G221*Resumo!$F$12,0))</f>
        <v>28.49335418452274</v>
      </c>
      <c r="I221" s="38">
        <f>IF(AND(B221&lt;&gt;"",L221&lt;&gt;$D$17,$D$16&gt;3,$B221&lt;=$D$16),$D$15*Resumo!$F$13,IF(AND(B221&lt;&gt;"",L221&lt;&gt;$D$17,B221&gt;$D$16),$D$15*Resumo!$F$13,0))</f>
        <v>34.369999999999997</v>
      </c>
      <c r="J221" s="38">
        <f>IF(AND(B221&lt;&gt;"",L221&lt;&gt;$D$17,$D$16&gt;3,$B221&lt;=$D$16),Resumo!$F$11,IF(AND(B221&lt;&gt;"",L221&lt;&gt;$D$17,B221&gt;$D$16),Resumo!$F$11,0))</f>
        <v>25</v>
      </c>
      <c r="K221" s="38">
        <f t="shared" ca="1" si="41"/>
        <v>1858.9853049148762</v>
      </c>
      <c r="L221" s="39" t="str">
        <f>IF(B221&lt;&gt;"",VLOOKUP(MONTH(C221),Sheet2!$F$1:$G$12,2,0),"")</f>
        <v>Fevereiro</v>
      </c>
      <c r="M221" s="200">
        <f t="shared" ca="1" si="47"/>
        <v>0</v>
      </c>
      <c r="N221" s="40">
        <f t="shared" ca="1" si="48"/>
        <v>1771.1219507303535</v>
      </c>
      <c r="O221" s="40">
        <f t="shared" ca="1" si="42"/>
        <v>1858.9853049148762</v>
      </c>
      <c r="P221" s="40"/>
      <c r="Q221" s="20">
        <f t="shared" ca="1" si="49"/>
        <v>834.89136490250701</v>
      </c>
      <c r="R221" s="1">
        <f t="shared" si="43"/>
        <v>6069</v>
      </c>
      <c r="S221" s="243">
        <f>IF(AND($K$2&gt;=DATEVALUE("03/04/2020"),$K$2&lt;=DATEVALUE("31/12/2020")),0,IF(Resumo!$C$19="PF",IF(R221&lt;360,0.0082%*R221,3%),IF(R221&lt;360,0.0041%*R221,1.5%)))</f>
        <v>1.4999999999999999E-2</v>
      </c>
      <c r="T221" s="172">
        <f t="shared" ca="1" si="50"/>
        <v>12.523370473537605</v>
      </c>
      <c r="X221" s="20">
        <f t="shared" ca="1" si="51"/>
        <v>1771.1219507303535</v>
      </c>
    </row>
    <row r="222" spans="2:24">
      <c r="B222" s="41">
        <f t="shared" si="44"/>
        <v>200</v>
      </c>
      <c r="C222" s="164">
        <f t="shared" si="45"/>
        <v>50844</v>
      </c>
      <c r="D222" s="42">
        <f t="shared" ca="1" si="39"/>
        <v>842.74931039701278</v>
      </c>
      <c r="E222" s="42">
        <f t="shared" ca="1" si="46"/>
        <v>922.64194502264104</v>
      </c>
      <c r="F222" s="42">
        <f t="shared" ca="1" si="40"/>
        <v>1765.3912554196538</v>
      </c>
      <c r="G222" s="42">
        <f ca="1">IF(B222&lt;=$D$16,G221*(1+$D$13)^((C222-C221)/_xlfn.DAYS(EDATE(C221,1),C221)),G221-D222)+IF(B222&lt;=$D$16,G221*Resumo!$F$12,0)+IF(B222&lt;=$D$16,$D$15*Resumo!$F$13,0)+IF(B222&lt;=$D$16,25,0)-IF(AND($D$16&gt;3,B222&lt;=$D$16),K222,0)</f>
        <v>134839.88966352079</v>
      </c>
      <c r="H222" s="42">
        <f ca="1">IF(AND(B222&lt;&gt;"",L222&lt;&gt;$D$17,$D$16&gt;3),G222*Resumo!$F$12,IF(AND(B222&lt;&gt;"",L222&lt;&gt;$D$17,B222&gt;$D$16),G222*Resumo!$F$12,0))</f>
        <v>28.316376829339369</v>
      </c>
      <c r="I222" s="42">
        <f>IF(AND(B222&lt;&gt;"",L222&lt;&gt;$D$17,$D$16&gt;3,$B222&lt;=$D$16),$D$15*Resumo!$F$13,IF(AND(B222&lt;&gt;"",L222&lt;&gt;$D$17,B222&gt;$D$16),$D$15*Resumo!$F$13,0))</f>
        <v>34.369999999999997</v>
      </c>
      <c r="J222" s="42">
        <f>IF(AND(B222&lt;&gt;"",L222&lt;&gt;$D$17,$D$16&gt;3,$B222&lt;=$D$16),Resumo!$F$11,IF(AND(B222&lt;&gt;"",L222&lt;&gt;$D$17,B222&gt;$D$16),Resumo!$F$11,0))</f>
        <v>25</v>
      </c>
      <c r="K222" s="42">
        <f t="shared" ca="1" si="41"/>
        <v>1853.077632248993</v>
      </c>
      <c r="L222" s="39" t="str">
        <f>IF(B222&lt;&gt;"",VLOOKUP(MONTH(C222),Sheet2!$F$1:$G$12,2,0),"")</f>
        <v>Março</v>
      </c>
      <c r="M222" s="200">
        <f t="shared" ca="1" si="47"/>
        <v>0</v>
      </c>
      <c r="N222" s="40">
        <f t="shared" ca="1" si="48"/>
        <v>1765.3912554196538</v>
      </c>
      <c r="O222" s="40">
        <f t="shared" ca="1" si="42"/>
        <v>1853.077632248993</v>
      </c>
      <c r="P222" s="40"/>
      <c r="Q222" s="20">
        <f t="shared" ca="1" si="49"/>
        <v>834.89136490250701</v>
      </c>
      <c r="R222" s="1">
        <f t="shared" si="43"/>
        <v>6097</v>
      </c>
      <c r="S222" s="243">
        <f>IF(AND($K$2&gt;=DATEVALUE("03/04/2020"),$K$2&lt;=DATEVALUE("31/12/2020")),0,IF(Resumo!$C$19="PF",IF(R222&lt;360,0.0082%*R222,3%),IF(R222&lt;360,0.0041%*R222,1.5%)))</f>
        <v>1.4999999999999999E-2</v>
      </c>
      <c r="T222" s="172">
        <f t="shared" ca="1" si="50"/>
        <v>12.523370473537605</v>
      </c>
      <c r="X222" s="20">
        <f t="shared" ca="1" si="51"/>
        <v>1765.3912554196538</v>
      </c>
    </row>
    <row r="223" spans="2:24">
      <c r="B223" s="37">
        <f t="shared" si="44"/>
        <v>201</v>
      </c>
      <c r="C223" s="163">
        <f t="shared" si="45"/>
        <v>50875</v>
      </c>
      <c r="D223" s="38">
        <f t="shared" ca="1" si="39"/>
        <v>842.74931039701278</v>
      </c>
      <c r="E223" s="38">
        <f t="shared" ca="1" si="46"/>
        <v>916.91124971194131</v>
      </c>
      <c r="F223" s="38">
        <f t="shared" ca="1" si="40"/>
        <v>1759.6605601089541</v>
      </c>
      <c r="G223" s="38">
        <f ca="1">IF(B223&lt;=$D$16,G222*(1+$D$13)^((C223-C222)/_xlfn.DAYS(EDATE(C222,1),C222)),G222-D223)+IF(B223&lt;=$D$16,G222*Resumo!$F$12,0)+IF(B223&lt;=$D$16,$D$15*Resumo!$F$13,0)+IF(B223&lt;=$D$16,25,0)-IF(AND($D$16&gt;3,B223&lt;=$D$16),K223,0)</f>
        <v>133997.14035312377</v>
      </c>
      <c r="H223" s="38">
        <f ca="1">IF(AND(B223&lt;&gt;"",L223&lt;&gt;$D$17,$D$16&gt;3),G223*Resumo!$F$12,IF(AND(B223&lt;&gt;"",L223&lt;&gt;$D$17,B223&gt;$D$16),G223*Resumo!$F$12,0))</f>
        <v>28.139399474155994</v>
      </c>
      <c r="I223" s="38">
        <f>IF(AND(B223&lt;&gt;"",L223&lt;&gt;$D$17,$D$16&gt;3,$B223&lt;=$D$16),$D$15*Resumo!$F$13,IF(AND(B223&lt;&gt;"",L223&lt;&gt;$D$17,B223&gt;$D$16),$D$15*Resumo!$F$13,0))</f>
        <v>34.369999999999997</v>
      </c>
      <c r="J223" s="38">
        <f>IF(AND(B223&lt;&gt;"",L223&lt;&gt;$D$17,$D$16&gt;3,$B223&lt;=$D$16),Resumo!$F$11,IF(AND(B223&lt;&gt;"",L223&lt;&gt;$D$17,B223&gt;$D$16),Resumo!$F$11,0))</f>
        <v>25</v>
      </c>
      <c r="K223" s="38">
        <f t="shared" ca="1" si="41"/>
        <v>1847.1699595831101</v>
      </c>
      <c r="L223" s="39" t="str">
        <f>IF(B223&lt;&gt;"",VLOOKUP(MONTH(C223),Sheet2!$F$1:$G$12,2,0),"")</f>
        <v>Abril</v>
      </c>
      <c r="M223" s="200">
        <f t="shared" ca="1" si="47"/>
        <v>0</v>
      </c>
      <c r="N223" s="40">
        <f t="shared" ca="1" si="48"/>
        <v>1759.6605601089541</v>
      </c>
      <c r="O223" s="40">
        <f t="shared" ca="1" si="42"/>
        <v>1847.1699595831101</v>
      </c>
      <c r="P223" s="40"/>
      <c r="Q223" s="20">
        <f t="shared" ca="1" si="49"/>
        <v>834.89136490250701</v>
      </c>
      <c r="R223" s="1">
        <f t="shared" si="43"/>
        <v>6128</v>
      </c>
      <c r="S223" s="243">
        <f>IF(AND($K$2&gt;=DATEVALUE("03/04/2020"),$K$2&lt;=DATEVALUE("31/12/2020")),0,IF(Resumo!$C$19="PF",IF(R223&lt;360,0.0082%*R223,3%),IF(R223&lt;360,0.0041%*R223,1.5%)))</f>
        <v>1.4999999999999999E-2</v>
      </c>
      <c r="T223" s="172">
        <f t="shared" ca="1" si="50"/>
        <v>12.523370473537605</v>
      </c>
      <c r="X223" s="20">
        <f t="shared" ca="1" si="51"/>
        <v>1759.6605601089541</v>
      </c>
    </row>
    <row r="224" spans="2:24">
      <c r="B224" s="41">
        <f t="shared" si="44"/>
        <v>202</v>
      </c>
      <c r="C224" s="164">
        <f t="shared" si="45"/>
        <v>50905</v>
      </c>
      <c r="D224" s="42">
        <f t="shared" ca="1" si="39"/>
        <v>842.74931039701278</v>
      </c>
      <c r="E224" s="42">
        <f t="shared" ca="1" si="46"/>
        <v>911.18055440124158</v>
      </c>
      <c r="F224" s="42">
        <f t="shared" ca="1" si="40"/>
        <v>1753.9298647982544</v>
      </c>
      <c r="G224" s="42">
        <f ca="1">IF(B224&lt;=$D$16,G223*(1+$D$13)^((C224-C223)/_xlfn.DAYS(EDATE(C223,1),C223)),G223-D224)+IF(B224&lt;=$D$16,G223*Resumo!$F$12,0)+IF(B224&lt;=$D$16,$D$15*Resumo!$F$13,0)+IF(B224&lt;=$D$16,25,0)-IF(AND($D$16&gt;3,B224&lt;=$D$16),K224,0)</f>
        <v>133154.39104272675</v>
      </c>
      <c r="H224" s="42">
        <f ca="1">IF(AND(B224&lt;&gt;"",L224&lt;&gt;$D$17,$D$16&gt;3),G224*Resumo!$F$12,IF(AND(B224&lt;&gt;"",L224&lt;&gt;$D$17,B224&gt;$D$16),G224*Resumo!$F$12,0))</f>
        <v>27.962422118972619</v>
      </c>
      <c r="I224" s="42">
        <f>IF(AND(B224&lt;&gt;"",L224&lt;&gt;$D$17,$D$16&gt;3,$B224&lt;=$D$16),$D$15*Resumo!$F$13,IF(AND(B224&lt;&gt;"",L224&lt;&gt;$D$17,B224&gt;$D$16),$D$15*Resumo!$F$13,0))</f>
        <v>34.369999999999997</v>
      </c>
      <c r="J224" s="42">
        <f>IF(AND(B224&lt;&gt;"",L224&lt;&gt;$D$17,$D$16&gt;3,$B224&lt;=$D$16),Resumo!$F$11,IF(AND(B224&lt;&gt;"",L224&lt;&gt;$D$17,B224&gt;$D$16),Resumo!$F$11,0))</f>
        <v>25</v>
      </c>
      <c r="K224" s="42">
        <f t="shared" ca="1" si="41"/>
        <v>1841.2622869172269</v>
      </c>
      <c r="L224" s="39" t="str">
        <f>IF(B224&lt;&gt;"",VLOOKUP(MONTH(C224),Sheet2!$F$1:$G$12,2,0),"")</f>
        <v>Maio</v>
      </c>
      <c r="M224" s="200">
        <f t="shared" ca="1" si="47"/>
        <v>0</v>
      </c>
      <c r="N224" s="40">
        <f t="shared" ca="1" si="48"/>
        <v>1753.9298647982544</v>
      </c>
      <c r="O224" s="40">
        <f t="shared" ca="1" si="42"/>
        <v>1841.2622869172269</v>
      </c>
      <c r="P224" s="40"/>
      <c r="Q224" s="20">
        <f t="shared" ca="1" si="49"/>
        <v>834.89136490250701</v>
      </c>
      <c r="R224" s="1">
        <f t="shared" si="43"/>
        <v>6158</v>
      </c>
      <c r="S224" s="243">
        <f>IF(AND($K$2&gt;=DATEVALUE("03/04/2020"),$K$2&lt;=DATEVALUE("31/12/2020")),0,IF(Resumo!$C$19="PF",IF(R224&lt;360,0.0082%*R224,3%),IF(R224&lt;360,0.0041%*R224,1.5%)))</f>
        <v>1.4999999999999999E-2</v>
      </c>
      <c r="T224" s="172">
        <f t="shared" ca="1" si="50"/>
        <v>12.523370473537605</v>
      </c>
      <c r="X224" s="20">
        <f t="shared" ca="1" si="51"/>
        <v>1753.9298647982544</v>
      </c>
    </row>
    <row r="225" spans="2:24">
      <c r="B225" s="37">
        <f t="shared" si="44"/>
        <v>203</v>
      </c>
      <c r="C225" s="163">
        <f t="shared" si="45"/>
        <v>50936</v>
      </c>
      <c r="D225" s="38">
        <f t="shared" ca="1" si="39"/>
        <v>842.74931039701278</v>
      </c>
      <c r="E225" s="38">
        <f t="shared" ca="1" si="46"/>
        <v>905.44985909054185</v>
      </c>
      <c r="F225" s="38">
        <f t="shared" ca="1" si="40"/>
        <v>1748.1991694875546</v>
      </c>
      <c r="G225" s="38">
        <f ca="1">IF(B225&lt;=$D$16,G224*(1+$D$13)^((C225-C224)/_xlfn.DAYS(EDATE(C224,1),C224)),G224-D225)+IF(B225&lt;=$D$16,G224*Resumo!$F$12,0)+IF(B225&lt;=$D$16,$D$15*Resumo!$F$13,0)+IF(B225&lt;=$D$16,25,0)-IF(AND($D$16&gt;3,B225&lt;=$D$16),K225,0)</f>
        <v>132311.64173232974</v>
      </c>
      <c r="H225" s="38">
        <f ca="1">IF(AND(B225&lt;&gt;"",L225&lt;&gt;$D$17,$D$16&gt;3),G225*Resumo!$F$12,IF(AND(B225&lt;&gt;"",L225&lt;&gt;$D$17,B225&gt;$D$16),G225*Resumo!$F$12,0))</f>
        <v>27.785444763789247</v>
      </c>
      <c r="I225" s="38">
        <f>IF(AND(B225&lt;&gt;"",L225&lt;&gt;$D$17,$D$16&gt;3,$B225&lt;=$D$16),$D$15*Resumo!$F$13,IF(AND(B225&lt;&gt;"",L225&lt;&gt;$D$17,B225&gt;$D$16),$D$15*Resumo!$F$13,0))</f>
        <v>34.369999999999997</v>
      </c>
      <c r="J225" s="38">
        <f>IF(AND(B225&lt;&gt;"",L225&lt;&gt;$D$17,$D$16&gt;3,$B225&lt;=$D$16),Resumo!$F$11,IF(AND(B225&lt;&gt;"",L225&lt;&gt;$D$17,B225&gt;$D$16),Resumo!$F$11,0))</f>
        <v>25</v>
      </c>
      <c r="K225" s="38">
        <f t="shared" ca="1" si="41"/>
        <v>1835.3546142513437</v>
      </c>
      <c r="L225" s="39" t="str">
        <f>IF(B225&lt;&gt;"",VLOOKUP(MONTH(C225),Sheet2!$F$1:$G$12,2,0),"")</f>
        <v>Junho</v>
      </c>
      <c r="M225" s="200">
        <f t="shared" ca="1" si="47"/>
        <v>0</v>
      </c>
      <c r="N225" s="40">
        <f t="shared" ca="1" si="48"/>
        <v>1748.1991694875546</v>
      </c>
      <c r="O225" s="40">
        <f t="shared" ca="1" si="42"/>
        <v>1835.3546142513437</v>
      </c>
      <c r="P225" s="40"/>
      <c r="Q225" s="20">
        <f t="shared" ca="1" si="49"/>
        <v>834.89136490250701</v>
      </c>
      <c r="R225" s="1">
        <f t="shared" si="43"/>
        <v>6189</v>
      </c>
      <c r="S225" s="243">
        <f>IF(AND($K$2&gt;=DATEVALUE("03/04/2020"),$K$2&lt;=DATEVALUE("31/12/2020")),0,IF(Resumo!$C$19="PF",IF(R225&lt;360,0.0082%*R225,3%),IF(R225&lt;360,0.0041%*R225,1.5%)))</f>
        <v>1.4999999999999999E-2</v>
      </c>
      <c r="T225" s="172">
        <f t="shared" ca="1" si="50"/>
        <v>12.523370473537605</v>
      </c>
      <c r="X225" s="20">
        <f t="shared" ca="1" si="51"/>
        <v>1748.1991694875546</v>
      </c>
    </row>
    <row r="226" spans="2:24">
      <c r="B226" s="41">
        <f t="shared" si="44"/>
        <v>204</v>
      </c>
      <c r="C226" s="164">
        <f t="shared" si="45"/>
        <v>50966</v>
      </c>
      <c r="D226" s="42">
        <f t="shared" ca="1" si="39"/>
        <v>842.74931039701278</v>
      </c>
      <c r="E226" s="42">
        <f t="shared" ca="1" si="46"/>
        <v>899.71916377984212</v>
      </c>
      <c r="F226" s="42">
        <f t="shared" ca="1" si="40"/>
        <v>1742.4684741768549</v>
      </c>
      <c r="G226" s="42">
        <f ca="1">IF(B226&lt;=$D$16,G225*(1+$D$13)^((C226-C225)/_xlfn.DAYS(EDATE(C225,1),C225)),G225-D226)+IF(B226&lt;=$D$16,G225*Resumo!$F$12,0)+IF(B226&lt;=$D$16,$D$15*Resumo!$F$13,0)+IF(B226&lt;=$D$16,25,0)-IF(AND($D$16&gt;3,B226&lt;=$D$16),K226,0)</f>
        <v>131468.89242193272</v>
      </c>
      <c r="H226" s="42">
        <f ca="1">IF(AND(B226&lt;&gt;"",L226&lt;&gt;$D$17,$D$16&gt;3),G226*Resumo!$F$12,IF(AND(B226&lt;&gt;"",L226&lt;&gt;$D$17,B226&gt;$D$16),G226*Resumo!$F$12,0))</f>
        <v>27.608467408605872</v>
      </c>
      <c r="I226" s="42">
        <f>IF(AND(B226&lt;&gt;"",L226&lt;&gt;$D$17,$D$16&gt;3,$B226&lt;=$D$16),$D$15*Resumo!$F$13,IF(AND(B226&lt;&gt;"",L226&lt;&gt;$D$17,B226&gt;$D$16),$D$15*Resumo!$F$13,0))</f>
        <v>34.369999999999997</v>
      </c>
      <c r="J226" s="42">
        <f>IF(AND(B226&lt;&gt;"",L226&lt;&gt;$D$17,$D$16&gt;3,$B226&lt;=$D$16),Resumo!$F$11,IF(AND(B226&lt;&gt;"",L226&lt;&gt;$D$17,B226&gt;$D$16),Resumo!$F$11,0))</f>
        <v>25</v>
      </c>
      <c r="K226" s="42">
        <f t="shared" ca="1" si="41"/>
        <v>1829.4469415854608</v>
      </c>
      <c r="L226" s="39" t="str">
        <f>IF(B226&lt;&gt;"",VLOOKUP(MONTH(C226),Sheet2!$F$1:$G$12,2,0),"")</f>
        <v>Julho</v>
      </c>
      <c r="M226" s="200">
        <f t="shared" ca="1" si="47"/>
        <v>0</v>
      </c>
      <c r="N226" s="40">
        <f t="shared" ca="1" si="48"/>
        <v>1742.4684741768549</v>
      </c>
      <c r="O226" s="40">
        <f t="shared" ca="1" si="42"/>
        <v>1829.4469415854608</v>
      </c>
      <c r="P226" s="40"/>
      <c r="Q226" s="20">
        <f t="shared" ca="1" si="49"/>
        <v>834.89136490250701</v>
      </c>
      <c r="R226" s="1">
        <f t="shared" si="43"/>
        <v>6219</v>
      </c>
      <c r="S226" s="243">
        <f>IF(AND($K$2&gt;=DATEVALUE("03/04/2020"),$K$2&lt;=DATEVALUE("31/12/2020")),0,IF(Resumo!$C$19="PF",IF(R226&lt;360,0.0082%*R226,3%),IF(R226&lt;360,0.0041%*R226,1.5%)))</f>
        <v>1.4999999999999999E-2</v>
      </c>
      <c r="T226" s="172">
        <f t="shared" ca="1" si="50"/>
        <v>12.523370473537605</v>
      </c>
      <c r="X226" s="20">
        <f t="shared" ca="1" si="51"/>
        <v>1742.4684741768549</v>
      </c>
    </row>
    <row r="227" spans="2:24">
      <c r="B227" s="37">
        <f t="shared" si="44"/>
        <v>205</v>
      </c>
      <c r="C227" s="163">
        <f t="shared" si="45"/>
        <v>50997</v>
      </c>
      <c r="D227" s="38">
        <f t="shared" ca="1" si="39"/>
        <v>842.74931039701278</v>
      </c>
      <c r="E227" s="38">
        <f t="shared" ca="1" si="46"/>
        <v>893.98846846914239</v>
      </c>
      <c r="F227" s="38">
        <f t="shared" ca="1" si="40"/>
        <v>1736.7377788661552</v>
      </c>
      <c r="G227" s="38">
        <f ca="1">IF(B227&lt;=$D$16,G226*(1+$D$13)^((C227-C226)/_xlfn.DAYS(EDATE(C226,1),C226)),G226-D227)+IF(B227&lt;=$D$16,G226*Resumo!$F$12,0)+IF(B227&lt;=$D$16,$D$15*Resumo!$F$13,0)+IF(B227&lt;=$D$16,25,0)-IF(AND($D$16&gt;3,B227&lt;=$D$16),K227,0)</f>
        <v>130626.1431115357</v>
      </c>
      <c r="H227" s="38">
        <f ca="1">IF(AND(B227&lt;&gt;"",L227&lt;&gt;$D$17,$D$16&gt;3),G227*Resumo!$F$12,IF(AND(B227&lt;&gt;"",L227&lt;&gt;$D$17,B227&gt;$D$16),G227*Resumo!$F$12,0))</f>
        <v>27.431490053422497</v>
      </c>
      <c r="I227" s="38">
        <f>IF(AND(B227&lt;&gt;"",L227&lt;&gt;$D$17,$D$16&gt;3,$B227&lt;=$D$16),$D$15*Resumo!$F$13,IF(AND(B227&lt;&gt;"",L227&lt;&gt;$D$17,B227&gt;$D$16),$D$15*Resumo!$F$13,0))</f>
        <v>34.369999999999997</v>
      </c>
      <c r="J227" s="38">
        <f>IF(AND(B227&lt;&gt;"",L227&lt;&gt;$D$17,$D$16&gt;3,$B227&lt;=$D$16),Resumo!$F$11,IF(AND(B227&lt;&gt;"",L227&lt;&gt;$D$17,B227&gt;$D$16),Resumo!$F$11,0))</f>
        <v>25</v>
      </c>
      <c r="K227" s="38">
        <f t="shared" ca="1" si="41"/>
        <v>1823.5392689195776</v>
      </c>
      <c r="L227" s="39" t="str">
        <f>IF(B227&lt;&gt;"",VLOOKUP(MONTH(C227),Sheet2!$F$1:$G$12,2,0),"")</f>
        <v>Agosto</v>
      </c>
      <c r="M227" s="200">
        <f t="shared" ca="1" si="47"/>
        <v>0</v>
      </c>
      <c r="N227" s="40">
        <f t="shared" ca="1" si="48"/>
        <v>1736.7377788661552</v>
      </c>
      <c r="O227" s="40">
        <f t="shared" ca="1" si="42"/>
        <v>1823.5392689195776</v>
      </c>
      <c r="P227" s="40"/>
      <c r="Q227" s="20">
        <f t="shared" ca="1" si="49"/>
        <v>834.89136490250701</v>
      </c>
      <c r="R227" s="1">
        <f t="shared" si="43"/>
        <v>6250</v>
      </c>
      <c r="S227" s="243">
        <f>IF(AND($K$2&gt;=DATEVALUE("03/04/2020"),$K$2&lt;=DATEVALUE("31/12/2020")),0,IF(Resumo!$C$19="PF",IF(R227&lt;360,0.0082%*R227,3%),IF(R227&lt;360,0.0041%*R227,1.5%)))</f>
        <v>1.4999999999999999E-2</v>
      </c>
      <c r="T227" s="172">
        <f t="shared" ca="1" si="50"/>
        <v>12.523370473537605</v>
      </c>
      <c r="X227" s="20">
        <f t="shared" ca="1" si="51"/>
        <v>1736.7377788661552</v>
      </c>
    </row>
    <row r="228" spans="2:24">
      <c r="B228" s="41">
        <f t="shared" si="44"/>
        <v>206</v>
      </c>
      <c r="C228" s="164">
        <f t="shared" si="45"/>
        <v>51028</v>
      </c>
      <c r="D228" s="42">
        <f t="shared" ca="1" si="39"/>
        <v>842.74931039701278</v>
      </c>
      <c r="E228" s="42">
        <f t="shared" ca="1" si="46"/>
        <v>888.25777315844266</v>
      </c>
      <c r="F228" s="42">
        <f t="shared" ca="1" si="40"/>
        <v>1731.0070835554554</v>
      </c>
      <c r="G228" s="42">
        <f ca="1">IF(B228&lt;=$D$16,G227*(1+$D$13)^((C228-C227)/_xlfn.DAYS(EDATE(C227,1),C227)),G227-D228)+IF(B228&lt;=$D$16,G227*Resumo!$F$12,0)+IF(B228&lt;=$D$16,$D$15*Resumo!$F$13,0)+IF(B228&lt;=$D$16,25,0)-IF(AND($D$16&gt;3,B228&lt;=$D$16),K228,0)</f>
        <v>129783.39380113868</v>
      </c>
      <c r="H228" s="42">
        <f ca="1">IF(AND(B228&lt;&gt;"",L228&lt;&gt;$D$17,$D$16&gt;3),G228*Resumo!$F$12,IF(AND(B228&lt;&gt;"",L228&lt;&gt;$D$17,B228&gt;$D$16),G228*Resumo!$F$12,0))</f>
        <v>27.254512698239125</v>
      </c>
      <c r="I228" s="42">
        <f>IF(AND(B228&lt;&gt;"",L228&lt;&gt;$D$17,$D$16&gt;3,$B228&lt;=$D$16),$D$15*Resumo!$F$13,IF(AND(B228&lt;&gt;"",L228&lt;&gt;$D$17,B228&gt;$D$16),$D$15*Resumo!$F$13,0))</f>
        <v>34.369999999999997</v>
      </c>
      <c r="J228" s="42">
        <f>IF(AND(B228&lt;&gt;"",L228&lt;&gt;$D$17,$D$16&gt;3,$B228&lt;=$D$16),Resumo!$F$11,IF(AND(B228&lt;&gt;"",L228&lt;&gt;$D$17,B228&gt;$D$16),Resumo!$F$11,0))</f>
        <v>25</v>
      </c>
      <c r="K228" s="42">
        <f t="shared" ca="1" si="41"/>
        <v>1817.6315962536944</v>
      </c>
      <c r="L228" s="39" t="str">
        <f>IF(B228&lt;&gt;"",VLOOKUP(MONTH(C228),Sheet2!$F$1:$G$12,2,0),"")</f>
        <v>Setembro</v>
      </c>
      <c r="M228" s="200">
        <f t="shared" ca="1" si="47"/>
        <v>0</v>
      </c>
      <c r="N228" s="40">
        <f t="shared" ca="1" si="48"/>
        <v>1731.0070835554554</v>
      </c>
      <c r="O228" s="40">
        <f t="shared" ca="1" si="42"/>
        <v>1817.6315962536944</v>
      </c>
      <c r="P228" s="40"/>
      <c r="Q228" s="20">
        <f t="shared" ca="1" si="49"/>
        <v>834.89136490250701</v>
      </c>
      <c r="R228" s="1">
        <f t="shared" si="43"/>
        <v>6281</v>
      </c>
      <c r="S228" s="243">
        <f>IF(AND($K$2&gt;=DATEVALUE("03/04/2020"),$K$2&lt;=DATEVALUE("31/12/2020")),0,IF(Resumo!$C$19="PF",IF(R228&lt;360,0.0082%*R228,3%),IF(R228&lt;360,0.0041%*R228,1.5%)))</f>
        <v>1.4999999999999999E-2</v>
      </c>
      <c r="T228" s="172">
        <f t="shared" ca="1" si="50"/>
        <v>12.523370473537605</v>
      </c>
      <c r="X228" s="20">
        <f t="shared" ca="1" si="51"/>
        <v>1731.0070835554554</v>
      </c>
    </row>
    <row r="229" spans="2:24">
      <c r="B229" s="37">
        <f t="shared" si="44"/>
        <v>207</v>
      </c>
      <c r="C229" s="163">
        <f t="shared" si="45"/>
        <v>51058</v>
      </c>
      <c r="D229" s="38">
        <f t="shared" ca="1" si="39"/>
        <v>842.74931039701278</v>
      </c>
      <c r="E229" s="38">
        <f t="shared" ca="1" si="46"/>
        <v>882.52707784774293</v>
      </c>
      <c r="F229" s="38">
        <f t="shared" ca="1" si="40"/>
        <v>1725.2763882447557</v>
      </c>
      <c r="G229" s="38">
        <f ca="1">IF(B229&lt;=$D$16,G228*(1+$D$13)^((C229-C228)/_xlfn.DAYS(EDATE(C228,1),C228)),G228-D229)+IF(B229&lt;=$D$16,G228*Resumo!$F$12,0)+IF(B229&lt;=$D$16,$D$15*Resumo!$F$13,0)+IF(B229&lt;=$D$16,25,0)-IF(AND($D$16&gt;3,B229&lt;=$D$16),K229,0)</f>
        <v>128940.64449074166</v>
      </c>
      <c r="H229" s="38">
        <f ca="1">IF(AND(B229&lt;&gt;"",L229&lt;&gt;$D$17,$D$16&gt;3),G229*Resumo!$F$12,IF(AND(B229&lt;&gt;"",L229&lt;&gt;$D$17,B229&gt;$D$16),G229*Resumo!$F$12,0))</f>
        <v>27.07753534305575</v>
      </c>
      <c r="I229" s="38">
        <f>IF(AND(B229&lt;&gt;"",L229&lt;&gt;$D$17,$D$16&gt;3,$B229&lt;=$D$16),$D$15*Resumo!$F$13,IF(AND(B229&lt;&gt;"",L229&lt;&gt;$D$17,B229&gt;$D$16),$D$15*Resumo!$F$13,0))</f>
        <v>34.369999999999997</v>
      </c>
      <c r="J229" s="38">
        <f>IF(AND(B229&lt;&gt;"",L229&lt;&gt;$D$17,$D$16&gt;3,$B229&lt;=$D$16),Resumo!$F$11,IF(AND(B229&lt;&gt;"",L229&lt;&gt;$D$17,B229&gt;$D$16),Resumo!$F$11,0))</f>
        <v>25</v>
      </c>
      <c r="K229" s="38">
        <f t="shared" ca="1" si="41"/>
        <v>1811.7239235878114</v>
      </c>
      <c r="L229" s="39" t="str">
        <f>IF(B229&lt;&gt;"",VLOOKUP(MONTH(C229),Sheet2!$F$1:$G$12,2,0),"")</f>
        <v>Outubro</v>
      </c>
      <c r="M229" s="200">
        <f t="shared" ca="1" si="47"/>
        <v>0</v>
      </c>
      <c r="N229" s="40">
        <f t="shared" ca="1" si="48"/>
        <v>1725.2763882447557</v>
      </c>
      <c r="O229" s="40">
        <f t="shared" ca="1" si="42"/>
        <v>1811.7239235878114</v>
      </c>
      <c r="P229" s="40"/>
      <c r="Q229" s="20">
        <f t="shared" ca="1" si="49"/>
        <v>834.89136490250701</v>
      </c>
      <c r="R229" s="1">
        <f t="shared" si="43"/>
        <v>6311</v>
      </c>
      <c r="S229" s="243">
        <f>IF(AND($K$2&gt;=DATEVALUE("03/04/2020"),$K$2&lt;=DATEVALUE("31/12/2020")),0,IF(Resumo!$C$19="PF",IF(R229&lt;360,0.0082%*R229,3%),IF(R229&lt;360,0.0041%*R229,1.5%)))</f>
        <v>1.4999999999999999E-2</v>
      </c>
      <c r="T229" s="172">
        <f t="shared" ca="1" si="50"/>
        <v>12.523370473537605</v>
      </c>
      <c r="X229" s="20">
        <f t="shared" ca="1" si="51"/>
        <v>1725.2763882447557</v>
      </c>
    </row>
    <row r="230" spans="2:24">
      <c r="B230" s="41">
        <f t="shared" si="44"/>
        <v>208</v>
      </c>
      <c r="C230" s="164">
        <f t="shared" si="45"/>
        <v>51089</v>
      </c>
      <c r="D230" s="42">
        <f t="shared" ca="1" si="39"/>
        <v>842.74931039701278</v>
      </c>
      <c r="E230" s="42">
        <f t="shared" ca="1" si="46"/>
        <v>876.7963825370432</v>
      </c>
      <c r="F230" s="42">
        <f t="shared" ca="1" si="40"/>
        <v>1719.545692934056</v>
      </c>
      <c r="G230" s="42">
        <f ca="1">IF(B230&lt;=$D$16,G229*(1+$D$13)^((C230-C229)/_xlfn.DAYS(EDATE(C229,1),C229)),G229-D230)+IF(B230&lt;=$D$16,G229*Resumo!$F$12,0)+IF(B230&lt;=$D$16,$D$15*Resumo!$F$13,0)+IF(B230&lt;=$D$16,25,0)-IF(AND($D$16&gt;3,B230&lt;=$D$16),K230,0)</f>
        <v>128097.89518034464</v>
      </c>
      <c r="H230" s="42">
        <f ca="1">IF(AND(B230&lt;&gt;"",L230&lt;&gt;$D$17,$D$16&gt;3),G230*Resumo!$F$12,IF(AND(B230&lt;&gt;"",L230&lt;&gt;$D$17,B230&gt;$D$16),G230*Resumo!$F$12,0))</f>
        <v>26.900557987872375</v>
      </c>
      <c r="I230" s="42">
        <f>IF(AND(B230&lt;&gt;"",L230&lt;&gt;$D$17,$D$16&gt;3,$B230&lt;=$D$16),$D$15*Resumo!$F$13,IF(AND(B230&lt;&gt;"",L230&lt;&gt;$D$17,B230&gt;$D$16),$D$15*Resumo!$F$13,0))</f>
        <v>34.369999999999997</v>
      </c>
      <c r="J230" s="42">
        <f>IF(AND(B230&lt;&gt;"",L230&lt;&gt;$D$17,$D$16&gt;3,$B230&lt;=$D$16),Resumo!$F$11,IF(AND(B230&lt;&gt;"",L230&lt;&gt;$D$17,B230&gt;$D$16),Resumo!$F$11,0))</f>
        <v>25</v>
      </c>
      <c r="K230" s="42">
        <f t="shared" ca="1" si="41"/>
        <v>1805.8162509219283</v>
      </c>
      <c r="L230" s="39" t="str">
        <f>IF(B230&lt;&gt;"",VLOOKUP(MONTH(C230),Sheet2!$F$1:$G$12,2,0),"")</f>
        <v>Novembro</v>
      </c>
      <c r="M230" s="200">
        <f t="shared" ca="1" si="47"/>
        <v>0</v>
      </c>
      <c r="N230" s="40">
        <f t="shared" ca="1" si="48"/>
        <v>1719.545692934056</v>
      </c>
      <c r="O230" s="40">
        <f t="shared" ca="1" si="42"/>
        <v>1805.8162509219283</v>
      </c>
      <c r="P230" s="40"/>
      <c r="Q230" s="20">
        <f t="shared" ca="1" si="49"/>
        <v>834.89136490250701</v>
      </c>
      <c r="R230" s="1">
        <f t="shared" si="43"/>
        <v>6342</v>
      </c>
      <c r="S230" s="243">
        <f>IF(AND($K$2&gt;=DATEVALUE("03/04/2020"),$K$2&lt;=DATEVALUE("31/12/2020")),0,IF(Resumo!$C$19="PF",IF(R230&lt;360,0.0082%*R230,3%),IF(R230&lt;360,0.0041%*R230,1.5%)))</f>
        <v>1.4999999999999999E-2</v>
      </c>
      <c r="T230" s="172">
        <f t="shared" ca="1" si="50"/>
        <v>12.523370473537605</v>
      </c>
      <c r="X230" s="20">
        <f t="shared" ca="1" si="51"/>
        <v>1719.545692934056</v>
      </c>
    </row>
    <row r="231" spans="2:24">
      <c r="B231" s="37">
        <f t="shared" si="44"/>
        <v>209</v>
      </c>
      <c r="C231" s="163">
        <f t="shared" si="45"/>
        <v>51119</v>
      </c>
      <c r="D231" s="38">
        <f t="shared" ca="1" si="39"/>
        <v>842.74931039701278</v>
      </c>
      <c r="E231" s="38">
        <f t="shared" ca="1" si="46"/>
        <v>871.06568722634347</v>
      </c>
      <c r="F231" s="38">
        <f t="shared" ca="1" si="40"/>
        <v>1713.8149976233562</v>
      </c>
      <c r="G231" s="38">
        <f ca="1">IF(B231&lt;=$D$16,G230*(1+$D$13)^((C231-C230)/_xlfn.DAYS(EDATE(C230,1),C230)),G230-D231)+IF(B231&lt;=$D$16,G230*Resumo!$F$12,0)+IF(B231&lt;=$D$16,$D$15*Resumo!$F$13,0)+IF(B231&lt;=$D$16,25,0)-IF(AND($D$16&gt;3,B231&lt;=$D$16),K231,0)</f>
        <v>127255.14586994762</v>
      </c>
      <c r="H231" s="38">
        <f ca="1">IF(AND(B231&lt;&gt;"",L231&lt;&gt;$D$17,$D$16&gt;3),G231*Resumo!$F$12,IF(AND(B231&lt;&gt;"",L231&lt;&gt;$D$17,B231&gt;$D$16),G231*Resumo!$F$12,0))</f>
        <v>26.723580632689</v>
      </c>
      <c r="I231" s="38">
        <f>IF(AND(B231&lt;&gt;"",L231&lt;&gt;$D$17,$D$16&gt;3,$B231&lt;=$D$16),$D$15*Resumo!$F$13,IF(AND(B231&lt;&gt;"",L231&lt;&gt;$D$17,B231&gt;$D$16),$D$15*Resumo!$F$13,0))</f>
        <v>34.369999999999997</v>
      </c>
      <c r="J231" s="38">
        <f>IF(AND(B231&lt;&gt;"",L231&lt;&gt;$D$17,$D$16&gt;3,$B231&lt;=$D$16),Resumo!$F$11,IF(AND(B231&lt;&gt;"",L231&lt;&gt;$D$17,B231&gt;$D$16),Resumo!$F$11,0))</f>
        <v>25</v>
      </c>
      <c r="K231" s="38">
        <f t="shared" ca="1" si="41"/>
        <v>1799.9085782560451</v>
      </c>
      <c r="L231" s="39" t="str">
        <f>IF(B231&lt;&gt;"",VLOOKUP(MONTH(C231),Sheet2!$F$1:$G$12,2,0),"")</f>
        <v>Dezembro</v>
      </c>
      <c r="M231" s="200">
        <f t="shared" ca="1" si="47"/>
        <v>0</v>
      </c>
      <c r="N231" s="40">
        <f t="shared" ca="1" si="48"/>
        <v>1713.8149976233562</v>
      </c>
      <c r="O231" s="40">
        <f t="shared" ca="1" si="42"/>
        <v>1799.9085782560451</v>
      </c>
      <c r="P231" s="40"/>
      <c r="Q231" s="20">
        <f t="shared" ca="1" si="49"/>
        <v>834.89136490250701</v>
      </c>
      <c r="R231" s="1">
        <f t="shared" si="43"/>
        <v>6372</v>
      </c>
      <c r="S231" s="243">
        <f>IF(AND($K$2&gt;=DATEVALUE("03/04/2020"),$K$2&lt;=DATEVALUE("31/12/2020")),0,IF(Resumo!$C$19="PF",IF(R231&lt;360,0.0082%*R231,3%),IF(R231&lt;360,0.0041%*R231,1.5%)))</f>
        <v>1.4999999999999999E-2</v>
      </c>
      <c r="T231" s="172">
        <f t="shared" ca="1" si="50"/>
        <v>12.523370473537605</v>
      </c>
      <c r="X231" s="20">
        <f t="shared" ca="1" si="51"/>
        <v>1713.8149976233562</v>
      </c>
    </row>
    <row r="232" spans="2:24">
      <c r="B232" s="41">
        <f t="shared" si="44"/>
        <v>210</v>
      </c>
      <c r="C232" s="164">
        <f t="shared" si="45"/>
        <v>51150</v>
      </c>
      <c r="D232" s="42">
        <f t="shared" ca="1" si="39"/>
        <v>842.74931039701278</v>
      </c>
      <c r="E232" s="42">
        <f t="shared" ca="1" si="46"/>
        <v>865.33499191564374</v>
      </c>
      <c r="F232" s="42">
        <f t="shared" ca="1" si="40"/>
        <v>1708.0843023126565</v>
      </c>
      <c r="G232" s="42">
        <f ca="1">IF(B232&lt;=$D$16,G231*(1+$D$13)^((C232-C231)/_xlfn.DAYS(EDATE(C231,1),C231)),G231-D232)+IF(B232&lt;=$D$16,G231*Resumo!$F$12,0)+IF(B232&lt;=$D$16,$D$15*Resumo!$F$13,0)+IF(B232&lt;=$D$16,25,0)-IF(AND($D$16&gt;3,B232&lt;=$D$16),K232,0)</f>
        <v>126412.3965595506</v>
      </c>
      <c r="H232" s="42">
        <f ca="1">IF(AND(B232&lt;&gt;"",L232&lt;&gt;$D$17,$D$16&gt;3),G232*Resumo!$F$12,IF(AND(B232&lt;&gt;"",L232&lt;&gt;$D$17,B232&gt;$D$16),G232*Resumo!$F$12,0))</f>
        <v>26.546603277505628</v>
      </c>
      <c r="I232" s="42">
        <f>IF(AND(B232&lt;&gt;"",L232&lt;&gt;$D$17,$D$16&gt;3,$B232&lt;=$D$16),$D$15*Resumo!$F$13,IF(AND(B232&lt;&gt;"",L232&lt;&gt;$D$17,B232&gt;$D$16),$D$15*Resumo!$F$13,0))</f>
        <v>34.369999999999997</v>
      </c>
      <c r="J232" s="42">
        <f>IF(AND(B232&lt;&gt;"",L232&lt;&gt;$D$17,$D$16&gt;3,$B232&lt;=$D$16),Resumo!$F$11,IF(AND(B232&lt;&gt;"",L232&lt;&gt;$D$17,B232&gt;$D$16),Resumo!$F$11,0))</f>
        <v>25</v>
      </c>
      <c r="K232" s="42">
        <f t="shared" ca="1" si="41"/>
        <v>1794.0009055901621</v>
      </c>
      <c r="L232" s="39" t="str">
        <f>IF(B232&lt;&gt;"",VLOOKUP(MONTH(C232),Sheet2!$F$1:$G$12,2,0),"")</f>
        <v>Janeiro</v>
      </c>
      <c r="M232" s="200">
        <f t="shared" ca="1" si="47"/>
        <v>0</v>
      </c>
      <c r="N232" s="40">
        <f t="shared" ca="1" si="48"/>
        <v>1708.0843023126565</v>
      </c>
      <c r="O232" s="40">
        <f t="shared" ca="1" si="42"/>
        <v>1794.0009055901621</v>
      </c>
      <c r="P232" s="40"/>
      <c r="Q232" s="20">
        <f t="shared" ca="1" si="49"/>
        <v>834.89136490250701</v>
      </c>
      <c r="R232" s="1">
        <f t="shared" si="43"/>
        <v>6403</v>
      </c>
      <c r="S232" s="243">
        <f>IF(AND($K$2&gt;=DATEVALUE("03/04/2020"),$K$2&lt;=DATEVALUE("31/12/2020")),0,IF(Resumo!$C$19="PF",IF(R232&lt;360,0.0082%*R232,3%),IF(R232&lt;360,0.0041%*R232,1.5%)))</f>
        <v>1.4999999999999999E-2</v>
      </c>
      <c r="T232" s="172">
        <f t="shared" ca="1" si="50"/>
        <v>12.523370473537605</v>
      </c>
      <c r="X232" s="20">
        <f t="shared" ca="1" si="51"/>
        <v>1708.0843023126565</v>
      </c>
    </row>
    <row r="233" spans="2:24">
      <c r="B233" s="37">
        <f t="shared" si="44"/>
        <v>211</v>
      </c>
      <c r="C233" s="163">
        <f t="shared" si="45"/>
        <v>51181</v>
      </c>
      <c r="D233" s="38">
        <f t="shared" ca="1" si="39"/>
        <v>842.74931039701278</v>
      </c>
      <c r="E233" s="38">
        <f t="shared" ca="1" si="46"/>
        <v>859.60429660494401</v>
      </c>
      <c r="F233" s="38">
        <f t="shared" ca="1" si="40"/>
        <v>1702.3536070019568</v>
      </c>
      <c r="G233" s="38">
        <f ca="1">IF(B233&lt;=$D$16,G232*(1+$D$13)^((C233-C232)/_xlfn.DAYS(EDATE(C232,1),C232)),G232-D233)+IF(B233&lt;=$D$16,G232*Resumo!$F$12,0)+IF(B233&lt;=$D$16,$D$15*Resumo!$F$13,0)+IF(B233&lt;=$D$16,25,0)-IF(AND($D$16&gt;3,B233&lt;=$D$16),K233,0)</f>
        <v>125569.64724915358</v>
      </c>
      <c r="H233" s="38">
        <f ca="1">IF(AND(B233&lt;&gt;"",L233&lt;&gt;$D$17,$D$16&gt;3),G233*Resumo!$F$12,IF(AND(B233&lt;&gt;"",L233&lt;&gt;$D$17,B233&gt;$D$16),G233*Resumo!$F$12,0))</f>
        <v>26.369625922322253</v>
      </c>
      <c r="I233" s="38">
        <f>IF(AND(B233&lt;&gt;"",L233&lt;&gt;$D$17,$D$16&gt;3,$B233&lt;=$D$16),$D$15*Resumo!$F$13,IF(AND(B233&lt;&gt;"",L233&lt;&gt;$D$17,B233&gt;$D$16),$D$15*Resumo!$F$13,0))</f>
        <v>34.369999999999997</v>
      </c>
      <c r="J233" s="38">
        <f>IF(AND(B233&lt;&gt;"",L233&lt;&gt;$D$17,$D$16&gt;3,$B233&lt;=$D$16),Resumo!$F$11,IF(AND(B233&lt;&gt;"",L233&lt;&gt;$D$17,B233&gt;$D$16),Resumo!$F$11,0))</f>
        <v>25</v>
      </c>
      <c r="K233" s="38">
        <f t="shared" ca="1" si="41"/>
        <v>1788.0932329242789</v>
      </c>
      <c r="L233" s="39" t="str">
        <f>IF(B233&lt;&gt;"",VLOOKUP(MONTH(C233),Sheet2!$F$1:$G$12,2,0),"")</f>
        <v>Fevereiro</v>
      </c>
      <c r="M233" s="200">
        <f t="shared" ca="1" si="47"/>
        <v>0</v>
      </c>
      <c r="N233" s="40">
        <f t="shared" ca="1" si="48"/>
        <v>1702.3536070019568</v>
      </c>
      <c r="O233" s="40">
        <f t="shared" ca="1" si="42"/>
        <v>1788.0932329242789</v>
      </c>
      <c r="P233" s="40"/>
      <c r="Q233" s="20">
        <f t="shared" ca="1" si="49"/>
        <v>834.89136490250701</v>
      </c>
      <c r="R233" s="1">
        <f t="shared" si="43"/>
        <v>6434</v>
      </c>
      <c r="S233" s="243">
        <f>IF(AND($K$2&gt;=DATEVALUE("03/04/2020"),$K$2&lt;=DATEVALUE("31/12/2020")),0,IF(Resumo!$C$19="PF",IF(R233&lt;360,0.0082%*R233,3%),IF(R233&lt;360,0.0041%*R233,1.5%)))</f>
        <v>1.4999999999999999E-2</v>
      </c>
      <c r="T233" s="172">
        <f t="shared" ca="1" si="50"/>
        <v>12.523370473537605</v>
      </c>
      <c r="X233" s="20">
        <f t="shared" ca="1" si="51"/>
        <v>1702.3536070019568</v>
      </c>
    </row>
    <row r="234" spans="2:24">
      <c r="B234" s="41">
        <f t="shared" si="44"/>
        <v>212</v>
      </c>
      <c r="C234" s="164">
        <f t="shared" si="45"/>
        <v>51210</v>
      </c>
      <c r="D234" s="42">
        <f t="shared" ca="1" si="39"/>
        <v>842.74931039701278</v>
      </c>
      <c r="E234" s="42">
        <f t="shared" ca="1" si="46"/>
        <v>853.87360129424428</v>
      </c>
      <c r="F234" s="42">
        <f t="shared" ca="1" si="40"/>
        <v>1696.6229116912571</v>
      </c>
      <c r="G234" s="42">
        <f ca="1">IF(B234&lt;=$D$16,G233*(1+$D$13)^((C234-C233)/_xlfn.DAYS(EDATE(C233,1),C233)),G233-D234)+IF(B234&lt;=$D$16,G233*Resumo!$F$12,0)+IF(B234&lt;=$D$16,$D$15*Resumo!$F$13,0)+IF(B234&lt;=$D$16,25,0)-IF(AND($D$16&gt;3,B234&lt;=$D$16),K234,0)</f>
        <v>124726.89793875656</v>
      </c>
      <c r="H234" s="42">
        <f ca="1">IF(AND(B234&lt;&gt;"",L234&lt;&gt;$D$17,$D$16&gt;3),G234*Resumo!$F$12,IF(AND(B234&lt;&gt;"",L234&lt;&gt;$D$17,B234&gt;$D$16),G234*Resumo!$F$12,0))</f>
        <v>26.192648567138878</v>
      </c>
      <c r="I234" s="42">
        <f>IF(AND(B234&lt;&gt;"",L234&lt;&gt;$D$17,$D$16&gt;3,$B234&lt;=$D$16),$D$15*Resumo!$F$13,IF(AND(B234&lt;&gt;"",L234&lt;&gt;$D$17,B234&gt;$D$16),$D$15*Resumo!$F$13,0))</f>
        <v>34.369999999999997</v>
      </c>
      <c r="J234" s="42">
        <f>IF(AND(B234&lt;&gt;"",L234&lt;&gt;$D$17,$D$16&gt;3,$B234&lt;=$D$16),Resumo!$F$11,IF(AND(B234&lt;&gt;"",L234&lt;&gt;$D$17,B234&gt;$D$16),Resumo!$F$11,0))</f>
        <v>25</v>
      </c>
      <c r="K234" s="42">
        <f t="shared" ca="1" si="41"/>
        <v>1782.1855602583958</v>
      </c>
      <c r="L234" s="39" t="str">
        <f>IF(B234&lt;&gt;"",VLOOKUP(MONTH(C234),Sheet2!$F$1:$G$12,2,0),"")</f>
        <v>Março</v>
      </c>
      <c r="M234" s="200">
        <f t="shared" ca="1" si="47"/>
        <v>0</v>
      </c>
      <c r="N234" s="40">
        <f t="shared" ca="1" si="48"/>
        <v>1696.6229116912571</v>
      </c>
      <c r="O234" s="40">
        <f t="shared" ca="1" si="42"/>
        <v>1782.1855602583958</v>
      </c>
      <c r="P234" s="40"/>
      <c r="Q234" s="20">
        <f t="shared" ca="1" si="49"/>
        <v>834.89136490250701</v>
      </c>
      <c r="R234" s="1">
        <f t="shared" si="43"/>
        <v>6463</v>
      </c>
      <c r="S234" s="243">
        <f>IF(AND($K$2&gt;=DATEVALUE("03/04/2020"),$K$2&lt;=DATEVALUE("31/12/2020")),0,IF(Resumo!$C$19="PF",IF(R234&lt;360,0.0082%*R234,3%),IF(R234&lt;360,0.0041%*R234,1.5%)))</f>
        <v>1.4999999999999999E-2</v>
      </c>
      <c r="T234" s="172">
        <f t="shared" ca="1" si="50"/>
        <v>12.523370473537605</v>
      </c>
      <c r="X234" s="20">
        <f t="shared" ca="1" si="51"/>
        <v>1696.6229116912571</v>
      </c>
    </row>
    <row r="235" spans="2:24">
      <c r="B235" s="37">
        <f t="shared" si="44"/>
        <v>213</v>
      </c>
      <c r="C235" s="163">
        <f t="shared" si="45"/>
        <v>51241</v>
      </c>
      <c r="D235" s="38">
        <f t="shared" ca="1" si="39"/>
        <v>842.74931039701278</v>
      </c>
      <c r="E235" s="38">
        <f t="shared" ca="1" si="46"/>
        <v>848.14290598354455</v>
      </c>
      <c r="F235" s="38">
        <f t="shared" ca="1" si="40"/>
        <v>1690.8922163805573</v>
      </c>
      <c r="G235" s="38">
        <f ca="1">IF(B235&lt;=$D$16,G234*(1+$D$13)^((C235-C234)/_xlfn.DAYS(EDATE(C234,1),C234)),G234-D235)+IF(B235&lt;=$D$16,G234*Resumo!$F$12,0)+IF(B235&lt;=$D$16,$D$15*Resumo!$F$13,0)+IF(B235&lt;=$D$16,25,0)-IF(AND($D$16&gt;3,B235&lt;=$D$16),K235,0)</f>
        <v>123884.14862835954</v>
      </c>
      <c r="H235" s="38">
        <f ca="1">IF(AND(B235&lt;&gt;"",L235&lt;&gt;$D$17,$D$16&gt;3),G235*Resumo!$F$12,IF(AND(B235&lt;&gt;"",L235&lt;&gt;$D$17,B235&gt;$D$16),G235*Resumo!$F$12,0))</f>
        <v>26.015671211955507</v>
      </c>
      <c r="I235" s="38">
        <f>IF(AND(B235&lt;&gt;"",L235&lt;&gt;$D$17,$D$16&gt;3,$B235&lt;=$D$16),$D$15*Resumo!$F$13,IF(AND(B235&lt;&gt;"",L235&lt;&gt;$D$17,B235&gt;$D$16),$D$15*Resumo!$F$13,0))</f>
        <v>34.369999999999997</v>
      </c>
      <c r="J235" s="38">
        <f>IF(AND(B235&lt;&gt;"",L235&lt;&gt;$D$17,$D$16&gt;3,$B235&lt;=$D$16),Resumo!$F$11,IF(AND(B235&lt;&gt;"",L235&lt;&gt;$D$17,B235&gt;$D$16),Resumo!$F$11,0))</f>
        <v>25</v>
      </c>
      <c r="K235" s="38">
        <f t="shared" ca="1" si="41"/>
        <v>1776.2778875925128</v>
      </c>
      <c r="L235" s="39" t="str">
        <f>IF(B235&lt;&gt;"",VLOOKUP(MONTH(C235),Sheet2!$F$1:$G$12,2,0),"")</f>
        <v>Abril</v>
      </c>
      <c r="M235" s="200">
        <f t="shared" ca="1" si="47"/>
        <v>0</v>
      </c>
      <c r="N235" s="40">
        <f t="shared" ca="1" si="48"/>
        <v>1690.8922163805573</v>
      </c>
      <c r="O235" s="40">
        <f t="shared" ca="1" si="42"/>
        <v>1776.2778875925128</v>
      </c>
      <c r="P235" s="40"/>
      <c r="Q235" s="20">
        <f t="shared" ca="1" si="49"/>
        <v>834.89136490250701</v>
      </c>
      <c r="R235" s="1">
        <f t="shared" si="43"/>
        <v>6494</v>
      </c>
      <c r="S235" s="243">
        <f>IF(AND($K$2&gt;=DATEVALUE("03/04/2020"),$K$2&lt;=DATEVALUE("31/12/2020")),0,IF(Resumo!$C$19="PF",IF(R235&lt;360,0.0082%*R235,3%),IF(R235&lt;360,0.0041%*R235,1.5%)))</f>
        <v>1.4999999999999999E-2</v>
      </c>
      <c r="T235" s="172">
        <f t="shared" ca="1" si="50"/>
        <v>12.523370473537605</v>
      </c>
      <c r="X235" s="20">
        <f t="shared" ca="1" si="51"/>
        <v>1690.8922163805573</v>
      </c>
    </row>
    <row r="236" spans="2:24">
      <c r="B236" s="41">
        <f t="shared" si="44"/>
        <v>214</v>
      </c>
      <c r="C236" s="164">
        <f t="shared" si="45"/>
        <v>51271</v>
      </c>
      <c r="D236" s="42">
        <f t="shared" ca="1" si="39"/>
        <v>842.74931039701278</v>
      </c>
      <c r="E236" s="42">
        <f t="shared" ca="1" si="46"/>
        <v>842.41221067284482</v>
      </c>
      <c r="F236" s="42">
        <f t="shared" ca="1" si="40"/>
        <v>1685.1615210698576</v>
      </c>
      <c r="G236" s="42">
        <f ca="1">IF(B236&lt;=$D$16,G235*(1+$D$13)^((C236-C235)/_xlfn.DAYS(EDATE(C235,1),C235)),G235-D236)+IF(B236&lt;=$D$16,G235*Resumo!$F$12,0)+IF(B236&lt;=$D$16,$D$15*Resumo!$F$13,0)+IF(B236&lt;=$D$16,25,0)-IF(AND($D$16&gt;3,B236&lt;=$D$16),K236,0)</f>
        <v>123041.39931796252</v>
      </c>
      <c r="H236" s="42">
        <f ca="1">IF(AND(B236&lt;&gt;"",L236&lt;&gt;$D$17,$D$16&gt;3),G236*Resumo!$F$12,IF(AND(B236&lt;&gt;"",L236&lt;&gt;$D$17,B236&gt;$D$16),G236*Resumo!$F$12,0))</f>
        <v>25.838693856772132</v>
      </c>
      <c r="I236" s="42">
        <f>IF(AND(B236&lt;&gt;"",L236&lt;&gt;$D$17,$D$16&gt;3,$B236&lt;=$D$16),$D$15*Resumo!$F$13,IF(AND(B236&lt;&gt;"",L236&lt;&gt;$D$17,B236&gt;$D$16),$D$15*Resumo!$F$13,0))</f>
        <v>34.369999999999997</v>
      </c>
      <c r="J236" s="42">
        <f>IF(AND(B236&lt;&gt;"",L236&lt;&gt;$D$17,$D$16&gt;3,$B236&lt;=$D$16),Resumo!$F$11,IF(AND(B236&lt;&gt;"",L236&lt;&gt;$D$17,B236&gt;$D$16),Resumo!$F$11,0))</f>
        <v>25</v>
      </c>
      <c r="K236" s="42">
        <f t="shared" ca="1" si="41"/>
        <v>1770.3702149266296</v>
      </c>
      <c r="L236" s="39" t="str">
        <f>IF(B236&lt;&gt;"",VLOOKUP(MONTH(C236),Sheet2!$F$1:$G$12,2,0),"")</f>
        <v>Maio</v>
      </c>
      <c r="M236" s="200">
        <f t="shared" ca="1" si="47"/>
        <v>0</v>
      </c>
      <c r="N236" s="40">
        <f t="shared" ca="1" si="48"/>
        <v>1685.1615210698576</v>
      </c>
      <c r="O236" s="40">
        <f t="shared" ca="1" si="42"/>
        <v>1770.3702149266296</v>
      </c>
      <c r="P236" s="40"/>
      <c r="Q236" s="20">
        <f t="shared" ca="1" si="49"/>
        <v>834.89136490250701</v>
      </c>
      <c r="R236" s="1">
        <f t="shared" si="43"/>
        <v>6524</v>
      </c>
      <c r="S236" s="243">
        <f>IF(AND($K$2&gt;=DATEVALUE("03/04/2020"),$K$2&lt;=DATEVALUE("31/12/2020")),0,IF(Resumo!$C$19="PF",IF(R236&lt;360,0.0082%*R236,3%),IF(R236&lt;360,0.0041%*R236,1.5%)))</f>
        <v>1.4999999999999999E-2</v>
      </c>
      <c r="T236" s="172">
        <f t="shared" ca="1" si="50"/>
        <v>12.523370473537605</v>
      </c>
      <c r="X236" s="20">
        <f t="shared" ca="1" si="51"/>
        <v>1685.1615210698576</v>
      </c>
    </row>
    <row r="237" spans="2:24">
      <c r="B237" s="37">
        <f t="shared" si="44"/>
        <v>215</v>
      </c>
      <c r="C237" s="163">
        <f t="shared" si="45"/>
        <v>51302</v>
      </c>
      <c r="D237" s="38">
        <f t="shared" ca="1" si="39"/>
        <v>842.74931039701278</v>
      </c>
      <c r="E237" s="38">
        <f t="shared" ca="1" si="46"/>
        <v>836.68151536214509</v>
      </c>
      <c r="F237" s="38">
        <f t="shared" ca="1" si="40"/>
        <v>1679.4308257591579</v>
      </c>
      <c r="G237" s="38">
        <f ca="1">IF(B237&lt;=$D$16,G236*(1+$D$13)^((C237-C236)/_xlfn.DAYS(EDATE(C236,1),C236)),G236-D237)+IF(B237&lt;=$D$16,G236*Resumo!$F$12,0)+IF(B237&lt;=$D$16,$D$15*Resumo!$F$13,0)+IF(B237&lt;=$D$16,25,0)-IF(AND($D$16&gt;3,B237&lt;=$D$16),K237,0)</f>
        <v>122198.65000756551</v>
      </c>
      <c r="H237" s="38">
        <f ca="1">IF(AND(B237&lt;&gt;"",L237&lt;&gt;$D$17,$D$16&gt;3),G237*Resumo!$F$12,IF(AND(B237&lt;&gt;"",L237&lt;&gt;$D$17,B237&gt;$D$16),G237*Resumo!$F$12,0))</f>
        <v>25.661716501588757</v>
      </c>
      <c r="I237" s="38">
        <f>IF(AND(B237&lt;&gt;"",L237&lt;&gt;$D$17,$D$16&gt;3,$B237&lt;=$D$16),$D$15*Resumo!$F$13,IF(AND(B237&lt;&gt;"",L237&lt;&gt;$D$17,B237&gt;$D$16),$D$15*Resumo!$F$13,0))</f>
        <v>34.369999999999997</v>
      </c>
      <c r="J237" s="38">
        <f>IF(AND(B237&lt;&gt;"",L237&lt;&gt;$D$17,$D$16&gt;3,$B237&lt;=$D$16),Resumo!$F$11,IF(AND(B237&lt;&gt;"",L237&lt;&gt;$D$17,B237&gt;$D$16),Resumo!$F$11,0))</f>
        <v>25</v>
      </c>
      <c r="K237" s="38">
        <f t="shared" ca="1" si="41"/>
        <v>1764.4625422607464</v>
      </c>
      <c r="L237" s="39" t="str">
        <f>IF(B237&lt;&gt;"",VLOOKUP(MONTH(C237),Sheet2!$F$1:$G$12,2,0),"")</f>
        <v>Junho</v>
      </c>
      <c r="M237" s="200">
        <f t="shared" ca="1" si="47"/>
        <v>0</v>
      </c>
      <c r="N237" s="40">
        <f t="shared" ca="1" si="48"/>
        <v>1679.4308257591579</v>
      </c>
      <c r="O237" s="40">
        <f t="shared" ca="1" si="42"/>
        <v>1764.4625422607464</v>
      </c>
      <c r="P237" s="40"/>
      <c r="Q237" s="20">
        <f t="shared" ca="1" si="49"/>
        <v>834.89136490250701</v>
      </c>
      <c r="R237" s="1">
        <f t="shared" si="43"/>
        <v>6555</v>
      </c>
      <c r="S237" s="243">
        <f>IF(AND($K$2&gt;=DATEVALUE("03/04/2020"),$K$2&lt;=DATEVALUE("31/12/2020")),0,IF(Resumo!$C$19="PF",IF(R237&lt;360,0.0082%*R237,3%),IF(R237&lt;360,0.0041%*R237,1.5%)))</f>
        <v>1.4999999999999999E-2</v>
      </c>
      <c r="T237" s="172">
        <f t="shared" ca="1" si="50"/>
        <v>12.523370473537605</v>
      </c>
      <c r="X237" s="20">
        <f t="shared" ca="1" si="51"/>
        <v>1679.4308257591579</v>
      </c>
    </row>
    <row r="238" spans="2:24">
      <c r="B238" s="41">
        <f t="shared" si="44"/>
        <v>216</v>
      </c>
      <c r="C238" s="164">
        <f t="shared" si="45"/>
        <v>51332</v>
      </c>
      <c r="D238" s="42">
        <f t="shared" ca="1" si="39"/>
        <v>842.74931039701278</v>
      </c>
      <c r="E238" s="42">
        <f t="shared" ca="1" si="46"/>
        <v>830.95082005144536</v>
      </c>
      <c r="F238" s="42">
        <f t="shared" ca="1" si="40"/>
        <v>1673.7001304484581</v>
      </c>
      <c r="G238" s="42">
        <f ca="1">IF(B238&lt;=$D$16,G237*(1+$D$13)^((C238-C237)/_xlfn.DAYS(EDATE(C237,1),C237)),G237-D238)+IF(B238&lt;=$D$16,G237*Resumo!$F$12,0)+IF(B238&lt;=$D$16,$D$15*Resumo!$F$13,0)+IF(B238&lt;=$D$16,25,0)-IF(AND($D$16&gt;3,B238&lt;=$D$16),K238,0)</f>
        <v>121355.90069716849</v>
      </c>
      <c r="H238" s="42">
        <f ca="1">IF(AND(B238&lt;&gt;"",L238&lt;&gt;$D$17,$D$16&gt;3),G238*Resumo!$F$12,IF(AND(B238&lt;&gt;"",L238&lt;&gt;$D$17,B238&gt;$D$16),G238*Resumo!$F$12,0))</f>
        <v>25.484739146405385</v>
      </c>
      <c r="I238" s="42">
        <f>IF(AND(B238&lt;&gt;"",L238&lt;&gt;$D$17,$D$16&gt;3,$B238&lt;=$D$16),$D$15*Resumo!$F$13,IF(AND(B238&lt;&gt;"",L238&lt;&gt;$D$17,B238&gt;$D$16),$D$15*Resumo!$F$13,0))</f>
        <v>34.369999999999997</v>
      </c>
      <c r="J238" s="42">
        <f>IF(AND(B238&lt;&gt;"",L238&lt;&gt;$D$17,$D$16&gt;3,$B238&lt;=$D$16),Resumo!$F$11,IF(AND(B238&lt;&gt;"",L238&lt;&gt;$D$17,B238&gt;$D$16),Resumo!$F$11,0))</f>
        <v>25</v>
      </c>
      <c r="K238" s="42">
        <f t="shared" ca="1" si="41"/>
        <v>1758.5548695948635</v>
      </c>
      <c r="L238" s="39" t="str">
        <f>IF(B238&lt;&gt;"",VLOOKUP(MONTH(C238),Sheet2!$F$1:$G$12,2,0),"")</f>
        <v>Julho</v>
      </c>
      <c r="M238" s="200">
        <f t="shared" ca="1" si="47"/>
        <v>0</v>
      </c>
      <c r="N238" s="40">
        <f t="shared" ca="1" si="48"/>
        <v>1673.7001304484581</v>
      </c>
      <c r="O238" s="40">
        <f t="shared" ca="1" si="42"/>
        <v>1758.5548695948635</v>
      </c>
      <c r="P238" s="40"/>
      <c r="Q238" s="20">
        <f t="shared" ca="1" si="49"/>
        <v>834.89136490250701</v>
      </c>
      <c r="R238" s="1">
        <f t="shared" si="43"/>
        <v>6585</v>
      </c>
      <c r="S238" s="243">
        <f>IF(AND($K$2&gt;=DATEVALUE("03/04/2020"),$K$2&lt;=DATEVALUE("31/12/2020")),0,IF(Resumo!$C$19="PF",IF(R238&lt;360,0.0082%*R238,3%),IF(R238&lt;360,0.0041%*R238,1.5%)))</f>
        <v>1.4999999999999999E-2</v>
      </c>
      <c r="T238" s="172">
        <f t="shared" ca="1" si="50"/>
        <v>12.523370473537605</v>
      </c>
      <c r="X238" s="20">
        <f t="shared" ca="1" si="51"/>
        <v>1673.7001304484581</v>
      </c>
    </row>
    <row r="239" spans="2:24">
      <c r="B239" s="37">
        <f t="shared" si="44"/>
        <v>217</v>
      </c>
      <c r="C239" s="163">
        <f t="shared" si="45"/>
        <v>51363</v>
      </c>
      <c r="D239" s="38">
        <f t="shared" ca="1" si="39"/>
        <v>842.74931039701278</v>
      </c>
      <c r="E239" s="38">
        <f t="shared" ca="1" si="46"/>
        <v>825.22012474074563</v>
      </c>
      <c r="F239" s="38">
        <f t="shared" ca="1" si="40"/>
        <v>1667.9694351377584</v>
      </c>
      <c r="G239" s="38">
        <f ca="1">IF(B239&lt;=$D$16,G238*(1+$D$13)^((C239-C238)/_xlfn.DAYS(EDATE(C238,1),C238)),G238-D239)+IF(B239&lt;=$D$16,G238*Resumo!$F$12,0)+IF(B239&lt;=$D$16,$D$15*Resumo!$F$13,0)+IF(B239&lt;=$D$16,25,0)-IF(AND($D$16&gt;3,B239&lt;=$D$16),K239,0)</f>
        <v>120513.15138677147</v>
      </c>
      <c r="H239" s="38">
        <f ca="1">IF(AND(B239&lt;&gt;"",L239&lt;&gt;$D$17,$D$16&gt;3),G239*Resumo!$F$12,IF(AND(B239&lt;&gt;"",L239&lt;&gt;$D$17,B239&gt;$D$16),G239*Resumo!$F$12,0))</f>
        <v>25.30776179122201</v>
      </c>
      <c r="I239" s="38">
        <f>IF(AND(B239&lt;&gt;"",L239&lt;&gt;$D$17,$D$16&gt;3,$B239&lt;=$D$16),$D$15*Resumo!$F$13,IF(AND(B239&lt;&gt;"",L239&lt;&gt;$D$17,B239&gt;$D$16),$D$15*Resumo!$F$13,0))</f>
        <v>34.369999999999997</v>
      </c>
      <c r="J239" s="38">
        <f>IF(AND(B239&lt;&gt;"",L239&lt;&gt;$D$17,$D$16&gt;3,$B239&lt;=$D$16),Resumo!$F$11,IF(AND(B239&lt;&gt;"",L239&lt;&gt;$D$17,B239&gt;$D$16),Resumo!$F$11,0))</f>
        <v>25</v>
      </c>
      <c r="K239" s="38">
        <f t="shared" ca="1" si="41"/>
        <v>1752.6471969289803</v>
      </c>
      <c r="L239" s="39" t="str">
        <f>IF(B239&lt;&gt;"",VLOOKUP(MONTH(C239),Sheet2!$F$1:$G$12,2,0),"")</f>
        <v>Agosto</v>
      </c>
      <c r="M239" s="200">
        <f t="shared" ca="1" si="47"/>
        <v>0</v>
      </c>
      <c r="N239" s="40">
        <f t="shared" ca="1" si="48"/>
        <v>1667.9694351377584</v>
      </c>
      <c r="O239" s="40">
        <f t="shared" ca="1" si="42"/>
        <v>1752.6471969289803</v>
      </c>
      <c r="P239" s="40"/>
      <c r="Q239" s="20">
        <f t="shared" ca="1" si="49"/>
        <v>834.89136490250701</v>
      </c>
      <c r="R239" s="1">
        <f t="shared" si="43"/>
        <v>6616</v>
      </c>
      <c r="S239" s="243">
        <f>IF(AND($K$2&gt;=DATEVALUE("03/04/2020"),$K$2&lt;=DATEVALUE("31/12/2020")),0,IF(Resumo!$C$19="PF",IF(R239&lt;360,0.0082%*R239,3%),IF(R239&lt;360,0.0041%*R239,1.5%)))</f>
        <v>1.4999999999999999E-2</v>
      </c>
      <c r="T239" s="172">
        <f t="shared" ca="1" si="50"/>
        <v>12.523370473537605</v>
      </c>
      <c r="X239" s="20">
        <f t="shared" ca="1" si="51"/>
        <v>1667.9694351377584</v>
      </c>
    </row>
    <row r="240" spans="2:24">
      <c r="B240" s="41">
        <f t="shared" si="44"/>
        <v>218</v>
      </c>
      <c r="C240" s="164">
        <f t="shared" si="45"/>
        <v>51394</v>
      </c>
      <c r="D240" s="42">
        <f t="shared" ca="1" si="39"/>
        <v>842.74931039701278</v>
      </c>
      <c r="E240" s="42">
        <f t="shared" ca="1" si="46"/>
        <v>819.4894294300459</v>
      </c>
      <c r="F240" s="42">
        <f t="shared" ca="1" si="40"/>
        <v>1662.2387398270587</v>
      </c>
      <c r="G240" s="42">
        <f ca="1">IF(B240&lt;=$D$16,G239*(1+$D$13)^((C240-C239)/_xlfn.DAYS(EDATE(C239,1),C239)),G239-D240)+IF(B240&lt;=$D$16,G239*Resumo!$F$12,0)+IF(B240&lt;=$D$16,$D$15*Resumo!$F$13,0)+IF(B240&lt;=$D$16,25,0)-IF(AND($D$16&gt;3,B240&lt;=$D$16),K240,0)</f>
        <v>119670.40207637445</v>
      </c>
      <c r="H240" s="42">
        <f ca="1">IF(AND(B240&lt;&gt;"",L240&lt;&gt;$D$17,$D$16&gt;3),G240*Resumo!$F$12,IF(AND(B240&lt;&gt;"",L240&lt;&gt;$D$17,B240&gt;$D$16),G240*Resumo!$F$12,0))</f>
        <v>25.130784436038635</v>
      </c>
      <c r="I240" s="42">
        <f>IF(AND(B240&lt;&gt;"",L240&lt;&gt;$D$17,$D$16&gt;3,$B240&lt;=$D$16),$D$15*Resumo!$F$13,IF(AND(B240&lt;&gt;"",L240&lt;&gt;$D$17,B240&gt;$D$16),$D$15*Resumo!$F$13,0))</f>
        <v>34.369999999999997</v>
      </c>
      <c r="J240" s="42">
        <f>IF(AND(B240&lt;&gt;"",L240&lt;&gt;$D$17,$D$16&gt;3,$B240&lt;=$D$16),Resumo!$F$11,IF(AND(B240&lt;&gt;"",L240&lt;&gt;$D$17,B240&gt;$D$16),Resumo!$F$11,0))</f>
        <v>25</v>
      </c>
      <c r="K240" s="42">
        <f t="shared" ca="1" si="41"/>
        <v>1746.7395242630971</v>
      </c>
      <c r="L240" s="39" t="str">
        <f>IF(B240&lt;&gt;"",VLOOKUP(MONTH(C240),Sheet2!$F$1:$G$12,2,0),"")</f>
        <v>Setembro</v>
      </c>
      <c r="M240" s="200">
        <f t="shared" ca="1" si="47"/>
        <v>0</v>
      </c>
      <c r="N240" s="40">
        <f t="shared" ca="1" si="48"/>
        <v>1662.2387398270587</v>
      </c>
      <c r="O240" s="40">
        <f t="shared" ca="1" si="42"/>
        <v>1746.7395242630971</v>
      </c>
      <c r="P240" s="40"/>
      <c r="Q240" s="20">
        <f t="shared" ca="1" si="49"/>
        <v>834.89136490250701</v>
      </c>
      <c r="R240" s="1">
        <f t="shared" si="43"/>
        <v>6647</v>
      </c>
      <c r="S240" s="243">
        <f>IF(AND($K$2&gt;=DATEVALUE("03/04/2020"),$K$2&lt;=DATEVALUE("31/12/2020")),0,IF(Resumo!$C$19="PF",IF(R240&lt;360,0.0082%*R240,3%),IF(R240&lt;360,0.0041%*R240,1.5%)))</f>
        <v>1.4999999999999999E-2</v>
      </c>
      <c r="T240" s="172">
        <f t="shared" ca="1" si="50"/>
        <v>12.523370473537605</v>
      </c>
      <c r="X240" s="20">
        <f t="shared" ca="1" si="51"/>
        <v>1662.2387398270587</v>
      </c>
    </row>
    <row r="241" spans="2:24">
      <c r="B241" s="37">
        <f t="shared" si="44"/>
        <v>219</v>
      </c>
      <c r="C241" s="163">
        <f t="shared" si="45"/>
        <v>51424</v>
      </c>
      <c r="D241" s="38">
        <f t="shared" ca="1" si="39"/>
        <v>842.74931039701278</v>
      </c>
      <c r="E241" s="38">
        <f t="shared" ca="1" si="46"/>
        <v>813.75873411934617</v>
      </c>
      <c r="F241" s="38">
        <f t="shared" ca="1" si="40"/>
        <v>1656.508044516359</v>
      </c>
      <c r="G241" s="38">
        <f ca="1">IF(B241&lt;=$D$16,G240*(1+$D$13)^((C241-C240)/_xlfn.DAYS(EDATE(C240,1),C240)),G240-D241)+IF(B241&lt;=$D$16,G240*Resumo!$F$12,0)+IF(B241&lt;=$D$16,$D$15*Resumo!$F$13,0)+IF(B241&lt;=$D$16,25,0)-IF(AND($D$16&gt;3,B241&lt;=$D$16),K241,0)</f>
        <v>118827.65276597743</v>
      </c>
      <c r="H241" s="38">
        <f ca="1">IF(AND(B241&lt;&gt;"",L241&lt;&gt;$D$17,$D$16&gt;3),G241*Resumo!$F$12,IF(AND(B241&lt;&gt;"",L241&lt;&gt;$D$17,B241&gt;$D$16),G241*Resumo!$F$12,0))</f>
        <v>24.95380708085526</v>
      </c>
      <c r="I241" s="38">
        <f>IF(AND(B241&lt;&gt;"",L241&lt;&gt;$D$17,$D$16&gt;3,$B241&lt;=$D$16),$D$15*Resumo!$F$13,IF(AND(B241&lt;&gt;"",L241&lt;&gt;$D$17,B241&gt;$D$16),$D$15*Resumo!$F$13,0))</f>
        <v>34.369999999999997</v>
      </c>
      <c r="J241" s="38">
        <f>IF(AND(B241&lt;&gt;"",L241&lt;&gt;$D$17,$D$16&gt;3,$B241&lt;=$D$16),Resumo!$F$11,IF(AND(B241&lt;&gt;"",L241&lt;&gt;$D$17,B241&gt;$D$16),Resumo!$F$11,0))</f>
        <v>25</v>
      </c>
      <c r="K241" s="38">
        <f t="shared" ca="1" si="41"/>
        <v>1740.8318515972142</v>
      </c>
      <c r="L241" s="39" t="str">
        <f>IF(B241&lt;&gt;"",VLOOKUP(MONTH(C241),Sheet2!$F$1:$G$12,2,0),"")</f>
        <v>Outubro</v>
      </c>
      <c r="M241" s="200">
        <f t="shared" ca="1" si="47"/>
        <v>0</v>
      </c>
      <c r="N241" s="40">
        <f t="shared" ca="1" si="48"/>
        <v>1656.508044516359</v>
      </c>
      <c r="O241" s="40">
        <f t="shared" ca="1" si="42"/>
        <v>1740.8318515972142</v>
      </c>
      <c r="P241" s="40"/>
      <c r="Q241" s="20">
        <f t="shared" ca="1" si="49"/>
        <v>834.89136490250701</v>
      </c>
      <c r="R241" s="1">
        <f t="shared" si="43"/>
        <v>6677</v>
      </c>
      <c r="S241" s="243">
        <f>IF(AND($K$2&gt;=DATEVALUE("03/04/2020"),$K$2&lt;=DATEVALUE("31/12/2020")),0,IF(Resumo!$C$19="PF",IF(R241&lt;360,0.0082%*R241,3%),IF(R241&lt;360,0.0041%*R241,1.5%)))</f>
        <v>1.4999999999999999E-2</v>
      </c>
      <c r="T241" s="172">
        <f t="shared" ca="1" si="50"/>
        <v>12.523370473537605</v>
      </c>
      <c r="X241" s="20">
        <f t="shared" ca="1" si="51"/>
        <v>1656.508044516359</v>
      </c>
    </row>
    <row r="242" spans="2:24">
      <c r="B242" s="41">
        <f t="shared" si="44"/>
        <v>220</v>
      </c>
      <c r="C242" s="164">
        <f t="shared" si="45"/>
        <v>51455</v>
      </c>
      <c r="D242" s="42">
        <f t="shared" ca="1" si="39"/>
        <v>842.74931039701278</v>
      </c>
      <c r="E242" s="42">
        <f t="shared" ca="1" si="46"/>
        <v>808.02803880864644</v>
      </c>
      <c r="F242" s="42">
        <f t="shared" ca="1" si="40"/>
        <v>1650.7773492056592</v>
      </c>
      <c r="G242" s="42">
        <f ca="1">IF(B242&lt;=$D$16,G241*(1+$D$13)^((C242-C241)/_xlfn.DAYS(EDATE(C241,1),C241)),G241-D242)+IF(B242&lt;=$D$16,G241*Resumo!$F$12,0)+IF(B242&lt;=$D$16,$D$15*Resumo!$F$13,0)+IF(B242&lt;=$D$16,25,0)-IF(AND($D$16&gt;3,B242&lt;=$D$16),K242,0)</f>
        <v>117984.90345558041</v>
      </c>
      <c r="H242" s="42">
        <f ca="1">IF(AND(B242&lt;&gt;"",L242&lt;&gt;$D$17,$D$16&gt;3),G242*Resumo!$F$12,IF(AND(B242&lt;&gt;"",L242&lt;&gt;$D$17,B242&gt;$D$16),G242*Resumo!$F$12,0))</f>
        <v>24.776829725671888</v>
      </c>
      <c r="I242" s="42">
        <f>IF(AND(B242&lt;&gt;"",L242&lt;&gt;$D$17,$D$16&gt;3,$B242&lt;=$D$16),$D$15*Resumo!$F$13,IF(AND(B242&lt;&gt;"",L242&lt;&gt;$D$17,B242&gt;$D$16),$D$15*Resumo!$F$13,0))</f>
        <v>34.369999999999997</v>
      </c>
      <c r="J242" s="42">
        <f>IF(AND(B242&lt;&gt;"",L242&lt;&gt;$D$17,$D$16&gt;3,$B242&lt;=$D$16),Resumo!$F$11,IF(AND(B242&lt;&gt;"",L242&lt;&gt;$D$17,B242&gt;$D$16),Resumo!$F$11,0))</f>
        <v>25</v>
      </c>
      <c r="K242" s="42">
        <f t="shared" ca="1" si="41"/>
        <v>1734.924178931331</v>
      </c>
      <c r="L242" s="39" t="str">
        <f>IF(B242&lt;&gt;"",VLOOKUP(MONTH(C242),Sheet2!$F$1:$G$12,2,0),"")</f>
        <v>Novembro</v>
      </c>
      <c r="M242" s="200">
        <f t="shared" ca="1" si="47"/>
        <v>0</v>
      </c>
      <c r="N242" s="40">
        <f t="shared" ca="1" si="48"/>
        <v>1650.7773492056592</v>
      </c>
      <c r="O242" s="40">
        <f t="shared" ca="1" si="42"/>
        <v>1734.924178931331</v>
      </c>
      <c r="P242" s="40"/>
      <c r="Q242" s="20">
        <f t="shared" ca="1" si="49"/>
        <v>834.89136490250701</v>
      </c>
      <c r="R242" s="1">
        <f t="shared" si="43"/>
        <v>6708</v>
      </c>
      <c r="S242" s="243">
        <f>IF(AND($K$2&gt;=DATEVALUE("03/04/2020"),$K$2&lt;=DATEVALUE("31/12/2020")),0,IF(Resumo!$C$19="PF",IF(R242&lt;360,0.0082%*R242,3%),IF(R242&lt;360,0.0041%*R242,1.5%)))</f>
        <v>1.4999999999999999E-2</v>
      </c>
      <c r="T242" s="172">
        <f t="shared" ca="1" si="50"/>
        <v>12.523370473537605</v>
      </c>
      <c r="X242" s="20">
        <f t="shared" ca="1" si="51"/>
        <v>1650.7773492056592</v>
      </c>
    </row>
    <row r="243" spans="2:24">
      <c r="B243" s="37">
        <f t="shared" si="44"/>
        <v>221</v>
      </c>
      <c r="C243" s="163">
        <f t="shared" si="45"/>
        <v>51485</v>
      </c>
      <c r="D243" s="38">
        <f t="shared" ca="1" si="39"/>
        <v>842.74931039701278</v>
      </c>
      <c r="E243" s="38">
        <f t="shared" ca="1" si="46"/>
        <v>802.29734349794671</v>
      </c>
      <c r="F243" s="38">
        <f t="shared" ca="1" si="40"/>
        <v>1645.0466538949595</v>
      </c>
      <c r="G243" s="38">
        <f ca="1">IF(B243&lt;=$D$16,G242*(1+$D$13)^((C243-C242)/_xlfn.DAYS(EDATE(C242,1),C242)),G242-D243)+IF(B243&lt;=$D$16,G242*Resumo!$F$12,0)+IF(B243&lt;=$D$16,$D$15*Resumo!$F$13,0)+IF(B243&lt;=$D$16,25,0)-IF(AND($D$16&gt;3,B243&lt;=$D$16),K243,0)</f>
        <v>117142.15414518339</v>
      </c>
      <c r="H243" s="38">
        <f ca="1">IF(AND(B243&lt;&gt;"",L243&lt;&gt;$D$17,$D$16&gt;3),G243*Resumo!$F$12,IF(AND(B243&lt;&gt;"",L243&lt;&gt;$D$17,B243&gt;$D$16),G243*Resumo!$F$12,0))</f>
        <v>24.599852370488513</v>
      </c>
      <c r="I243" s="38">
        <f>IF(AND(B243&lt;&gt;"",L243&lt;&gt;$D$17,$D$16&gt;3,$B243&lt;=$D$16),$D$15*Resumo!$F$13,IF(AND(B243&lt;&gt;"",L243&lt;&gt;$D$17,B243&gt;$D$16),$D$15*Resumo!$F$13,0))</f>
        <v>34.369999999999997</v>
      </c>
      <c r="J243" s="38">
        <f>IF(AND(B243&lt;&gt;"",L243&lt;&gt;$D$17,$D$16&gt;3,$B243&lt;=$D$16),Resumo!$F$11,IF(AND(B243&lt;&gt;"",L243&lt;&gt;$D$17,B243&gt;$D$16),Resumo!$F$11,0))</f>
        <v>25</v>
      </c>
      <c r="K243" s="38">
        <f t="shared" ca="1" si="41"/>
        <v>1729.0165062654478</v>
      </c>
      <c r="L243" s="39" t="str">
        <f>IF(B243&lt;&gt;"",VLOOKUP(MONTH(C243),Sheet2!$F$1:$G$12,2,0),"")</f>
        <v>Dezembro</v>
      </c>
      <c r="M243" s="200">
        <f t="shared" ca="1" si="47"/>
        <v>0</v>
      </c>
      <c r="N243" s="40">
        <f t="shared" ca="1" si="48"/>
        <v>1645.0466538949595</v>
      </c>
      <c r="O243" s="40">
        <f t="shared" ca="1" si="42"/>
        <v>1729.0165062654478</v>
      </c>
      <c r="P243" s="40"/>
      <c r="Q243" s="20">
        <f t="shared" ca="1" si="49"/>
        <v>834.89136490250701</v>
      </c>
      <c r="R243" s="1">
        <f t="shared" si="43"/>
        <v>6738</v>
      </c>
      <c r="S243" s="243">
        <f>IF(AND($K$2&gt;=DATEVALUE("03/04/2020"),$K$2&lt;=DATEVALUE("31/12/2020")),0,IF(Resumo!$C$19="PF",IF(R243&lt;360,0.0082%*R243,3%),IF(R243&lt;360,0.0041%*R243,1.5%)))</f>
        <v>1.4999999999999999E-2</v>
      </c>
      <c r="T243" s="172">
        <f t="shared" ca="1" si="50"/>
        <v>12.523370473537605</v>
      </c>
      <c r="X243" s="20">
        <f t="shared" ca="1" si="51"/>
        <v>1645.0466538949595</v>
      </c>
    </row>
    <row r="244" spans="2:24">
      <c r="B244" s="41">
        <f t="shared" si="44"/>
        <v>222</v>
      </c>
      <c r="C244" s="164">
        <f t="shared" si="45"/>
        <v>51516</v>
      </c>
      <c r="D244" s="42">
        <f t="shared" ca="1" si="39"/>
        <v>842.74931039701278</v>
      </c>
      <c r="E244" s="42">
        <f t="shared" ca="1" si="46"/>
        <v>796.56664818724698</v>
      </c>
      <c r="F244" s="42">
        <f t="shared" ca="1" si="40"/>
        <v>1639.3159585842598</v>
      </c>
      <c r="G244" s="42">
        <f ca="1">IF(B244&lt;=$D$16,G243*(1+$D$13)^((C244-C243)/_xlfn.DAYS(EDATE(C243,1),C243)),G243-D244)+IF(B244&lt;=$D$16,G243*Resumo!$F$12,0)+IF(B244&lt;=$D$16,$D$15*Resumo!$F$13,0)+IF(B244&lt;=$D$16,25,0)-IF(AND($D$16&gt;3,B244&lt;=$D$16),K244,0)</f>
        <v>116299.40483478637</v>
      </c>
      <c r="H244" s="42">
        <f ca="1">IF(AND(B244&lt;&gt;"",L244&lt;&gt;$D$17,$D$16&gt;3),G244*Resumo!$F$12,IF(AND(B244&lt;&gt;"",L244&lt;&gt;$D$17,B244&gt;$D$16),G244*Resumo!$F$12,0))</f>
        <v>24.422875015305138</v>
      </c>
      <c r="I244" s="42">
        <f>IF(AND(B244&lt;&gt;"",L244&lt;&gt;$D$17,$D$16&gt;3,$B244&lt;=$D$16),$D$15*Resumo!$F$13,IF(AND(B244&lt;&gt;"",L244&lt;&gt;$D$17,B244&gt;$D$16),$D$15*Resumo!$F$13,0))</f>
        <v>34.369999999999997</v>
      </c>
      <c r="J244" s="42">
        <f>IF(AND(B244&lt;&gt;"",L244&lt;&gt;$D$17,$D$16&gt;3,$B244&lt;=$D$16),Resumo!$F$11,IF(AND(B244&lt;&gt;"",L244&lt;&gt;$D$17,B244&gt;$D$16),Resumo!$F$11,0))</f>
        <v>25</v>
      </c>
      <c r="K244" s="42">
        <f t="shared" ca="1" si="41"/>
        <v>1723.1088335995648</v>
      </c>
      <c r="L244" s="39" t="str">
        <f>IF(B244&lt;&gt;"",VLOOKUP(MONTH(C244),Sheet2!$F$1:$G$12,2,0),"")</f>
        <v>Janeiro</v>
      </c>
      <c r="M244" s="200">
        <f t="shared" ca="1" si="47"/>
        <v>0</v>
      </c>
      <c r="N244" s="40">
        <f t="shared" ca="1" si="48"/>
        <v>1639.3159585842598</v>
      </c>
      <c r="O244" s="40">
        <f t="shared" ca="1" si="42"/>
        <v>1723.1088335995648</v>
      </c>
      <c r="P244" s="40"/>
      <c r="Q244" s="20">
        <f t="shared" ca="1" si="49"/>
        <v>834.89136490250701</v>
      </c>
      <c r="R244" s="1">
        <f t="shared" si="43"/>
        <v>6769</v>
      </c>
      <c r="S244" s="243">
        <f>IF(AND($K$2&gt;=DATEVALUE("03/04/2020"),$K$2&lt;=DATEVALUE("31/12/2020")),0,IF(Resumo!$C$19="PF",IF(R244&lt;360,0.0082%*R244,3%),IF(R244&lt;360,0.0041%*R244,1.5%)))</f>
        <v>1.4999999999999999E-2</v>
      </c>
      <c r="T244" s="172">
        <f t="shared" ca="1" si="50"/>
        <v>12.523370473537605</v>
      </c>
      <c r="X244" s="20">
        <f t="shared" ca="1" si="51"/>
        <v>1639.3159585842598</v>
      </c>
    </row>
    <row r="245" spans="2:24">
      <c r="B245" s="37">
        <f t="shared" si="44"/>
        <v>223</v>
      </c>
      <c r="C245" s="163">
        <f t="shared" si="45"/>
        <v>51547</v>
      </c>
      <c r="D245" s="38">
        <f t="shared" ca="1" si="39"/>
        <v>842.74931039701278</v>
      </c>
      <c r="E245" s="38">
        <f t="shared" ca="1" si="46"/>
        <v>790.83595287654725</v>
      </c>
      <c r="F245" s="38">
        <f t="shared" ca="1" si="40"/>
        <v>1633.58526327356</v>
      </c>
      <c r="G245" s="38">
        <f ca="1">IF(B245&lt;=$D$16,G244*(1+$D$13)^((C245-C244)/_xlfn.DAYS(EDATE(C244,1),C244)),G244-D245)+IF(B245&lt;=$D$16,G244*Resumo!$F$12,0)+IF(B245&lt;=$D$16,$D$15*Resumo!$F$13,0)+IF(B245&lt;=$D$16,25,0)-IF(AND($D$16&gt;3,B245&lt;=$D$16),K245,0)</f>
        <v>115456.65552438935</v>
      </c>
      <c r="H245" s="38">
        <f ca="1">IF(AND(B245&lt;&gt;"",L245&lt;&gt;$D$17,$D$16&gt;3),G245*Resumo!$F$12,IF(AND(B245&lt;&gt;"",L245&lt;&gt;$D$17,B245&gt;$D$16),G245*Resumo!$F$12,0))</f>
        <v>24.245897660121766</v>
      </c>
      <c r="I245" s="38">
        <f>IF(AND(B245&lt;&gt;"",L245&lt;&gt;$D$17,$D$16&gt;3,$B245&lt;=$D$16),$D$15*Resumo!$F$13,IF(AND(B245&lt;&gt;"",L245&lt;&gt;$D$17,B245&gt;$D$16),$D$15*Resumo!$F$13,0))</f>
        <v>34.369999999999997</v>
      </c>
      <c r="J245" s="38">
        <f>IF(AND(B245&lt;&gt;"",L245&lt;&gt;$D$17,$D$16&gt;3,$B245&lt;=$D$16),Resumo!$F$11,IF(AND(B245&lt;&gt;"",L245&lt;&gt;$D$17,B245&gt;$D$16),Resumo!$F$11,0))</f>
        <v>25</v>
      </c>
      <c r="K245" s="38">
        <f t="shared" ca="1" si="41"/>
        <v>1717.2011609336816</v>
      </c>
      <c r="L245" s="39" t="str">
        <f>IF(B245&lt;&gt;"",VLOOKUP(MONTH(C245),Sheet2!$F$1:$G$12,2,0),"")</f>
        <v>Fevereiro</v>
      </c>
      <c r="M245" s="200">
        <f t="shared" ca="1" si="47"/>
        <v>0</v>
      </c>
      <c r="N245" s="40">
        <f t="shared" ca="1" si="48"/>
        <v>1633.58526327356</v>
      </c>
      <c r="O245" s="40">
        <f t="shared" ca="1" si="42"/>
        <v>1717.2011609336816</v>
      </c>
      <c r="P245" s="40"/>
      <c r="Q245" s="20">
        <f t="shared" ca="1" si="49"/>
        <v>834.89136490250701</v>
      </c>
      <c r="R245" s="1">
        <f t="shared" si="43"/>
        <v>6800</v>
      </c>
      <c r="S245" s="243">
        <f>IF(AND($K$2&gt;=DATEVALUE("03/04/2020"),$K$2&lt;=DATEVALUE("31/12/2020")),0,IF(Resumo!$C$19="PF",IF(R245&lt;360,0.0082%*R245,3%),IF(R245&lt;360,0.0041%*R245,1.5%)))</f>
        <v>1.4999999999999999E-2</v>
      </c>
      <c r="T245" s="172">
        <f t="shared" ca="1" si="50"/>
        <v>12.523370473537605</v>
      </c>
      <c r="X245" s="20">
        <f t="shared" ca="1" si="51"/>
        <v>1633.58526327356</v>
      </c>
    </row>
    <row r="246" spans="2:24">
      <c r="B246" s="41">
        <f t="shared" si="44"/>
        <v>224</v>
      </c>
      <c r="C246" s="164">
        <f t="shared" si="45"/>
        <v>51575</v>
      </c>
      <c r="D246" s="42">
        <f t="shared" ca="1" si="39"/>
        <v>842.74931039701278</v>
      </c>
      <c r="E246" s="42">
        <f t="shared" ca="1" si="46"/>
        <v>785.10525756584752</v>
      </c>
      <c r="F246" s="42">
        <f t="shared" ca="1" si="40"/>
        <v>1627.8545679628603</v>
      </c>
      <c r="G246" s="42">
        <f ca="1">IF(B246&lt;=$D$16,G245*(1+$D$13)^((C246-C245)/_xlfn.DAYS(EDATE(C245,1),C245)),G245-D246)+IF(B246&lt;=$D$16,G245*Resumo!$F$12,0)+IF(B246&lt;=$D$16,$D$15*Resumo!$F$13,0)+IF(B246&lt;=$D$16,25,0)-IF(AND($D$16&gt;3,B246&lt;=$D$16),K246,0)</f>
        <v>114613.90621399233</v>
      </c>
      <c r="H246" s="42">
        <f ca="1">IF(AND(B246&lt;&gt;"",L246&lt;&gt;$D$17,$D$16&gt;3),G246*Resumo!$F$12,IF(AND(B246&lt;&gt;"",L246&lt;&gt;$D$17,B246&gt;$D$16),G246*Resumo!$F$12,0))</f>
        <v>24.068920304938391</v>
      </c>
      <c r="I246" s="42">
        <f>IF(AND(B246&lt;&gt;"",L246&lt;&gt;$D$17,$D$16&gt;3,$B246&lt;=$D$16),$D$15*Resumo!$F$13,IF(AND(B246&lt;&gt;"",L246&lt;&gt;$D$17,B246&gt;$D$16),$D$15*Resumo!$F$13,0))</f>
        <v>34.369999999999997</v>
      </c>
      <c r="J246" s="42">
        <f>IF(AND(B246&lt;&gt;"",L246&lt;&gt;$D$17,$D$16&gt;3,$B246&lt;=$D$16),Resumo!$F$11,IF(AND(B246&lt;&gt;"",L246&lt;&gt;$D$17,B246&gt;$D$16),Resumo!$F$11,0))</f>
        <v>25</v>
      </c>
      <c r="K246" s="42">
        <f t="shared" ca="1" si="41"/>
        <v>1711.2934882677987</v>
      </c>
      <c r="L246" s="39" t="str">
        <f>IF(B246&lt;&gt;"",VLOOKUP(MONTH(C246),Sheet2!$F$1:$G$12,2,0),"")</f>
        <v>Março</v>
      </c>
      <c r="M246" s="200">
        <f t="shared" ca="1" si="47"/>
        <v>0</v>
      </c>
      <c r="N246" s="40">
        <f t="shared" ca="1" si="48"/>
        <v>1627.8545679628603</v>
      </c>
      <c r="O246" s="40">
        <f t="shared" ca="1" si="42"/>
        <v>1711.2934882677987</v>
      </c>
      <c r="P246" s="40"/>
      <c r="Q246" s="20">
        <f t="shared" ca="1" si="49"/>
        <v>834.89136490250701</v>
      </c>
      <c r="R246" s="1">
        <f t="shared" si="43"/>
        <v>6828</v>
      </c>
      <c r="S246" s="243">
        <f>IF(AND($K$2&gt;=DATEVALUE("03/04/2020"),$K$2&lt;=DATEVALUE("31/12/2020")),0,IF(Resumo!$C$19="PF",IF(R246&lt;360,0.0082%*R246,3%),IF(R246&lt;360,0.0041%*R246,1.5%)))</f>
        <v>1.4999999999999999E-2</v>
      </c>
      <c r="T246" s="172">
        <f t="shared" ca="1" si="50"/>
        <v>12.523370473537605</v>
      </c>
      <c r="X246" s="20">
        <f t="shared" ca="1" si="51"/>
        <v>1627.8545679628603</v>
      </c>
    </row>
    <row r="247" spans="2:24">
      <c r="B247" s="37">
        <f t="shared" si="44"/>
        <v>225</v>
      </c>
      <c r="C247" s="163">
        <f t="shared" si="45"/>
        <v>51606</v>
      </c>
      <c r="D247" s="38">
        <f t="shared" ca="1" si="39"/>
        <v>842.74931039701278</v>
      </c>
      <c r="E247" s="38">
        <f t="shared" ca="1" si="46"/>
        <v>779.37456225514779</v>
      </c>
      <c r="F247" s="38">
        <f t="shared" ca="1" si="40"/>
        <v>1622.1238726521606</v>
      </c>
      <c r="G247" s="38">
        <f ca="1">IF(B247&lt;=$D$16,G246*(1+$D$13)^((C247-C246)/_xlfn.DAYS(EDATE(C246,1),C246)),G246-D247)+IF(B247&lt;=$D$16,G246*Resumo!$F$12,0)+IF(B247&lt;=$D$16,$D$15*Resumo!$F$13,0)+IF(B247&lt;=$D$16,25,0)-IF(AND($D$16&gt;3,B247&lt;=$D$16),K247,0)</f>
        <v>113771.15690359531</v>
      </c>
      <c r="H247" s="38">
        <f ca="1">IF(AND(B247&lt;&gt;"",L247&lt;&gt;$D$17,$D$16&gt;3),G247*Resumo!$F$12,IF(AND(B247&lt;&gt;"",L247&lt;&gt;$D$17,B247&gt;$D$16),G247*Resumo!$F$12,0))</f>
        <v>23.891942949755016</v>
      </c>
      <c r="I247" s="38">
        <f>IF(AND(B247&lt;&gt;"",L247&lt;&gt;$D$17,$D$16&gt;3,$B247&lt;=$D$16),$D$15*Resumo!$F$13,IF(AND(B247&lt;&gt;"",L247&lt;&gt;$D$17,B247&gt;$D$16),$D$15*Resumo!$F$13,0))</f>
        <v>34.369999999999997</v>
      </c>
      <c r="J247" s="38">
        <f>IF(AND(B247&lt;&gt;"",L247&lt;&gt;$D$17,$D$16&gt;3,$B247&lt;=$D$16),Resumo!$F$11,IF(AND(B247&lt;&gt;"",L247&lt;&gt;$D$17,B247&gt;$D$16),Resumo!$F$11,0))</f>
        <v>25</v>
      </c>
      <c r="K247" s="38">
        <f t="shared" ca="1" si="41"/>
        <v>1705.3858156019155</v>
      </c>
      <c r="L247" s="39" t="str">
        <f>IF(B247&lt;&gt;"",VLOOKUP(MONTH(C247),Sheet2!$F$1:$G$12,2,0),"")</f>
        <v>Abril</v>
      </c>
      <c r="M247" s="200">
        <f t="shared" ca="1" si="47"/>
        <v>0</v>
      </c>
      <c r="N247" s="40">
        <f t="shared" ca="1" si="48"/>
        <v>1622.1238726521606</v>
      </c>
      <c r="O247" s="40">
        <f t="shared" ca="1" si="42"/>
        <v>1705.3858156019155</v>
      </c>
      <c r="P247" s="40"/>
      <c r="Q247" s="20">
        <f t="shared" ca="1" si="49"/>
        <v>834.89136490250701</v>
      </c>
      <c r="R247" s="1">
        <f t="shared" si="43"/>
        <v>6859</v>
      </c>
      <c r="S247" s="243">
        <f>IF(AND($K$2&gt;=DATEVALUE("03/04/2020"),$K$2&lt;=DATEVALUE("31/12/2020")),0,IF(Resumo!$C$19="PF",IF(R247&lt;360,0.0082%*R247,3%),IF(R247&lt;360,0.0041%*R247,1.5%)))</f>
        <v>1.4999999999999999E-2</v>
      </c>
      <c r="T247" s="172">
        <f t="shared" ca="1" si="50"/>
        <v>12.523370473537605</v>
      </c>
      <c r="X247" s="20">
        <f t="shared" ca="1" si="51"/>
        <v>1622.1238726521606</v>
      </c>
    </row>
    <row r="248" spans="2:24">
      <c r="B248" s="41">
        <f t="shared" si="44"/>
        <v>226</v>
      </c>
      <c r="C248" s="164">
        <f t="shared" si="45"/>
        <v>51636</v>
      </c>
      <c r="D248" s="42">
        <f t="shared" ca="1" si="39"/>
        <v>842.74931039701278</v>
      </c>
      <c r="E248" s="42">
        <f t="shared" ca="1" si="46"/>
        <v>773.64386694444806</v>
      </c>
      <c r="F248" s="42">
        <f t="shared" ca="1" si="40"/>
        <v>1616.3931773414608</v>
      </c>
      <c r="G248" s="42">
        <f ca="1">IF(B248&lt;=$D$16,G247*(1+$D$13)^((C248-C247)/_xlfn.DAYS(EDATE(C247,1),C247)),G247-D248)+IF(B248&lt;=$D$16,G247*Resumo!$F$12,0)+IF(B248&lt;=$D$16,$D$15*Resumo!$F$13,0)+IF(B248&lt;=$D$16,25,0)-IF(AND($D$16&gt;3,B248&lt;=$D$16),K248,0)</f>
        <v>112928.4075931983</v>
      </c>
      <c r="H248" s="42">
        <f ca="1">IF(AND(B248&lt;&gt;"",L248&lt;&gt;$D$17,$D$16&gt;3),G248*Resumo!$F$12,IF(AND(B248&lt;&gt;"",L248&lt;&gt;$D$17,B248&gt;$D$16),G248*Resumo!$F$12,0))</f>
        <v>23.714965594571645</v>
      </c>
      <c r="I248" s="42">
        <f>IF(AND(B248&lt;&gt;"",L248&lt;&gt;$D$17,$D$16&gt;3,$B248&lt;=$D$16),$D$15*Resumo!$F$13,IF(AND(B248&lt;&gt;"",L248&lt;&gt;$D$17,B248&gt;$D$16),$D$15*Resumo!$F$13,0))</f>
        <v>34.369999999999997</v>
      </c>
      <c r="J248" s="42">
        <f>IF(AND(B248&lt;&gt;"",L248&lt;&gt;$D$17,$D$16&gt;3,$B248&lt;=$D$16),Resumo!$F$11,IF(AND(B248&lt;&gt;"",L248&lt;&gt;$D$17,B248&gt;$D$16),Resumo!$F$11,0))</f>
        <v>25</v>
      </c>
      <c r="K248" s="42">
        <f t="shared" ca="1" si="41"/>
        <v>1699.4781429360323</v>
      </c>
      <c r="L248" s="39" t="str">
        <f>IF(B248&lt;&gt;"",VLOOKUP(MONTH(C248),Sheet2!$F$1:$G$12,2,0),"")</f>
        <v>Maio</v>
      </c>
      <c r="M248" s="200">
        <f t="shared" ca="1" si="47"/>
        <v>0</v>
      </c>
      <c r="N248" s="40">
        <f t="shared" ca="1" si="48"/>
        <v>1616.3931773414608</v>
      </c>
      <c r="O248" s="40">
        <f t="shared" ca="1" si="42"/>
        <v>1699.4781429360323</v>
      </c>
      <c r="P248" s="40"/>
      <c r="Q248" s="20">
        <f t="shared" ca="1" si="49"/>
        <v>834.89136490250701</v>
      </c>
      <c r="R248" s="1">
        <f t="shared" si="43"/>
        <v>6889</v>
      </c>
      <c r="S248" s="243">
        <f>IF(AND($K$2&gt;=DATEVALUE("03/04/2020"),$K$2&lt;=DATEVALUE("31/12/2020")),0,IF(Resumo!$C$19="PF",IF(R248&lt;360,0.0082%*R248,3%),IF(R248&lt;360,0.0041%*R248,1.5%)))</f>
        <v>1.4999999999999999E-2</v>
      </c>
      <c r="T248" s="172">
        <f t="shared" ca="1" si="50"/>
        <v>12.523370473537605</v>
      </c>
      <c r="X248" s="20">
        <f t="shared" ca="1" si="51"/>
        <v>1616.3931773414608</v>
      </c>
    </row>
    <row r="249" spans="2:24">
      <c r="B249" s="37">
        <f t="shared" si="44"/>
        <v>227</v>
      </c>
      <c r="C249" s="163">
        <f t="shared" si="45"/>
        <v>51667</v>
      </c>
      <c r="D249" s="38">
        <f t="shared" ca="1" si="39"/>
        <v>842.74931039701278</v>
      </c>
      <c r="E249" s="38">
        <f t="shared" ca="1" si="46"/>
        <v>767.91317163374833</v>
      </c>
      <c r="F249" s="38">
        <f t="shared" ca="1" si="40"/>
        <v>1610.6624820307611</v>
      </c>
      <c r="G249" s="38">
        <f ca="1">IF(B249&lt;=$D$16,G248*(1+$D$13)^((C249-C248)/_xlfn.DAYS(EDATE(C248,1),C248)),G248-D249)+IF(B249&lt;=$D$16,G248*Resumo!$F$12,0)+IF(B249&lt;=$D$16,$D$15*Resumo!$F$13,0)+IF(B249&lt;=$D$16,25,0)-IF(AND($D$16&gt;3,B249&lt;=$D$16),K249,0)</f>
        <v>112085.65828280128</v>
      </c>
      <c r="H249" s="38">
        <f ca="1">IF(AND(B249&lt;&gt;"",L249&lt;&gt;$D$17,$D$16&gt;3),G249*Resumo!$F$12,IF(AND(B249&lt;&gt;"",L249&lt;&gt;$D$17,B249&gt;$D$16),G249*Resumo!$F$12,0))</f>
        <v>23.53798823938827</v>
      </c>
      <c r="I249" s="38">
        <f>IF(AND(B249&lt;&gt;"",L249&lt;&gt;$D$17,$D$16&gt;3,$B249&lt;=$D$16),$D$15*Resumo!$F$13,IF(AND(B249&lt;&gt;"",L249&lt;&gt;$D$17,B249&gt;$D$16),$D$15*Resumo!$F$13,0))</f>
        <v>34.369999999999997</v>
      </c>
      <c r="J249" s="38">
        <f>IF(AND(B249&lt;&gt;"",L249&lt;&gt;$D$17,$D$16&gt;3,$B249&lt;=$D$16),Resumo!$F$11,IF(AND(B249&lt;&gt;"",L249&lt;&gt;$D$17,B249&gt;$D$16),Resumo!$F$11,0))</f>
        <v>25</v>
      </c>
      <c r="K249" s="38">
        <f t="shared" ca="1" si="41"/>
        <v>1693.5704702701494</v>
      </c>
      <c r="L249" s="39" t="str">
        <f>IF(B249&lt;&gt;"",VLOOKUP(MONTH(C249),Sheet2!$F$1:$G$12,2,0),"")</f>
        <v>Junho</v>
      </c>
      <c r="M249" s="200">
        <f t="shared" ca="1" si="47"/>
        <v>0</v>
      </c>
      <c r="N249" s="40">
        <f t="shared" ca="1" si="48"/>
        <v>1610.6624820307611</v>
      </c>
      <c r="O249" s="40">
        <f t="shared" ca="1" si="42"/>
        <v>1693.5704702701494</v>
      </c>
      <c r="P249" s="40"/>
      <c r="Q249" s="20">
        <f t="shared" ca="1" si="49"/>
        <v>834.89136490250701</v>
      </c>
      <c r="R249" s="1">
        <f t="shared" si="43"/>
        <v>6920</v>
      </c>
      <c r="S249" s="243">
        <f>IF(AND($K$2&gt;=DATEVALUE("03/04/2020"),$K$2&lt;=DATEVALUE("31/12/2020")),0,IF(Resumo!$C$19="PF",IF(R249&lt;360,0.0082%*R249,3%),IF(R249&lt;360,0.0041%*R249,1.5%)))</f>
        <v>1.4999999999999999E-2</v>
      </c>
      <c r="T249" s="172">
        <f t="shared" ca="1" si="50"/>
        <v>12.523370473537605</v>
      </c>
      <c r="X249" s="20">
        <f t="shared" ca="1" si="51"/>
        <v>1610.6624820307611</v>
      </c>
    </row>
    <row r="250" spans="2:24">
      <c r="B250" s="41">
        <f t="shared" si="44"/>
        <v>228</v>
      </c>
      <c r="C250" s="164">
        <f t="shared" si="45"/>
        <v>51697</v>
      </c>
      <c r="D250" s="42">
        <f t="shared" ca="1" si="39"/>
        <v>842.74931039701278</v>
      </c>
      <c r="E250" s="42">
        <f t="shared" ca="1" si="46"/>
        <v>762.1824763230486</v>
      </c>
      <c r="F250" s="42">
        <f t="shared" ca="1" si="40"/>
        <v>1604.9317867200614</v>
      </c>
      <c r="G250" s="42">
        <f ca="1">IF(B250&lt;=$D$16,G249*(1+$D$13)^((C250-C249)/_xlfn.DAYS(EDATE(C249,1),C249)),G249-D250)+IF(B250&lt;=$D$16,G249*Resumo!$F$12,0)+IF(B250&lt;=$D$16,$D$15*Resumo!$F$13,0)+IF(B250&lt;=$D$16,25,0)-IF(AND($D$16&gt;3,B250&lt;=$D$16),K250,0)</f>
        <v>111242.90897240426</v>
      </c>
      <c r="H250" s="42">
        <f ca="1">IF(AND(B250&lt;&gt;"",L250&lt;&gt;$D$17,$D$16&gt;3),G250*Resumo!$F$12,IF(AND(B250&lt;&gt;"",L250&lt;&gt;$D$17,B250&gt;$D$16),G250*Resumo!$F$12,0))</f>
        <v>23.361010884204894</v>
      </c>
      <c r="I250" s="42">
        <f>IF(AND(B250&lt;&gt;"",L250&lt;&gt;$D$17,$D$16&gt;3,$B250&lt;=$D$16),$D$15*Resumo!$F$13,IF(AND(B250&lt;&gt;"",L250&lt;&gt;$D$17,B250&gt;$D$16),$D$15*Resumo!$F$13,0))</f>
        <v>34.369999999999997</v>
      </c>
      <c r="J250" s="42">
        <f>IF(AND(B250&lt;&gt;"",L250&lt;&gt;$D$17,$D$16&gt;3,$B250&lt;=$D$16),Resumo!$F$11,IF(AND(B250&lt;&gt;"",L250&lt;&gt;$D$17,B250&gt;$D$16),Resumo!$F$11,0))</f>
        <v>25</v>
      </c>
      <c r="K250" s="42">
        <f t="shared" ca="1" si="41"/>
        <v>1687.6627976042662</v>
      </c>
      <c r="L250" s="39" t="str">
        <f>IF(B250&lt;&gt;"",VLOOKUP(MONTH(C250),Sheet2!$F$1:$G$12,2,0),"")</f>
        <v>Julho</v>
      </c>
      <c r="M250" s="200">
        <f t="shared" ca="1" si="47"/>
        <v>0</v>
      </c>
      <c r="N250" s="40">
        <f t="shared" ca="1" si="48"/>
        <v>1604.9317867200614</v>
      </c>
      <c r="O250" s="40">
        <f t="shared" ca="1" si="42"/>
        <v>1687.6627976042662</v>
      </c>
      <c r="P250" s="40"/>
      <c r="Q250" s="20">
        <f t="shared" ca="1" si="49"/>
        <v>834.89136490250701</v>
      </c>
      <c r="R250" s="1">
        <f t="shared" si="43"/>
        <v>6950</v>
      </c>
      <c r="S250" s="243">
        <f>IF(AND($K$2&gt;=DATEVALUE("03/04/2020"),$K$2&lt;=DATEVALUE("31/12/2020")),0,IF(Resumo!$C$19="PF",IF(R250&lt;360,0.0082%*R250,3%),IF(R250&lt;360,0.0041%*R250,1.5%)))</f>
        <v>1.4999999999999999E-2</v>
      </c>
      <c r="T250" s="172">
        <f t="shared" ca="1" si="50"/>
        <v>12.523370473537605</v>
      </c>
      <c r="X250" s="20">
        <f t="shared" ca="1" si="51"/>
        <v>1604.9317867200614</v>
      </c>
    </row>
    <row r="251" spans="2:24">
      <c r="B251" s="37">
        <f t="shared" si="44"/>
        <v>229</v>
      </c>
      <c r="C251" s="163">
        <f t="shared" si="45"/>
        <v>51728</v>
      </c>
      <c r="D251" s="38">
        <f t="shared" ca="1" si="39"/>
        <v>842.74931039701278</v>
      </c>
      <c r="E251" s="38">
        <f t="shared" ca="1" si="46"/>
        <v>756.45178101234887</v>
      </c>
      <c r="F251" s="38">
        <f t="shared" ca="1" si="40"/>
        <v>1599.2010914093617</v>
      </c>
      <c r="G251" s="38">
        <f ca="1">IF(B251&lt;=$D$16,G250*(1+$D$13)^((C251-C250)/_xlfn.DAYS(EDATE(C250,1),C250)),G250-D251)+IF(B251&lt;=$D$16,G250*Resumo!$F$12,0)+IF(B251&lt;=$D$16,$D$15*Resumo!$F$13,0)+IF(B251&lt;=$D$16,25,0)-IF(AND($D$16&gt;3,B251&lt;=$D$16),K251,0)</f>
        <v>110400.15966200724</v>
      </c>
      <c r="H251" s="38">
        <f ca="1">IF(AND(B251&lt;&gt;"",L251&lt;&gt;$D$17,$D$16&gt;3),G251*Resumo!$F$12,IF(AND(B251&lt;&gt;"",L251&lt;&gt;$D$17,B251&gt;$D$16),G251*Resumo!$F$12,0))</f>
        <v>23.184033529021519</v>
      </c>
      <c r="I251" s="38">
        <f>IF(AND(B251&lt;&gt;"",L251&lt;&gt;$D$17,$D$16&gt;3,$B251&lt;=$D$16),$D$15*Resumo!$F$13,IF(AND(B251&lt;&gt;"",L251&lt;&gt;$D$17,B251&gt;$D$16),$D$15*Resumo!$F$13,0))</f>
        <v>34.369999999999997</v>
      </c>
      <c r="J251" s="38">
        <f>IF(AND(B251&lt;&gt;"",L251&lt;&gt;$D$17,$D$16&gt;3,$B251&lt;=$D$16),Resumo!$F$11,IF(AND(B251&lt;&gt;"",L251&lt;&gt;$D$17,B251&gt;$D$16),Resumo!$F$11,0))</f>
        <v>25</v>
      </c>
      <c r="K251" s="38">
        <f t="shared" ca="1" si="41"/>
        <v>1681.755124938383</v>
      </c>
      <c r="L251" s="39" t="str">
        <f>IF(B251&lt;&gt;"",VLOOKUP(MONTH(C251),Sheet2!$F$1:$G$12,2,0),"")</f>
        <v>Agosto</v>
      </c>
      <c r="M251" s="200">
        <f t="shared" ca="1" si="47"/>
        <v>0</v>
      </c>
      <c r="N251" s="40">
        <f t="shared" ca="1" si="48"/>
        <v>1599.2010914093617</v>
      </c>
      <c r="O251" s="40">
        <f t="shared" ca="1" si="42"/>
        <v>1681.755124938383</v>
      </c>
      <c r="P251" s="40"/>
      <c r="Q251" s="20">
        <f t="shared" ca="1" si="49"/>
        <v>834.89136490250701</v>
      </c>
      <c r="R251" s="1">
        <f t="shared" si="43"/>
        <v>6981</v>
      </c>
      <c r="S251" s="243">
        <f>IF(AND($K$2&gt;=DATEVALUE("03/04/2020"),$K$2&lt;=DATEVALUE("31/12/2020")),0,IF(Resumo!$C$19="PF",IF(R251&lt;360,0.0082%*R251,3%),IF(R251&lt;360,0.0041%*R251,1.5%)))</f>
        <v>1.4999999999999999E-2</v>
      </c>
      <c r="T251" s="172">
        <f t="shared" ca="1" si="50"/>
        <v>12.523370473537605</v>
      </c>
      <c r="X251" s="20">
        <f t="shared" ca="1" si="51"/>
        <v>1599.2010914093617</v>
      </c>
    </row>
    <row r="252" spans="2:24">
      <c r="B252" s="41">
        <f t="shared" si="44"/>
        <v>230</v>
      </c>
      <c r="C252" s="164">
        <f t="shared" si="45"/>
        <v>51759</v>
      </c>
      <c r="D252" s="42">
        <f t="shared" ca="1" si="39"/>
        <v>842.74931039701278</v>
      </c>
      <c r="E252" s="42">
        <f t="shared" ca="1" si="46"/>
        <v>750.72108570164914</v>
      </c>
      <c r="F252" s="42">
        <f t="shared" ca="1" si="40"/>
        <v>1593.4703960986619</v>
      </c>
      <c r="G252" s="42">
        <f ca="1">IF(B252&lt;=$D$16,G251*(1+$D$13)^((C252-C251)/_xlfn.DAYS(EDATE(C251,1),C251)),G251-D252)+IF(B252&lt;=$D$16,G251*Resumo!$F$12,0)+IF(B252&lt;=$D$16,$D$15*Resumo!$F$13,0)+IF(B252&lt;=$D$16,25,0)-IF(AND($D$16&gt;3,B252&lt;=$D$16),K252,0)</f>
        <v>109557.41035161022</v>
      </c>
      <c r="H252" s="42">
        <f ca="1">IF(AND(B252&lt;&gt;"",L252&lt;&gt;$D$17,$D$16&gt;3),G252*Resumo!$F$12,IF(AND(B252&lt;&gt;"",L252&lt;&gt;$D$17,B252&gt;$D$16),G252*Resumo!$F$12,0))</f>
        <v>23.007056173838148</v>
      </c>
      <c r="I252" s="42">
        <f>IF(AND(B252&lt;&gt;"",L252&lt;&gt;$D$17,$D$16&gt;3,$B252&lt;=$D$16),$D$15*Resumo!$F$13,IF(AND(B252&lt;&gt;"",L252&lt;&gt;$D$17,B252&gt;$D$16),$D$15*Resumo!$F$13,0))</f>
        <v>34.369999999999997</v>
      </c>
      <c r="J252" s="42">
        <f>IF(AND(B252&lt;&gt;"",L252&lt;&gt;$D$17,$D$16&gt;3,$B252&lt;=$D$16),Resumo!$F$11,IF(AND(B252&lt;&gt;"",L252&lt;&gt;$D$17,B252&gt;$D$16),Resumo!$F$11,0))</f>
        <v>25</v>
      </c>
      <c r="K252" s="42">
        <f t="shared" ca="1" si="41"/>
        <v>1675.8474522725</v>
      </c>
      <c r="L252" s="39" t="str">
        <f>IF(B252&lt;&gt;"",VLOOKUP(MONTH(C252),Sheet2!$F$1:$G$12,2,0),"")</f>
        <v>Setembro</v>
      </c>
      <c r="M252" s="200">
        <f t="shared" ca="1" si="47"/>
        <v>0</v>
      </c>
      <c r="N252" s="40">
        <f t="shared" ca="1" si="48"/>
        <v>1593.4703960986619</v>
      </c>
      <c r="O252" s="40">
        <f t="shared" ca="1" si="42"/>
        <v>1675.8474522725</v>
      </c>
      <c r="P252" s="40"/>
      <c r="Q252" s="20">
        <f t="shared" ca="1" si="49"/>
        <v>834.89136490250701</v>
      </c>
      <c r="R252" s="1">
        <f t="shared" si="43"/>
        <v>7012</v>
      </c>
      <c r="S252" s="243">
        <f>IF(AND($K$2&gt;=DATEVALUE("03/04/2020"),$K$2&lt;=DATEVALUE("31/12/2020")),0,IF(Resumo!$C$19="PF",IF(R252&lt;360,0.0082%*R252,3%),IF(R252&lt;360,0.0041%*R252,1.5%)))</f>
        <v>1.4999999999999999E-2</v>
      </c>
      <c r="T252" s="172">
        <f t="shared" ca="1" si="50"/>
        <v>12.523370473537605</v>
      </c>
      <c r="X252" s="20">
        <f t="shared" ca="1" si="51"/>
        <v>1593.4703960986619</v>
      </c>
    </row>
    <row r="253" spans="2:24">
      <c r="B253" s="37">
        <f t="shared" si="44"/>
        <v>231</v>
      </c>
      <c r="C253" s="163">
        <f t="shared" si="45"/>
        <v>51789</v>
      </c>
      <c r="D253" s="38">
        <f t="shared" ca="1" si="39"/>
        <v>842.74931039701278</v>
      </c>
      <c r="E253" s="38">
        <f t="shared" ca="1" si="46"/>
        <v>744.99039039094941</v>
      </c>
      <c r="F253" s="38">
        <f t="shared" ca="1" si="40"/>
        <v>1587.7397007879622</v>
      </c>
      <c r="G253" s="38">
        <f ca="1">IF(B253&lt;=$D$16,G252*(1+$D$13)^((C253-C252)/_xlfn.DAYS(EDATE(C252,1),C252)),G252-D253)+IF(B253&lt;=$D$16,G252*Resumo!$F$12,0)+IF(B253&lt;=$D$16,$D$15*Resumo!$F$13,0)+IF(B253&lt;=$D$16,25,0)-IF(AND($D$16&gt;3,B253&lt;=$D$16),K253,0)</f>
        <v>108714.6610412132</v>
      </c>
      <c r="H253" s="38">
        <f ca="1">IF(AND(B253&lt;&gt;"",L253&lt;&gt;$D$17,$D$16&gt;3),G253*Resumo!$F$12,IF(AND(B253&lt;&gt;"",L253&lt;&gt;$D$17,B253&gt;$D$16),G253*Resumo!$F$12,0))</f>
        <v>22.830078818654773</v>
      </c>
      <c r="I253" s="38">
        <f>IF(AND(B253&lt;&gt;"",L253&lt;&gt;$D$17,$D$16&gt;3,$B253&lt;=$D$16),$D$15*Resumo!$F$13,IF(AND(B253&lt;&gt;"",L253&lt;&gt;$D$17,B253&gt;$D$16),$D$15*Resumo!$F$13,0))</f>
        <v>34.369999999999997</v>
      </c>
      <c r="J253" s="38">
        <f>IF(AND(B253&lt;&gt;"",L253&lt;&gt;$D$17,$D$16&gt;3,$B253&lt;=$D$16),Resumo!$F$11,IF(AND(B253&lt;&gt;"",L253&lt;&gt;$D$17,B253&gt;$D$16),Resumo!$F$11,0))</f>
        <v>25</v>
      </c>
      <c r="K253" s="38">
        <f t="shared" ca="1" si="41"/>
        <v>1669.9397796066169</v>
      </c>
      <c r="L253" s="39" t="str">
        <f>IF(B253&lt;&gt;"",VLOOKUP(MONTH(C253),Sheet2!$F$1:$G$12,2,0),"")</f>
        <v>Outubro</v>
      </c>
      <c r="M253" s="200">
        <f t="shared" ca="1" si="47"/>
        <v>0</v>
      </c>
      <c r="N253" s="40">
        <f t="shared" ca="1" si="48"/>
        <v>1587.7397007879622</v>
      </c>
      <c r="O253" s="40">
        <f t="shared" ca="1" si="42"/>
        <v>1669.9397796066169</v>
      </c>
      <c r="P253" s="40"/>
      <c r="Q253" s="20">
        <f t="shared" ca="1" si="49"/>
        <v>834.89136490250701</v>
      </c>
      <c r="R253" s="1">
        <f t="shared" si="43"/>
        <v>7042</v>
      </c>
      <c r="S253" s="243">
        <f>IF(AND($K$2&gt;=DATEVALUE("03/04/2020"),$K$2&lt;=DATEVALUE("31/12/2020")),0,IF(Resumo!$C$19="PF",IF(R253&lt;360,0.0082%*R253,3%),IF(R253&lt;360,0.0041%*R253,1.5%)))</f>
        <v>1.4999999999999999E-2</v>
      </c>
      <c r="T253" s="172">
        <f t="shared" ca="1" si="50"/>
        <v>12.523370473537605</v>
      </c>
      <c r="X253" s="20">
        <f t="shared" ca="1" si="51"/>
        <v>1587.7397007879622</v>
      </c>
    </row>
    <row r="254" spans="2:24">
      <c r="B254" s="41">
        <f t="shared" si="44"/>
        <v>232</v>
      </c>
      <c r="C254" s="164">
        <f t="shared" si="45"/>
        <v>51820</v>
      </c>
      <c r="D254" s="42">
        <f t="shared" ca="1" si="39"/>
        <v>842.74931039701278</v>
      </c>
      <c r="E254" s="42">
        <f t="shared" ca="1" si="46"/>
        <v>739.25969508024968</v>
      </c>
      <c r="F254" s="42">
        <f t="shared" ca="1" si="40"/>
        <v>1582.0090054772625</v>
      </c>
      <c r="G254" s="42">
        <f ca="1">IF(B254&lt;=$D$16,G253*(1+$D$13)^((C254-C253)/_xlfn.DAYS(EDATE(C253,1),C253)),G253-D254)+IF(B254&lt;=$D$16,G253*Resumo!$F$12,0)+IF(B254&lt;=$D$16,$D$15*Resumo!$F$13,0)+IF(B254&lt;=$D$16,25,0)-IF(AND($D$16&gt;3,B254&lt;=$D$16),K254,0)</f>
        <v>107871.91173081618</v>
      </c>
      <c r="H254" s="42">
        <f ca="1">IF(AND(B254&lt;&gt;"",L254&lt;&gt;$D$17,$D$16&gt;3),G254*Resumo!$F$12,IF(AND(B254&lt;&gt;"",L254&lt;&gt;$D$17,B254&gt;$D$16),G254*Resumo!$F$12,0))</f>
        <v>22.653101463471398</v>
      </c>
      <c r="I254" s="42">
        <f>IF(AND(B254&lt;&gt;"",L254&lt;&gt;$D$17,$D$16&gt;3,$B254&lt;=$D$16),$D$15*Resumo!$F$13,IF(AND(B254&lt;&gt;"",L254&lt;&gt;$D$17,B254&gt;$D$16),$D$15*Resumo!$F$13,0))</f>
        <v>34.369999999999997</v>
      </c>
      <c r="J254" s="42">
        <f>IF(AND(B254&lt;&gt;"",L254&lt;&gt;$D$17,$D$16&gt;3,$B254&lt;=$D$16),Resumo!$F$11,IF(AND(B254&lt;&gt;"",L254&lt;&gt;$D$17,B254&gt;$D$16),Resumo!$F$11,0))</f>
        <v>25</v>
      </c>
      <c r="K254" s="42">
        <f t="shared" ca="1" si="41"/>
        <v>1664.0321069407337</v>
      </c>
      <c r="L254" s="39" t="str">
        <f>IF(B254&lt;&gt;"",VLOOKUP(MONTH(C254),Sheet2!$F$1:$G$12,2,0),"")</f>
        <v>Novembro</v>
      </c>
      <c r="M254" s="200">
        <f t="shared" ca="1" si="47"/>
        <v>0</v>
      </c>
      <c r="N254" s="40">
        <f t="shared" ca="1" si="48"/>
        <v>1582.0090054772625</v>
      </c>
      <c r="O254" s="40">
        <f t="shared" ca="1" si="42"/>
        <v>1664.0321069407337</v>
      </c>
      <c r="P254" s="40"/>
      <c r="Q254" s="20">
        <f t="shared" ca="1" si="49"/>
        <v>834.89136490250701</v>
      </c>
      <c r="R254" s="1">
        <f t="shared" si="43"/>
        <v>7073</v>
      </c>
      <c r="S254" s="243">
        <f>IF(AND($K$2&gt;=DATEVALUE("03/04/2020"),$K$2&lt;=DATEVALUE("31/12/2020")),0,IF(Resumo!$C$19="PF",IF(R254&lt;360,0.0082%*R254,3%),IF(R254&lt;360,0.0041%*R254,1.5%)))</f>
        <v>1.4999999999999999E-2</v>
      </c>
      <c r="T254" s="172">
        <f t="shared" ca="1" si="50"/>
        <v>12.523370473537605</v>
      </c>
      <c r="X254" s="20">
        <f t="shared" ca="1" si="51"/>
        <v>1582.0090054772625</v>
      </c>
    </row>
    <row r="255" spans="2:24">
      <c r="B255" s="37">
        <f t="shared" si="44"/>
        <v>233</v>
      </c>
      <c r="C255" s="163">
        <f t="shared" si="45"/>
        <v>51850</v>
      </c>
      <c r="D255" s="38">
        <f t="shared" ca="1" si="39"/>
        <v>842.74931039701278</v>
      </c>
      <c r="E255" s="38">
        <f t="shared" ca="1" si="46"/>
        <v>733.52899976954996</v>
      </c>
      <c r="F255" s="38">
        <f t="shared" ca="1" si="40"/>
        <v>1576.2783101665627</v>
      </c>
      <c r="G255" s="38">
        <f ca="1">IF(B255&lt;=$D$16,G254*(1+$D$13)^((C255-C254)/_xlfn.DAYS(EDATE(C254,1),C254)),G254-D255)+IF(B255&lt;=$D$16,G254*Resumo!$F$12,0)+IF(B255&lt;=$D$16,$D$15*Resumo!$F$13,0)+IF(B255&lt;=$D$16,25,0)-IF(AND($D$16&gt;3,B255&lt;=$D$16),K255,0)</f>
        <v>107029.16242041916</v>
      </c>
      <c r="H255" s="38">
        <f ca="1">IF(AND(B255&lt;&gt;"",L255&lt;&gt;$D$17,$D$16&gt;3),G255*Resumo!$F$12,IF(AND(B255&lt;&gt;"",L255&lt;&gt;$D$17,B255&gt;$D$16),G255*Resumo!$F$12,0))</f>
        <v>22.476124108288026</v>
      </c>
      <c r="I255" s="38">
        <f>IF(AND(B255&lt;&gt;"",L255&lt;&gt;$D$17,$D$16&gt;3,$B255&lt;=$D$16),$D$15*Resumo!$F$13,IF(AND(B255&lt;&gt;"",L255&lt;&gt;$D$17,B255&gt;$D$16),$D$15*Resumo!$F$13,0))</f>
        <v>34.369999999999997</v>
      </c>
      <c r="J255" s="38">
        <f>IF(AND(B255&lt;&gt;"",L255&lt;&gt;$D$17,$D$16&gt;3,$B255&lt;=$D$16),Resumo!$F$11,IF(AND(B255&lt;&gt;"",L255&lt;&gt;$D$17,B255&gt;$D$16),Resumo!$F$11,0))</f>
        <v>25</v>
      </c>
      <c r="K255" s="38">
        <f t="shared" ca="1" si="41"/>
        <v>1658.1244342748507</v>
      </c>
      <c r="L255" s="39" t="str">
        <f>IF(B255&lt;&gt;"",VLOOKUP(MONTH(C255),Sheet2!$F$1:$G$12,2,0),"")</f>
        <v>Dezembro</v>
      </c>
      <c r="M255" s="200">
        <f t="shared" ca="1" si="47"/>
        <v>0</v>
      </c>
      <c r="N255" s="40">
        <f t="shared" ca="1" si="48"/>
        <v>1576.2783101665627</v>
      </c>
      <c r="O255" s="40">
        <f t="shared" ca="1" si="42"/>
        <v>1658.1244342748507</v>
      </c>
      <c r="P255" s="40"/>
      <c r="Q255" s="20">
        <f t="shared" ca="1" si="49"/>
        <v>834.89136490250701</v>
      </c>
      <c r="R255" s="1">
        <f t="shared" si="43"/>
        <v>7103</v>
      </c>
      <c r="S255" s="243">
        <f>IF(AND($K$2&gt;=DATEVALUE("03/04/2020"),$K$2&lt;=DATEVALUE("31/12/2020")),0,IF(Resumo!$C$19="PF",IF(R255&lt;360,0.0082%*R255,3%),IF(R255&lt;360,0.0041%*R255,1.5%)))</f>
        <v>1.4999999999999999E-2</v>
      </c>
      <c r="T255" s="172">
        <f t="shared" ca="1" si="50"/>
        <v>12.523370473537605</v>
      </c>
      <c r="X255" s="20">
        <f t="shared" ca="1" si="51"/>
        <v>1576.2783101665627</v>
      </c>
    </row>
    <row r="256" spans="2:24">
      <c r="B256" s="41">
        <f t="shared" si="44"/>
        <v>234</v>
      </c>
      <c r="C256" s="164">
        <f t="shared" si="45"/>
        <v>51881</v>
      </c>
      <c r="D256" s="42">
        <f t="shared" ca="1" si="39"/>
        <v>842.74931039701278</v>
      </c>
      <c r="E256" s="42">
        <f t="shared" ca="1" si="46"/>
        <v>727.79830445885023</v>
      </c>
      <c r="F256" s="42">
        <f t="shared" ca="1" si="40"/>
        <v>1570.547614855863</v>
      </c>
      <c r="G256" s="42">
        <f ca="1">IF(B256&lt;=$D$16,G255*(1+$D$13)^((C256-C255)/_xlfn.DAYS(EDATE(C255,1),C255)),G255-D256)+IF(B256&lt;=$D$16,G255*Resumo!$F$12,0)+IF(B256&lt;=$D$16,$D$15*Resumo!$F$13,0)+IF(B256&lt;=$D$16,25,0)-IF(AND($D$16&gt;3,B256&lt;=$D$16),K256,0)</f>
        <v>106186.41311002214</v>
      </c>
      <c r="H256" s="42">
        <f ca="1">IF(AND(B256&lt;&gt;"",L256&lt;&gt;$D$17,$D$16&gt;3),G256*Resumo!$F$12,IF(AND(B256&lt;&gt;"",L256&lt;&gt;$D$17,B256&gt;$D$16),G256*Resumo!$F$12,0))</f>
        <v>22.299146753104651</v>
      </c>
      <c r="I256" s="42">
        <f>IF(AND(B256&lt;&gt;"",L256&lt;&gt;$D$17,$D$16&gt;3,$B256&lt;=$D$16),$D$15*Resumo!$F$13,IF(AND(B256&lt;&gt;"",L256&lt;&gt;$D$17,B256&gt;$D$16),$D$15*Resumo!$F$13,0))</f>
        <v>34.369999999999997</v>
      </c>
      <c r="J256" s="42">
        <f>IF(AND(B256&lt;&gt;"",L256&lt;&gt;$D$17,$D$16&gt;3,$B256&lt;=$D$16),Resumo!$F$11,IF(AND(B256&lt;&gt;"",L256&lt;&gt;$D$17,B256&gt;$D$16),Resumo!$F$11,0))</f>
        <v>25</v>
      </c>
      <c r="K256" s="42">
        <f t="shared" ca="1" si="41"/>
        <v>1652.2167616089675</v>
      </c>
      <c r="L256" s="39" t="str">
        <f>IF(B256&lt;&gt;"",VLOOKUP(MONTH(C256),Sheet2!$F$1:$G$12,2,0),"")</f>
        <v>Janeiro</v>
      </c>
      <c r="M256" s="200">
        <f t="shared" ca="1" si="47"/>
        <v>0</v>
      </c>
      <c r="N256" s="40">
        <f t="shared" ca="1" si="48"/>
        <v>1570.547614855863</v>
      </c>
      <c r="O256" s="40">
        <f t="shared" ca="1" si="42"/>
        <v>1652.2167616089675</v>
      </c>
      <c r="P256" s="40"/>
      <c r="Q256" s="20">
        <f t="shared" ca="1" si="49"/>
        <v>834.89136490250701</v>
      </c>
      <c r="R256" s="1">
        <f t="shared" si="43"/>
        <v>7134</v>
      </c>
      <c r="S256" s="243">
        <f>IF(AND($K$2&gt;=DATEVALUE("03/04/2020"),$K$2&lt;=DATEVALUE("31/12/2020")),0,IF(Resumo!$C$19="PF",IF(R256&lt;360,0.0082%*R256,3%),IF(R256&lt;360,0.0041%*R256,1.5%)))</f>
        <v>1.4999999999999999E-2</v>
      </c>
      <c r="T256" s="172">
        <f t="shared" ca="1" si="50"/>
        <v>12.523370473537605</v>
      </c>
      <c r="X256" s="20">
        <f t="shared" ca="1" si="51"/>
        <v>1570.547614855863</v>
      </c>
    </row>
    <row r="257" spans="2:24">
      <c r="B257" s="37">
        <f t="shared" si="44"/>
        <v>235</v>
      </c>
      <c r="C257" s="163">
        <f t="shared" si="45"/>
        <v>51912</v>
      </c>
      <c r="D257" s="38">
        <f t="shared" ca="1" si="39"/>
        <v>842.74931039701278</v>
      </c>
      <c r="E257" s="38">
        <f t="shared" ca="1" si="46"/>
        <v>722.0676091481505</v>
      </c>
      <c r="F257" s="38">
        <f t="shared" ca="1" si="40"/>
        <v>1564.8169195451633</v>
      </c>
      <c r="G257" s="38">
        <f ca="1">IF(B257&lt;=$D$16,G256*(1+$D$13)^((C257-C256)/_xlfn.DAYS(EDATE(C256,1),C256)),G256-D257)+IF(B257&lt;=$D$16,G256*Resumo!$F$12,0)+IF(B257&lt;=$D$16,$D$15*Resumo!$F$13,0)+IF(B257&lt;=$D$16,25,0)-IF(AND($D$16&gt;3,B257&lt;=$D$16),K257,0)</f>
        <v>105343.66379962512</v>
      </c>
      <c r="H257" s="38">
        <f ca="1">IF(AND(B257&lt;&gt;"",L257&lt;&gt;$D$17,$D$16&gt;3),G257*Resumo!$F$12,IF(AND(B257&lt;&gt;"",L257&lt;&gt;$D$17,B257&gt;$D$16),G257*Resumo!$F$12,0))</f>
        <v>22.122169397921276</v>
      </c>
      <c r="I257" s="38">
        <f>IF(AND(B257&lt;&gt;"",L257&lt;&gt;$D$17,$D$16&gt;3,$B257&lt;=$D$16),$D$15*Resumo!$F$13,IF(AND(B257&lt;&gt;"",L257&lt;&gt;$D$17,B257&gt;$D$16),$D$15*Resumo!$F$13,0))</f>
        <v>34.369999999999997</v>
      </c>
      <c r="J257" s="38">
        <f>IF(AND(B257&lt;&gt;"",L257&lt;&gt;$D$17,$D$16&gt;3,$B257&lt;=$D$16),Resumo!$F$11,IF(AND(B257&lt;&gt;"",L257&lt;&gt;$D$17,B257&gt;$D$16),Resumo!$F$11,0))</f>
        <v>25</v>
      </c>
      <c r="K257" s="38">
        <f t="shared" ca="1" si="41"/>
        <v>1646.3090889430844</v>
      </c>
      <c r="L257" s="39" t="str">
        <f>IF(B257&lt;&gt;"",VLOOKUP(MONTH(C257),Sheet2!$F$1:$G$12,2,0),"")</f>
        <v>Fevereiro</v>
      </c>
      <c r="M257" s="200">
        <f t="shared" ca="1" si="47"/>
        <v>0</v>
      </c>
      <c r="N257" s="40">
        <f t="shared" ca="1" si="48"/>
        <v>1564.8169195451633</v>
      </c>
      <c r="O257" s="40">
        <f t="shared" ca="1" si="42"/>
        <v>1646.3090889430844</v>
      </c>
      <c r="P257" s="40"/>
      <c r="Q257" s="20">
        <f t="shared" ca="1" si="49"/>
        <v>834.89136490250701</v>
      </c>
      <c r="R257" s="1">
        <f t="shared" si="43"/>
        <v>7165</v>
      </c>
      <c r="S257" s="243">
        <f>IF(AND($K$2&gt;=DATEVALUE("03/04/2020"),$K$2&lt;=DATEVALUE("31/12/2020")),0,IF(Resumo!$C$19="PF",IF(R257&lt;360,0.0082%*R257,3%),IF(R257&lt;360,0.0041%*R257,1.5%)))</f>
        <v>1.4999999999999999E-2</v>
      </c>
      <c r="T257" s="172">
        <f t="shared" ca="1" si="50"/>
        <v>12.523370473537605</v>
      </c>
      <c r="X257" s="20">
        <f t="shared" ca="1" si="51"/>
        <v>1564.8169195451633</v>
      </c>
    </row>
    <row r="258" spans="2:24">
      <c r="B258" s="41">
        <f t="shared" si="44"/>
        <v>236</v>
      </c>
      <c r="C258" s="164">
        <f t="shared" si="45"/>
        <v>51940</v>
      </c>
      <c r="D258" s="42">
        <f t="shared" ca="1" si="39"/>
        <v>842.74931039701278</v>
      </c>
      <c r="E258" s="42">
        <f t="shared" ca="1" si="46"/>
        <v>716.33691383745077</v>
      </c>
      <c r="F258" s="42">
        <f t="shared" ca="1" si="40"/>
        <v>1559.0862242344635</v>
      </c>
      <c r="G258" s="42">
        <f ca="1">IF(B258&lt;=$D$16,G257*(1+$D$13)^((C258-C257)/_xlfn.DAYS(EDATE(C257,1),C257)),G257-D258)+IF(B258&lt;=$D$16,G257*Resumo!$F$12,0)+IF(B258&lt;=$D$16,$D$15*Resumo!$F$13,0)+IF(B258&lt;=$D$16,25,0)-IF(AND($D$16&gt;3,B258&lt;=$D$16),K258,0)</f>
        <v>104500.9144892281</v>
      </c>
      <c r="H258" s="42">
        <f ca="1">IF(AND(B258&lt;&gt;"",L258&lt;&gt;$D$17,$D$16&gt;3),G258*Resumo!$F$12,IF(AND(B258&lt;&gt;"",L258&lt;&gt;$D$17,B258&gt;$D$16),G258*Resumo!$F$12,0))</f>
        <v>21.945192042737904</v>
      </c>
      <c r="I258" s="42">
        <f>IF(AND(B258&lt;&gt;"",L258&lt;&gt;$D$17,$D$16&gt;3,$B258&lt;=$D$16),$D$15*Resumo!$F$13,IF(AND(B258&lt;&gt;"",L258&lt;&gt;$D$17,B258&gt;$D$16),$D$15*Resumo!$F$13,0))</f>
        <v>34.369999999999997</v>
      </c>
      <c r="J258" s="42">
        <f>IF(AND(B258&lt;&gt;"",L258&lt;&gt;$D$17,$D$16&gt;3,$B258&lt;=$D$16),Resumo!$F$11,IF(AND(B258&lt;&gt;"",L258&lt;&gt;$D$17,B258&gt;$D$16),Resumo!$F$11,0))</f>
        <v>25</v>
      </c>
      <c r="K258" s="42">
        <f t="shared" ca="1" si="41"/>
        <v>1640.4014162772014</v>
      </c>
      <c r="L258" s="39" t="str">
        <f>IF(B258&lt;&gt;"",VLOOKUP(MONTH(C258),Sheet2!$F$1:$G$12,2,0),"")</f>
        <v>Março</v>
      </c>
      <c r="M258" s="200">
        <f t="shared" ca="1" si="47"/>
        <v>0</v>
      </c>
      <c r="N258" s="40">
        <f t="shared" ca="1" si="48"/>
        <v>1559.0862242344635</v>
      </c>
      <c r="O258" s="40">
        <f t="shared" ca="1" si="42"/>
        <v>1640.4014162772014</v>
      </c>
      <c r="P258" s="40"/>
      <c r="Q258" s="20">
        <f t="shared" ca="1" si="49"/>
        <v>834.89136490250701</v>
      </c>
      <c r="R258" s="1">
        <f t="shared" si="43"/>
        <v>7193</v>
      </c>
      <c r="S258" s="243">
        <f>IF(AND($K$2&gt;=DATEVALUE("03/04/2020"),$K$2&lt;=DATEVALUE("31/12/2020")),0,IF(Resumo!$C$19="PF",IF(R258&lt;360,0.0082%*R258,3%),IF(R258&lt;360,0.0041%*R258,1.5%)))</f>
        <v>1.4999999999999999E-2</v>
      </c>
      <c r="T258" s="172">
        <f t="shared" ca="1" si="50"/>
        <v>12.523370473537605</v>
      </c>
      <c r="X258" s="20">
        <f t="shared" ca="1" si="51"/>
        <v>1559.0862242344635</v>
      </c>
    </row>
    <row r="259" spans="2:24">
      <c r="B259" s="37">
        <f t="shared" si="44"/>
        <v>237</v>
      </c>
      <c r="C259" s="163">
        <f t="shared" si="45"/>
        <v>51971</v>
      </c>
      <c r="D259" s="38">
        <f t="shared" ca="1" si="39"/>
        <v>842.74931039701278</v>
      </c>
      <c r="E259" s="38">
        <f t="shared" ca="1" si="46"/>
        <v>710.60621852675104</v>
      </c>
      <c r="F259" s="38">
        <f t="shared" ca="1" si="40"/>
        <v>1553.3555289237638</v>
      </c>
      <c r="G259" s="38">
        <f ca="1">IF(B259&lt;=$D$16,G258*(1+$D$13)^((C259-C258)/_xlfn.DAYS(EDATE(C258,1),C258)),G258-D259)+IF(B259&lt;=$D$16,G258*Resumo!$F$12,0)+IF(B259&lt;=$D$16,$D$15*Resumo!$F$13,0)+IF(B259&lt;=$D$16,25,0)-IF(AND($D$16&gt;3,B259&lt;=$D$16),K259,0)</f>
        <v>103658.16517883108</v>
      </c>
      <c r="H259" s="38">
        <f ca="1">IF(AND(B259&lt;&gt;"",L259&lt;&gt;$D$17,$D$16&gt;3),G259*Resumo!$F$12,IF(AND(B259&lt;&gt;"",L259&lt;&gt;$D$17,B259&gt;$D$16),G259*Resumo!$F$12,0))</f>
        <v>21.768214687554529</v>
      </c>
      <c r="I259" s="38">
        <f>IF(AND(B259&lt;&gt;"",L259&lt;&gt;$D$17,$D$16&gt;3,$B259&lt;=$D$16),$D$15*Resumo!$F$13,IF(AND(B259&lt;&gt;"",L259&lt;&gt;$D$17,B259&gt;$D$16),$D$15*Resumo!$F$13,0))</f>
        <v>34.369999999999997</v>
      </c>
      <c r="J259" s="38">
        <f>IF(AND(B259&lt;&gt;"",L259&lt;&gt;$D$17,$D$16&gt;3,$B259&lt;=$D$16),Resumo!$F$11,IF(AND(B259&lt;&gt;"",L259&lt;&gt;$D$17,B259&gt;$D$16),Resumo!$F$11,0))</f>
        <v>25</v>
      </c>
      <c r="K259" s="38">
        <f t="shared" ca="1" si="41"/>
        <v>1634.4937436113182</v>
      </c>
      <c r="L259" s="39" t="str">
        <f>IF(B259&lt;&gt;"",VLOOKUP(MONTH(C259),Sheet2!$F$1:$G$12,2,0),"")</f>
        <v>Abril</v>
      </c>
      <c r="M259" s="200">
        <f t="shared" ca="1" si="47"/>
        <v>0</v>
      </c>
      <c r="N259" s="40">
        <f t="shared" ca="1" si="48"/>
        <v>1553.3555289237638</v>
      </c>
      <c r="O259" s="40">
        <f t="shared" ca="1" si="42"/>
        <v>1634.4937436113182</v>
      </c>
      <c r="P259" s="40"/>
      <c r="Q259" s="20">
        <f t="shared" ca="1" si="49"/>
        <v>834.89136490250701</v>
      </c>
      <c r="R259" s="1">
        <f t="shared" si="43"/>
        <v>7224</v>
      </c>
      <c r="S259" s="243">
        <f>IF(AND($K$2&gt;=DATEVALUE("03/04/2020"),$K$2&lt;=DATEVALUE("31/12/2020")),0,IF(Resumo!$C$19="PF",IF(R259&lt;360,0.0082%*R259,3%),IF(R259&lt;360,0.0041%*R259,1.5%)))</f>
        <v>1.4999999999999999E-2</v>
      </c>
      <c r="T259" s="172">
        <f t="shared" ca="1" si="50"/>
        <v>12.523370473537605</v>
      </c>
      <c r="X259" s="20">
        <f t="shared" ca="1" si="51"/>
        <v>1553.3555289237638</v>
      </c>
    </row>
    <row r="260" spans="2:24">
      <c r="B260" s="41">
        <f t="shared" si="44"/>
        <v>238</v>
      </c>
      <c r="C260" s="164">
        <f t="shared" si="45"/>
        <v>52001</v>
      </c>
      <c r="D260" s="42">
        <f t="shared" ca="1" si="39"/>
        <v>842.74931039701278</v>
      </c>
      <c r="E260" s="42">
        <f t="shared" ca="1" si="46"/>
        <v>704.87552321605131</v>
      </c>
      <c r="F260" s="42">
        <f t="shared" ca="1" si="40"/>
        <v>1547.6248336130641</v>
      </c>
      <c r="G260" s="42">
        <f ca="1">IF(B260&lt;=$D$16,G259*(1+$D$13)^((C260-C259)/_xlfn.DAYS(EDATE(C259,1),C259)),G259-D260)+IF(B260&lt;=$D$16,G259*Resumo!$F$12,0)+IF(B260&lt;=$D$16,$D$15*Resumo!$F$13,0)+IF(B260&lt;=$D$16,25,0)-IF(AND($D$16&gt;3,B260&lt;=$D$16),K260,0)</f>
        <v>102815.41586843407</v>
      </c>
      <c r="H260" s="42">
        <f ca="1">IF(AND(B260&lt;&gt;"",L260&lt;&gt;$D$17,$D$16&gt;3),G260*Resumo!$F$12,IF(AND(B260&lt;&gt;"",L260&lt;&gt;$D$17,B260&gt;$D$16),G260*Resumo!$F$12,0))</f>
        <v>21.591237332371154</v>
      </c>
      <c r="I260" s="42">
        <f>IF(AND(B260&lt;&gt;"",L260&lt;&gt;$D$17,$D$16&gt;3,$B260&lt;=$D$16),$D$15*Resumo!$F$13,IF(AND(B260&lt;&gt;"",L260&lt;&gt;$D$17,B260&gt;$D$16),$D$15*Resumo!$F$13,0))</f>
        <v>34.369999999999997</v>
      </c>
      <c r="J260" s="42">
        <f>IF(AND(B260&lt;&gt;"",L260&lt;&gt;$D$17,$D$16&gt;3,$B260&lt;=$D$16),Resumo!$F$11,IF(AND(B260&lt;&gt;"",L260&lt;&gt;$D$17,B260&gt;$D$16),Resumo!$F$11,0))</f>
        <v>25</v>
      </c>
      <c r="K260" s="42">
        <f t="shared" ca="1" si="41"/>
        <v>1628.586070945435</v>
      </c>
      <c r="L260" s="39" t="str">
        <f>IF(B260&lt;&gt;"",VLOOKUP(MONTH(C260),Sheet2!$F$1:$G$12,2,0),"")</f>
        <v>Maio</v>
      </c>
      <c r="M260" s="200">
        <f t="shared" ca="1" si="47"/>
        <v>0</v>
      </c>
      <c r="N260" s="40">
        <f t="shared" ca="1" si="48"/>
        <v>1547.6248336130641</v>
      </c>
      <c r="O260" s="40">
        <f t="shared" ca="1" si="42"/>
        <v>1628.586070945435</v>
      </c>
      <c r="P260" s="40"/>
      <c r="Q260" s="20">
        <f t="shared" ca="1" si="49"/>
        <v>834.89136490250701</v>
      </c>
      <c r="R260" s="1">
        <f t="shared" si="43"/>
        <v>7254</v>
      </c>
      <c r="S260" s="243">
        <f>IF(AND($K$2&gt;=DATEVALUE("03/04/2020"),$K$2&lt;=DATEVALUE("31/12/2020")),0,IF(Resumo!$C$19="PF",IF(R260&lt;360,0.0082%*R260,3%),IF(R260&lt;360,0.0041%*R260,1.5%)))</f>
        <v>1.4999999999999999E-2</v>
      </c>
      <c r="T260" s="172">
        <f t="shared" ca="1" si="50"/>
        <v>12.523370473537605</v>
      </c>
      <c r="X260" s="20">
        <f t="shared" ca="1" si="51"/>
        <v>1547.6248336130641</v>
      </c>
    </row>
    <row r="261" spans="2:24">
      <c r="B261" s="37">
        <f t="shared" si="44"/>
        <v>239</v>
      </c>
      <c r="C261" s="163">
        <f t="shared" si="45"/>
        <v>52032</v>
      </c>
      <c r="D261" s="38">
        <f t="shared" ca="1" si="39"/>
        <v>842.74931039701278</v>
      </c>
      <c r="E261" s="38">
        <f t="shared" ca="1" si="46"/>
        <v>699.14482790535158</v>
      </c>
      <c r="F261" s="38">
        <f t="shared" ca="1" si="40"/>
        <v>1541.8941383023644</v>
      </c>
      <c r="G261" s="38">
        <f ca="1">IF(B261&lt;=$D$16,G260*(1+$D$13)^((C261-C260)/_xlfn.DAYS(EDATE(C260,1),C260)),G260-D261)+IF(B261&lt;=$D$16,G260*Resumo!$F$12,0)+IF(B261&lt;=$D$16,$D$15*Resumo!$F$13,0)+IF(B261&lt;=$D$16,25,0)-IF(AND($D$16&gt;3,B261&lt;=$D$16),K261,0)</f>
        <v>101972.66655803705</v>
      </c>
      <c r="H261" s="38">
        <f ca="1">IF(AND(B261&lt;&gt;"",L261&lt;&gt;$D$17,$D$16&gt;3),G261*Resumo!$F$12,IF(AND(B261&lt;&gt;"",L261&lt;&gt;$D$17,B261&gt;$D$16),G261*Resumo!$F$12,0))</f>
        <v>21.414259977187779</v>
      </c>
      <c r="I261" s="38">
        <f>IF(AND(B261&lt;&gt;"",L261&lt;&gt;$D$17,$D$16&gt;3,$B261&lt;=$D$16),$D$15*Resumo!$F$13,IF(AND(B261&lt;&gt;"",L261&lt;&gt;$D$17,B261&gt;$D$16),$D$15*Resumo!$F$13,0))</f>
        <v>34.369999999999997</v>
      </c>
      <c r="J261" s="38">
        <f>IF(AND(B261&lt;&gt;"",L261&lt;&gt;$D$17,$D$16&gt;3,$B261&lt;=$D$16),Resumo!$F$11,IF(AND(B261&lt;&gt;"",L261&lt;&gt;$D$17,B261&gt;$D$16),Resumo!$F$11,0))</f>
        <v>25</v>
      </c>
      <c r="K261" s="38">
        <f t="shared" ca="1" si="41"/>
        <v>1622.6783982795521</v>
      </c>
      <c r="L261" s="39" t="str">
        <f>IF(B261&lt;&gt;"",VLOOKUP(MONTH(C261),Sheet2!$F$1:$G$12,2,0),"")</f>
        <v>Junho</v>
      </c>
      <c r="M261" s="200">
        <f t="shared" ca="1" si="47"/>
        <v>0</v>
      </c>
      <c r="N261" s="40">
        <f t="shared" ca="1" si="48"/>
        <v>1541.8941383023644</v>
      </c>
      <c r="O261" s="40">
        <f t="shared" ca="1" si="42"/>
        <v>1622.6783982795521</v>
      </c>
      <c r="P261" s="40"/>
      <c r="Q261" s="20">
        <f t="shared" ca="1" si="49"/>
        <v>834.89136490250701</v>
      </c>
      <c r="R261" s="1">
        <f t="shared" si="43"/>
        <v>7285</v>
      </c>
      <c r="S261" s="243">
        <f>IF(AND($K$2&gt;=DATEVALUE("03/04/2020"),$K$2&lt;=DATEVALUE("31/12/2020")),0,IF(Resumo!$C$19="PF",IF(R261&lt;360,0.0082%*R261,3%),IF(R261&lt;360,0.0041%*R261,1.5%)))</f>
        <v>1.4999999999999999E-2</v>
      </c>
      <c r="T261" s="172">
        <f t="shared" ca="1" si="50"/>
        <v>12.523370473537605</v>
      </c>
      <c r="X261" s="20">
        <f t="shared" ca="1" si="51"/>
        <v>1541.8941383023644</v>
      </c>
    </row>
    <row r="262" spans="2:24">
      <c r="B262" s="41">
        <f t="shared" si="44"/>
        <v>240</v>
      </c>
      <c r="C262" s="164">
        <f t="shared" si="45"/>
        <v>52062</v>
      </c>
      <c r="D262" s="42">
        <f t="shared" ca="1" si="39"/>
        <v>842.74931039701278</v>
      </c>
      <c r="E262" s="42">
        <f t="shared" ca="1" si="46"/>
        <v>693.41413259465185</v>
      </c>
      <c r="F262" s="42">
        <f t="shared" ca="1" si="40"/>
        <v>1536.1634429916646</v>
      </c>
      <c r="G262" s="42">
        <f ca="1">IF(B262&lt;=$D$16,G261*(1+$D$13)^((C262-C261)/_xlfn.DAYS(EDATE(C261,1),C261)),G261-D262)+IF(B262&lt;=$D$16,G261*Resumo!$F$12,0)+IF(B262&lt;=$D$16,$D$15*Resumo!$F$13,0)+IF(B262&lt;=$D$16,25,0)-IF(AND($D$16&gt;3,B262&lt;=$D$16),K262,0)</f>
        <v>101129.91724764003</v>
      </c>
      <c r="H262" s="42">
        <f ca="1">IF(AND(B262&lt;&gt;"",L262&lt;&gt;$D$17,$D$16&gt;3),G262*Resumo!$F$12,IF(AND(B262&lt;&gt;"",L262&lt;&gt;$D$17,B262&gt;$D$16),G262*Resumo!$F$12,0))</f>
        <v>21.237282622004408</v>
      </c>
      <c r="I262" s="42">
        <f>IF(AND(B262&lt;&gt;"",L262&lt;&gt;$D$17,$D$16&gt;3,$B262&lt;=$D$16),$D$15*Resumo!$F$13,IF(AND(B262&lt;&gt;"",L262&lt;&gt;$D$17,B262&gt;$D$16),$D$15*Resumo!$F$13,0))</f>
        <v>34.369999999999997</v>
      </c>
      <c r="J262" s="42">
        <f>IF(AND(B262&lt;&gt;"",L262&lt;&gt;$D$17,$D$16&gt;3,$B262&lt;=$D$16),Resumo!$F$11,IF(AND(B262&lt;&gt;"",L262&lt;&gt;$D$17,B262&gt;$D$16),Resumo!$F$11,0))</f>
        <v>25</v>
      </c>
      <c r="K262" s="42">
        <f t="shared" ca="1" si="41"/>
        <v>1616.7707256136689</v>
      </c>
      <c r="L262" s="39" t="str">
        <f>IF(B262&lt;&gt;"",VLOOKUP(MONTH(C262),Sheet2!$F$1:$G$12,2,0),"")</f>
        <v>Julho</v>
      </c>
      <c r="M262" s="200">
        <f t="shared" ca="1" si="47"/>
        <v>0</v>
      </c>
      <c r="N262" s="40">
        <f t="shared" ca="1" si="48"/>
        <v>1536.1634429916646</v>
      </c>
      <c r="O262" s="40">
        <f t="shared" ca="1" si="42"/>
        <v>1616.7707256136689</v>
      </c>
      <c r="P262" s="40"/>
      <c r="Q262" s="20">
        <f t="shared" ca="1" si="49"/>
        <v>834.89136490250701</v>
      </c>
      <c r="R262" s="1">
        <f t="shared" si="43"/>
        <v>7315</v>
      </c>
      <c r="S262" s="243">
        <f>IF(AND($K$2&gt;=DATEVALUE("03/04/2020"),$K$2&lt;=DATEVALUE("31/12/2020")),0,IF(Resumo!$C$19="PF",IF(R262&lt;360,0.0082%*R262,3%),IF(R262&lt;360,0.0041%*R262,1.5%)))</f>
        <v>1.4999999999999999E-2</v>
      </c>
      <c r="T262" s="172">
        <f t="shared" ca="1" si="50"/>
        <v>12.523370473537605</v>
      </c>
      <c r="X262" s="20">
        <f t="shared" ca="1" si="51"/>
        <v>1536.1634429916646</v>
      </c>
    </row>
    <row r="263" spans="2:24">
      <c r="B263" s="37">
        <f t="shared" si="44"/>
        <v>241</v>
      </c>
      <c r="C263" s="163">
        <f t="shared" si="45"/>
        <v>52093</v>
      </c>
      <c r="D263" s="38">
        <f t="shared" ca="1" si="39"/>
        <v>842.74931039701278</v>
      </c>
      <c r="E263" s="38">
        <f t="shared" ca="1" si="46"/>
        <v>687.68343728395212</v>
      </c>
      <c r="F263" s="38">
        <f t="shared" ca="1" si="40"/>
        <v>1530.4327476809649</v>
      </c>
      <c r="G263" s="38">
        <f ca="1">IF(B263&lt;=$D$16,G262*(1+$D$13)^((C263-C262)/_xlfn.DAYS(EDATE(C262,1),C262)),G262-D263)+IF(B263&lt;=$D$16,G262*Resumo!$F$12,0)+IF(B263&lt;=$D$16,$D$15*Resumo!$F$13,0)+IF(B263&lt;=$D$16,25,0)-IF(AND($D$16&gt;3,B263&lt;=$D$16),K263,0)</f>
        <v>100287.16793724301</v>
      </c>
      <c r="H263" s="38">
        <f ca="1">IF(AND(B263&lt;&gt;"",L263&lt;&gt;$D$17,$D$16&gt;3),G263*Resumo!$F$12,IF(AND(B263&lt;&gt;"",L263&lt;&gt;$D$17,B263&gt;$D$16),G263*Resumo!$F$12,0))</f>
        <v>21.060305266821032</v>
      </c>
      <c r="I263" s="38">
        <f>IF(AND(B263&lt;&gt;"",L263&lt;&gt;$D$17,$D$16&gt;3,$B263&lt;=$D$16),$D$15*Resumo!$F$13,IF(AND(B263&lt;&gt;"",L263&lt;&gt;$D$17,B263&gt;$D$16),$D$15*Resumo!$F$13,0))</f>
        <v>34.369999999999997</v>
      </c>
      <c r="J263" s="38">
        <f>IF(AND(B263&lt;&gt;"",L263&lt;&gt;$D$17,$D$16&gt;3,$B263&lt;=$D$16),Resumo!$F$11,IF(AND(B263&lt;&gt;"",L263&lt;&gt;$D$17,B263&gt;$D$16),Resumo!$F$11,0))</f>
        <v>25</v>
      </c>
      <c r="K263" s="38">
        <f t="shared" ca="1" si="41"/>
        <v>1610.8630529477857</v>
      </c>
      <c r="L263" s="39" t="str">
        <f>IF(B263&lt;&gt;"",VLOOKUP(MONTH(C263),Sheet2!$F$1:$G$12,2,0),"")</f>
        <v>Agosto</v>
      </c>
      <c r="M263" s="200">
        <f t="shared" ca="1" si="47"/>
        <v>0</v>
      </c>
      <c r="N263" s="40">
        <f t="shared" ca="1" si="48"/>
        <v>1530.4327476809649</v>
      </c>
      <c r="O263" s="40">
        <f t="shared" ca="1" si="42"/>
        <v>1610.8630529477857</v>
      </c>
      <c r="P263" s="40"/>
      <c r="Q263" s="20">
        <f t="shared" ca="1" si="49"/>
        <v>834.89136490250701</v>
      </c>
      <c r="R263" s="1">
        <f t="shared" si="43"/>
        <v>7346</v>
      </c>
      <c r="S263" s="243">
        <f>IF(AND($K$2&gt;=DATEVALUE("03/04/2020"),$K$2&lt;=DATEVALUE("31/12/2020")),0,IF(Resumo!$C$19="PF",IF(R263&lt;360,0.0082%*R263,3%),IF(R263&lt;360,0.0041%*R263,1.5%)))</f>
        <v>1.4999999999999999E-2</v>
      </c>
      <c r="T263" s="172">
        <f t="shared" ca="1" si="50"/>
        <v>12.523370473537605</v>
      </c>
      <c r="X263" s="20">
        <f t="shared" ca="1" si="51"/>
        <v>1530.4327476809649</v>
      </c>
    </row>
    <row r="264" spans="2:24">
      <c r="B264" s="41">
        <f t="shared" si="44"/>
        <v>242</v>
      </c>
      <c r="C264" s="164">
        <f t="shared" si="45"/>
        <v>52124</v>
      </c>
      <c r="D264" s="42">
        <f t="shared" ca="1" si="39"/>
        <v>842.74931039701278</v>
      </c>
      <c r="E264" s="42">
        <f t="shared" ca="1" si="46"/>
        <v>681.95274197325239</v>
      </c>
      <c r="F264" s="42">
        <f t="shared" ca="1" si="40"/>
        <v>1524.7020523702652</v>
      </c>
      <c r="G264" s="42">
        <f ca="1">IF(B264&lt;=$D$16,G263*(1+$D$13)^((C264-C263)/_xlfn.DAYS(EDATE(C263,1),C263)),G263-D264)+IF(B264&lt;=$D$16,G263*Resumo!$F$12,0)+IF(B264&lt;=$D$16,$D$15*Resumo!$F$13,0)+IF(B264&lt;=$D$16,25,0)-IF(AND($D$16&gt;3,B264&lt;=$D$16),K264,0)</f>
        <v>99444.418626845989</v>
      </c>
      <c r="H264" s="42">
        <f ca="1">IF(AND(B264&lt;&gt;"",L264&lt;&gt;$D$17,$D$16&gt;3),G264*Resumo!$F$12,IF(AND(B264&lt;&gt;"",L264&lt;&gt;$D$17,B264&gt;$D$16),G264*Resumo!$F$12,0))</f>
        <v>20.883327911637657</v>
      </c>
      <c r="I264" s="42">
        <f>IF(AND(B264&lt;&gt;"",L264&lt;&gt;$D$17,$D$16&gt;3,$B264&lt;=$D$16),$D$15*Resumo!$F$13,IF(AND(B264&lt;&gt;"",L264&lt;&gt;$D$17,B264&gt;$D$16),$D$15*Resumo!$F$13,0))</f>
        <v>34.369999999999997</v>
      </c>
      <c r="J264" s="42">
        <f>IF(AND(B264&lt;&gt;"",L264&lt;&gt;$D$17,$D$16&gt;3,$B264&lt;=$D$16),Resumo!$F$11,IF(AND(B264&lt;&gt;"",L264&lt;&gt;$D$17,B264&gt;$D$16),Resumo!$F$11,0))</f>
        <v>25</v>
      </c>
      <c r="K264" s="42">
        <f t="shared" ca="1" si="41"/>
        <v>1604.9553802819028</v>
      </c>
      <c r="L264" s="39" t="str">
        <f>IF(B264&lt;&gt;"",VLOOKUP(MONTH(C264),Sheet2!$F$1:$G$12,2,0),"")</f>
        <v>Setembro</v>
      </c>
      <c r="M264" s="200">
        <f t="shared" ca="1" si="47"/>
        <v>0</v>
      </c>
      <c r="N264" s="40">
        <f t="shared" ca="1" si="48"/>
        <v>1524.7020523702652</v>
      </c>
      <c r="O264" s="40">
        <f t="shared" ca="1" si="42"/>
        <v>1604.9553802819028</v>
      </c>
      <c r="P264" s="40"/>
      <c r="Q264" s="20">
        <f t="shared" ca="1" si="49"/>
        <v>834.89136490250701</v>
      </c>
      <c r="R264" s="1">
        <f t="shared" si="43"/>
        <v>7377</v>
      </c>
      <c r="S264" s="243">
        <f>IF(AND($K$2&gt;=DATEVALUE("03/04/2020"),$K$2&lt;=DATEVALUE("31/12/2020")),0,IF(Resumo!$C$19="PF",IF(R264&lt;360,0.0082%*R264,3%),IF(R264&lt;360,0.0041%*R264,1.5%)))</f>
        <v>1.4999999999999999E-2</v>
      </c>
      <c r="T264" s="172">
        <f t="shared" ca="1" si="50"/>
        <v>12.523370473537605</v>
      </c>
      <c r="X264" s="20">
        <f t="shared" ca="1" si="51"/>
        <v>1524.7020523702652</v>
      </c>
    </row>
    <row r="265" spans="2:24">
      <c r="B265" s="37">
        <f t="shared" si="44"/>
        <v>243</v>
      </c>
      <c r="C265" s="163">
        <f t="shared" si="45"/>
        <v>52154</v>
      </c>
      <c r="D265" s="38">
        <f t="shared" ca="1" si="39"/>
        <v>842.74931039701278</v>
      </c>
      <c r="E265" s="38">
        <f t="shared" ca="1" si="46"/>
        <v>676.22204666255266</v>
      </c>
      <c r="F265" s="38">
        <f t="shared" ca="1" si="40"/>
        <v>1518.9713570595654</v>
      </c>
      <c r="G265" s="38">
        <f ca="1">IF(B265&lt;=$D$16,G264*(1+$D$13)^((C265-C264)/_xlfn.DAYS(EDATE(C264,1),C264)),G264-D265)+IF(B265&lt;=$D$16,G264*Resumo!$F$12,0)+IF(B265&lt;=$D$16,$D$15*Resumo!$F$13,0)+IF(B265&lt;=$D$16,25,0)-IF(AND($D$16&gt;3,B265&lt;=$D$16),K265,0)</f>
        <v>98601.66931644897</v>
      </c>
      <c r="H265" s="38">
        <f ca="1">IF(AND(B265&lt;&gt;"",L265&lt;&gt;$D$17,$D$16&gt;3),G265*Resumo!$F$12,IF(AND(B265&lt;&gt;"",L265&lt;&gt;$D$17,B265&gt;$D$16),G265*Resumo!$F$12,0))</f>
        <v>20.706350556454286</v>
      </c>
      <c r="I265" s="38">
        <f>IF(AND(B265&lt;&gt;"",L265&lt;&gt;$D$17,$D$16&gt;3,$B265&lt;=$D$16),$D$15*Resumo!$F$13,IF(AND(B265&lt;&gt;"",L265&lt;&gt;$D$17,B265&gt;$D$16),$D$15*Resumo!$F$13,0))</f>
        <v>34.369999999999997</v>
      </c>
      <c r="J265" s="38">
        <f>IF(AND(B265&lt;&gt;"",L265&lt;&gt;$D$17,$D$16&gt;3,$B265&lt;=$D$16),Resumo!$F$11,IF(AND(B265&lt;&gt;"",L265&lt;&gt;$D$17,B265&gt;$D$16),Resumo!$F$11,0))</f>
        <v>25</v>
      </c>
      <c r="K265" s="38">
        <f t="shared" ca="1" si="41"/>
        <v>1599.0477076160196</v>
      </c>
      <c r="L265" s="39" t="str">
        <f>IF(B265&lt;&gt;"",VLOOKUP(MONTH(C265),Sheet2!$F$1:$G$12,2,0),"")</f>
        <v>Outubro</v>
      </c>
      <c r="M265" s="200">
        <f t="shared" ca="1" si="47"/>
        <v>0</v>
      </c>
      <c r="N265" s="40">
        <f t="shared" ca="1" si="48"/>
        <v>1518.9713570595654</v>
      </c>
      <c r="O265" s="40">
        <f t="shared" ca="1" si="42"/>
        <v>1599.0477076160196</v>
      </c>
      <c r="P265" s="40"/>
      <c r="Q265" s="20">
        <f t="shared" ca="1" si="49"/>
        <v>834.89136490250701</v>
      </c>
      <c r="R265" s="1">
        <f t="shared" si="43"/>
        <v>7407</v>
      </c>
      <c r="S265" s="243">
        <f>IF(AND($K$2&gt;=DATEVALUE("03/04/2020"),$K$2&lt;=DATEVALUE("31/12/2020")),0,IF(Resumo!$C$19="PF",IF(R265&lt;360,0.0082%*R265,3%),IF(R265&lt;360,0.0041%*R265,1.5%)))</f>
        <v>1.4999999999999999E-2</v>
      </c>
      <c r="T265" s="172">
        <f t="shared" ca="1" si="50"/>
        <v>12.523370473537605</v>
      </c>
      <c r="X265" s="20">
        <f t="shared" ca="1" si="51"/>
        <v>1518.9713570595654</v>
      </c>
    </row>
    <row r="266" spans="2:24">
      <c r="B266" s="41">
        <f t="shared" si="44"/>
        <v>244</v>
      </c>
      <c r="C266" s="164">
        <f t="shared" si="45"/>
        <v>52185</v>
      </c>
      <c r="D266" s="42">
        <f t="shared" ca="1" si="39"/>
        <v>842.74931039701278</v>
      </c>
      <c r="E266" s="42">
        <f t="shared" ca="1" si="46"/>
        <v>670.49135135185293</v>
      </c>
      <c r="F266" s="42">
        <f t="shared" ca="1" si="40"/>
        <v>1513.2406617488657</v>
      </c>
      <c r="G266" s="42">
        <f ca="1">IF(B266&lt;=$D$16,G265*(1+$D$13)^((C266-C265)/_xlfn.DAYS(EDATE(C265,1),C265)),G265-D266)+IF(B266&lt;=$D$16,G265*Resumo!$F$12,0)+IF(B266&lt;=$D$16,$D$15*Resumo!$F$13,0)+IF(B266&lt;=$D$16,25,0)-IF(AND($D$16&gt;3,B266&lt;=$D$16),K266,0)</f>
        <v>97758.920006051951</v>
      </c>
      <c r="H266" s="42">
        <f ca="1">IF(AND(B266&lt;&gt;"",L266&lt;&gt;$D$17,$D$16&gt;3),G266*Resumo!$F$12,IF(AND(B266&lt;&gt;"",L266&lt;&gt;$D$17,B266&gt;$D$16),G266*Resumo!$F$12,0))</f>
        <v>20.529373201270911</v>
      </c>
      <c r="I266" s="42">
        <f>IF(AND(B266&lt;&gt;"",L266&lt;&gt;$D$17,$D$16&gt;3,$B266&lt;=$D$16),$D$15*Resumo!$F$13,IF(AND(B266&lt;&gt;"",L266&lt;&gt;$D$17,B266&gt;$D$16),$D$15*Resumo!$F$13,0))</f>
        <v>34.369999999999997</v>
      </c>
      <c r="J266" s="42">
        <f>IF(AND(B266&lt;&gt;"",L266&lt;&gt;$D$17,$D$16&gt;3,$B266&lt;=$D$16),Resumo!$F$11,IF(AND(B266&lt;&gt;"",L266&lt;&gt;$D$17,B266&gt;$D$16),Resumo!$F$11,0))</f>
        <v>25</v>
      </c>
      <c r="K266" s="42">
        <f t="shared" ca="1" si="41"/>
        <v>1593.1400349501364</v>
      </c>
      <c r="L266" s="39" t="str">
        <f>IF(B266&lt;&gt;"",VLOOKUP(MONTH(C266),Sheet2!$F$1:$G$12,2,0),"")</f>
        <v>Novembro</v>
      </c>
      <c r="M266" s="200">
        <f t="shared" ca="1" si="47"/>
        <v>0</v>
      </c>
      <c r="N266" s="40">
        <f t="shared" ca="1" si="48"/>
        <v>1513.2406617488657</v>
      </c>
      <c r="O266" s="40">
        <f t="shared" ca="1" si="42"/>
        <v>1593.1400349501364</v>
      </c>
      <c r="P266" s="40"/>
      <c r="Q266" s="20">
        <f t="shared" ca="1" si="49"/>
        <v>834.89136490250701</v>
      </c>
      <c r="R266" s="1">
        <f t="shared" si="43"/>
        <v>7438</v>
      </c>
      <c r="S266" s="243">
        <f>IF(AND($K$2&gt;=DATEVALUE("03/04/2020"),$K$2&lt;=DATEVALUE("31/12/2020")),0,IF(Resumo!$C$19="PF",IF(R266&lt;360,0.0082%*R266,3%),IF(R266&lt;360,0.0041%*R266,1.5%)))</f>
        <v>1.4999999999999999E-2</v>
      </c>
      <c r="T266" s="172">
        <f t="shared" ca="1" si="50"/>
        <v>12.523370473537605</v>
      </c>
      <c r="X266" s="20">
        <f t="shared" ca="1" si="51"/>
        <v>1513.2406617488657</v>
      </c>
    </row>
    <row r="267" spans="2:24">
      <c r="B267" s="37">
        <f t="shared" si="44"/>
        <v>245</v>
      </c>
      <c r="C267" s="163">
        <f t="shared" si="45"/>
        <v>52215</v>
      </c>
      <c r="D267" s="38">
        <f t="shared" ca="1" si="39"/>
        <v>842.74931039701278</v>
      </c>
      <c r="E267" s="38">
        <f t="shared" ca="1" si="46"/>
        <v>664.7606560411532</v>
      </c>
      <c r="F267" s="38">
        <f t="shared" ca="1" si="40"/>
        <v>1507.509966438166</v>
      </c>
      <c r="G267" s="38">
        <f ca="1">IF(B267&lt;=$D$16,G266*(1+$D$13)^((C267-C266)/_xlfn.DAYS(EDATE(C266,1),C266)),G266-D267)+IF(B267&lt;=$D$16,G266*Resumo!$F$12,0)+IF(B267&lt;=$D$16,$D$15*Resumo!$F$13,0)+IF(B267&lt;=$D$16,25,0)-IF(AND($D$16&gt;3,B267&lt;=$D$16),K267,0)</f>
        <v>96916.170695654931</v>
      </c>
      <c r="H267" s="38">
        <f ca="1">IF(AND(B267&lt;&gt;"",L267&lt;&gt;$D$17,$D$16&gt;3),G267*Resumo!$F$12,IF(AND(B267&lt;&gt;"",L267&lt;&gt;$D$17,B267&gt;$D$16),G267*Resumo!$F$12,0))</f>
        <v>20.352395846087536</v>
      </c>
      <c r="I267" s="38">
        <f>IF(AND(B267&lt;&gt;"",L267&lt;&gt;$D$17,$D$16&gt;3,$B267&lt;=$D$16),$D$15*Resumo!$F$13,IF(AND(B267&lt;&gt;"",L267&lt;&gt;$D$17,B267&gt;$D$16),$D$15*Resumo!$F$13,0))</f>
        <v>34.369999999999997</v>
      </c>
      <c r="J267" s="38">
        <f>IF(AND(B267&lt;&gt;"",L267&lt;&gt;$D$17,$D$16&gt;3,$B267&lt;=$D$16),Resumo!$F$11,IF(AND(B267&lt;&gt;"",L267&lt;&gt;$D$17,B267&gt;$D$16),Resumo!$F$11,0))</f>
        <v>25</v>
      </c>
      <c r="K267" s="38">
        <f t="shared" ca="1" si="41"/>
        <v>1587.2323622842534</v>
      </c>
      <c r="L267" s="39" t="str">
        <f>IF(B267&lt;&gt;"",VLOOKUP(MONTH(C267),Sheet2!$F$1:$G$12,2,0),"")</f>
        <v>Dezembro</v>
      </c>
      <c r="M267" s="200">
        <f t="shared" ca="1" si="47"/>
        <v>0</v>
      </c>
      <c r="N267" s="40">
        <f t="shared" ca="1" si="48"/>
        <v>1507.509966438166</v>
      </c>
      <c r="O267" s="40">
        <f t="shared" ca="1" si="42"/>
        <v>1587.2323622842534</v>
      </c>
      <c r="P267" s="40"/>
      <c r="Q267" s="20">
        <f t="shared" ca="1" si="49"/>
        <v>834.89136490250701</v>
      </c>
      <c r="R267" s="1">
        <f t="shared" si="43"/>
        <v>7468</v>
      </c>
      <c r="S267" s="243">
        <f>IF(AND($K$2&gt;=DATEVALUE("03/04/2020"),$K$2&lt;=DATEVALUE("31/12/2020")),0,IF(Resumo!$C$19="PF",IF(R267&lt;360,0.0082%*R267,3%),IF(R267&lt;360,0.0041%*R267,1.5%)))</f>
        <v>1.4999999999999999E-2</v>
      </c>
      <c r="T267" s="172">
        <f t="shared" ca="1" si="50"/>
        <v>12.523370473537605</v>
      </c>
      <c r="X267" s="20">
        <f t="shared" ca="1" si="51"/>
        <v>1507.509966438166</v>
      </c>
    </row>
    <row r="268" spans="2:24">
      <c r="B268" s="41">
        <f t="shared" si="44"/>
        <v>246</v>
      </c>
      <c r="C268" s="164">
        <f t="shared" si="45"/>
        <v>52246</v>
      </c>
      <c r="D268" s="42">
        <f t="shared" ca="1" si="39"/>
        <v>842.74931039701278</v>
      </c>
      <c r="E268" s="42">
        <f t="shared" ca="1" si="46"/>
        <v>659.02996073045347</v>
      </c>
      <c r="F268" s="42">
        <f t="shared" ca="1" si="40"/>
        <v>1501.7792711274662</v>
      </c>
      <c r="G268" s="42">
        <f ca="1">IF(B268&lt;=$D$16,G267*(1+$D$13)^((C268-C267)/_xlfn.DAYS(EDATE(C267,1),C267)),G267-D268)+IF(B268&lt;=$D$16,G267*Resumo!$F$12,0)+IF(B268&lt;=$D$16,$D$15*Resumo!$F$13,0)+IF(B268&lt;=$D$16,25,0)-IF(AND($D$16&gt;3,B268&lt;=$D$16),K268,0)</f>
        <v>96073.421385257912</v>
      </c>
      <c r="H268" s="42">
        <f ca="1">IF(AND(B268&lt;&gt;"",L268&lt;&gt;$D$17,$D$16&gt;3),G268*Resumo!$F$12,IF(AND(B268&lt;&gt;"",L268&lt;&gt;$D$17,B268&gt;$D$16),G268*Resumo!$F$12,0))</f>
        <v>20.175418490904164</v>
      </c>
      <c r="I268" s="42">
        <f>IF(AND(B268&lt;&gt;"",L268&lt;&gt;$D$17,$D$16&gt;3,$B268&lt;=$D$16),$D$15*Resumo!$F$13,IF(AND(B268&lt;&gt;"",L268&lt;&gt;$D$17,B268&gt;$D$16),$D$15*Resumo!$F$13,0))</f>
        <v>34.369999999999997</v>
      </c>
      <c r="J268" s="42">
        <f>IF(AND(B268&lt;&gt;"",L268&lt;&gt;$D$17,$D$16&gt;3,$B268&lt;=$D$16),Resumo!$F$11,IF(AND(B268&lt;&gt;"",L268&lt;&gt;$D$17,B268&gt;$D$16),Resumo!$F$11,0))</f>
        <v>25</v>
      </c>
      <c r="K268" s="42">
        <f t="shared" ca="1" si="41"/>
        <v>1581.3246896183703</v>
      </c>
      <c r="L268" s="39" t="str">
        <f>IF(B268&lt;&gt;"",VLOOKUP(MONTH(C268),Sheet2!$F$1:$G$12,2,0),"")</f>
        <v>Janeiro</v>
      </c>
      <c r="M268" s="200">
        <f t="shared" ca="1" si="47"/>
        <v>0</v>
      </c>
      <c r="N268" s="40">
        <f t="shared" ca="1" si="48"/>
        <v>1501.7792711274662</v>
      </c>
      <c r="O268" s="40">
        <f t="shared" ca="1" si="42"/>
        <v>1581.3246896183703</v>
      </c>
      <c r="P268" s="40"/>
      <c r="Q268" s="20">
        <f t="shared" ca="1" si="49"/>
        <v>834.89136490250701</v>
      </c>
      <c r="R268" s="1">
        <f t="shared" si="43"/>
        <v>7499</v>
      </c>
      <c r="S268" s="243">
        <f>IF(AND($K$2&gt;=DATEVALUE("03/04/2020"),$K$2&lt;=DATEVALUE("31/12/2020")),0,IF(Resumo!$C$19="PF",IF(R268&lt;360,0.0082%*R268,3%),IF(R268&lt;360,0.0041%*R268,1.5%)))</f>
        <v>1.4999999999999999E-2</v>
      </c>
      <c r="T268" s="172">
        <f t="shared" ca="1" si="50"/>
        <v>12.523370473537605</v>
      </c>
      <c r="X268" s="20">
        <f t="shared" ca="1" si="51"/>
        <v>1501.7792711274662</v>
      </c>
    </row>
    <row r="269" spans="2:24">
      <c r="B269" s="37">
        <f t="shared" si="44"/>
        <v>247</v>
      </c>
      <c r="C269" s="163">
        <f t="shared" si="45"/>
        <v>52277</v>
      </c>
      <c r="D269" s="38">
        <f t="shared" ca="1" si="39"/>
        <v>842.74931039701278</v>
      </c>
      <c r="E269" s="38">
        <f t="shared" ca="1" si="46"/>
        <v>653.29926541975374</v>
      </c>
      <c r="F269" s="38">
        <f t="shared" ca="1" si="40"/>
        <v>1496.0485758167665</v>
      </c>
      <c r="G269" s="38">
        <f ca="1">IF(B269&lt;=$D$16,G268*(1+$D$13)^((C269-C268)/_xlfn.DAYS(EDATE(C268,1),C268)),G268-D269)+IF(B269&lt;=$D$16,G268*Resumo!$F$12,0)+IF(B269&lt;=$D$16,$D$15*Resumo!$F$13,0)+IF(B269&lt;=$D$16,25,0)-IF(AND($D$16&gt;3,B269&lt;=$D$16),K269,0)</f>
        <v>95230.672074860893</v>
      </c>
      <c r="H269" s="38">
        <f ca="1">IF(AND(B269&lt;&gt;"",L269&lt;&gt;$D$17,$D$16&gt;3),G269*Resumo!$F$12,IF(AND(B269&lt;&gt;"",L269&lt;&gt;$D$17,B269&gt;$D$16),G269*Resumo!$F$12,0))</f>
        <v>19.998441135720789</v>
      </c>
      <c r="I269" s="38">
        <f>IF(AND(B269&lt;&gt;"",L269&lt;&gt;$D$17,$D$16&gt;3,$B269&lt;=$D$16),$D$15*Resumo!$F$13,IF(AND(B269&lt;&gt;"",L269&lt;&gt;$D$17,B269&gt;$D$16),$D$15*Resumo!$F$13,0))</f>
        <v>34.369999999999997</v>
      </c>
      <c r="J269" s="38">
        <f>IF(AND(B269&lt;&gt;"",L269&lt;&gt;$D$17,$D$16&gt;3,$B269&lt;=$D$16),Resumo!$F$11,IF(AND(B269&lt;&gt;"",L269&lt;&gt;$D$17,B269&gt;$D$16),Resumo!$F$11,0))</f>
        <v>25</v>
      </c>
      <c r="K269" s="38">
        <f t="shared" ca="1" si="41"/>
        <v>1575.4170169524873</v>
      </c>
      <c r="L269" s="39" t="str">
        <f>IF(B269&lt;&gt;"",VLOOKUP(MONTH(C269),Sheet2!$F$1:$G$12,2,0),"")</f>
        <v>Fevereiro</v>
      </c>
      <c r="M269" s="200">
        <f t="shared" ca="1" si="47"/>
        <v>0</v>
      </c>
      <c r="N269" s="40">
        <f t="shared" ca="1" si="48"/>
        <v>1496.0485758167665</v>
      </c>
      <c r="O269" s="40">
        <f t="shared" ca="1" si="42"/>
        <v>1575.4170169524873</v>
      </c>
      <c r="P269" s="40"/>
      <c r="Q269" s="20">
        <f t="shared" ca="1" si="49"/>
        <v>834.89136490250701</v>
      </c>
      <c r="R269" s="1">
        <f t="shared" si="43"/>
        <v>7530</v>
      </c>
      <c r="S269" s="243">
        <f>IF(AND($K$2&gt;=DATEVALUE("03/04/2020"),$K$2&lt;=DATEVALUE("31/12/2020")),0,IF(Resumo!$C$19="PF",IF(R269&lt;360,0.0082%*R269,3%),IF(R269&lt;360,0.0041%*R269,1.5%)))</f>
        <v>1.4999999999999999E-2</v>
      </c>
      <c r="T269" s="172">
        <f t="shared" ca="1" si="50"/>
        <v>12.523370473537605</v>
      </c>
      <c r="X269" s="20">
        <f t="shared" ca="1" si="51"/>
        <v>1496.0485758167665</v>
      </c>
    </row>
    <row r="270" spans="2:24">
      <c r="B270" s="41">
        <f t="shared" si="44"/>
        <v>248</v>
      </c>
      <c r="C270" s="164">
        <f t="shared" si="45"/>
        <v>52305</v>
      </c>
      <c r="D270" s="42">
        <f t="shared" ca="1" si="39"/>
        <v>842.74931039701278</v>
      </c>
      <c r="E270" s="42">
        <f t="shared" ca="1" si="46"/>
        <v>647.56857010905401</v>
      </c>
      <c r="F270" s="42">
        <f t="shared" ca="1" si="40"/>
        <v>1490.3178805060668</v>
      </c>
      <c r="G270" s="42">
        <f ca="1">IF(B270&lt;=$D$16,G269*(1+$D$13)^((C270-C269)/_xlfn.DAYS(EDATE(C269,1),C269)),G269-D270)+IF(B270&lt;=$D$16,G269*Resumo!$F$12,0)+IF(B270&lt;=$D$16,$D$15*Resumo!$F$13,0)+IF(B270&lt;=$D$16,25,0)-IF(AND($D$16&gt;3,B270&lt;=$D$16),K270,0)</f>
        <v>94387.922764463874</v>
      </c>
      <c r="H270" s="42">
        <f ca="1">IF(AND(B270&lt;&gt;"",L270&lt;&gt;$D$17,$D$16&gt;3),G270*Resumo!$F$12,IF(AND(B270&lt;&gt;"",L270&lt;&gt;$D$17,B270&gt;$D$16),G270*Resumo!$F$12,0))</f>
        <v>19.821463780537414</v>
      </c>
      <c r="I270" s="42">
        <f>IF(AND(B270&lt;&gt;"",L270&lt;&gt;$D$17,$D$16&gt;3,$B270&lt;=$D$16),$D$15*Resumo!$F$13,IF(AND(B270&lt;&gt;"",L270&lt;&gt;$D$17,B270&gt;$D$16),$D$15*Resumo!$F$13,0))</f>
        <v>34.369999999999997</v>
      </c>
      <c r="J270" s="42">
        <f>IF(AND(B270&lt;&gt;"",L270&lt;&gt;$D$17,$D$16&gt;3,$B270&lt;=$D$16),Resumo!$F$11,IF(AND(B270&lt;&gt;"",L270&lt;&gt;$D$17,B270&gt;$D$16),Resumo!$F$11,0))</f>
        <v>25</v>
      </c>
      <c r="K270" s="42">
        <f t="shared" ca="1" si="41"/>
        <v>1569.5093442866041</v>
      </c>
      <c r="L270" s="39" t="str">
        <f>IF(B270&lt;&gt;"",VLOOKUP(MONTH(C270),Sheet2!$F$1:$G$12,2,0),"")</f>
        <v>Março</v>
      </c>
      <c r="M270" s="200">
        <f t="shared" ca="1" si="47"/>
        <v>0</v>
      </c>
      <c r="N270" s="40">
        <f t="shared" ca="1" si="48"/>
        <v>1490.3178805060668</v>
      </c>
      <c r="O270" s="40">
        <f t="shared" ca="1" si="42"/>
        <v>1569.5093442866041</v>
      </c>
      <c r="P270" s="40"/>
      <c r="Q270" s="20">
        <f t="shared" ca="1" si="49"/>
        <v>834.89136490250701</v>
      </c>
      <c r="R270" s="1">
        <f t="shared" si="43"/>
        <v>7558</v>
      </c>
      <c r="S270" s="243">
        <f>IF(AND($K$2&gt;=DATEVALUE("03/04/2020"),$K$2&lt;=DATEVALUE("31/12/2020")),0,IF(Resumo!$C$19="PF",IF(R270&lt;360,0.0082%*R270,3%),IF(R270&lt;360,0.0041%*R270,1.5%)))</f>
        <v>1.4999999999999999E-2</v>
      </c>
      <c r="T270" s="172">
        <f t="shared" ca="1" si="50"/>
        <v>12.523370473537605</v>
      </c>
      <c r="X270" s="20">
        <f t="shared" ca="1" si="51"/>
        <v>1490.3178805060668</v>
      </c>
    </row>
    <row r="271" spans="2:24">
      <c r="B271" s="37">
        <f t="shared" si="44"/>
        <v>249</v>
      </c>
      <c r="C271" s="163">
        <f t="shared" si="45"/>
        <v>52336</v>
      </c>
      <c r="D271" s="38">
        <f t="shared" ca="1" si="39"/>
        <v>842.74931039701278</v>
      </c>
      <c r="E271" s="38">
        <f t="shared" ca="1" si="46"/>
        <v>641.83787479835428</v>
      </c>
      <c r="F271" s="38">
        <f t="shared" ca="1" si="40"/>
        <v>1484.5871851953671</v>
      </c>
      <c r="G271" s="38">
        <f ca="1">IF(B271&lt;=$D$16,G270*(1+$D$13)^((C271-C270)/_xlfn.DAYS(EDATE(C270,1),C270)),G270-D271)+IF(B271&lt;=$D$16,G270*Resumo!$F$12,0)+IF(B271&lt;=$D$16,$D$15*Resumo!$F$13,0)+IF(B271&lt;=$D$16,25,0)-IF(AND($D$16&gt;3,B271&lt;=$D$16),K271,0)</f>
        <v>93545.173454066855</v>
      </c>
      <c r="H271" s="38">
        <f ca="1">IF(AND(B271&lt;&gt;"",L271&lt;&gt;$D$17,$D$16&gt;3),G271*Resumo!$F$12,IF(AND(B271&lt;&gt;"",L271&lt;&gt;$D$17,B271&gt;$D$16),G271*Resumo!$F$12,0))</f>
        <v>19.644486425354039</v>
      </c>
      <c r="I271" s="38">
        <f>IF(AND(B271&lt;&gt;"",L271&lt;&gt;$D$17,$D$16&gt;3,$B271&lt;=$D$16),$D$15*Resumo!$F$13,IF(AND(B271&lt;&gt;"",L271&lt;&gt;$D$17,B271&gt;$D$16),$D$15*Resumo!$F$13,0))</f>
        <v>34.369999999999997</v>
      </c>
      <c r="J271" s="38">
        <f>IF(AND(B271&lt;&gt;"",L271&lt;&gt;$D$17,$D$16&gt;3,$B271&lt;=$D$16),Resumo!$F$11,IF(AND(B271&lt;&gt;"",L271&lt;&gt;$D$17,B271&gt;$D$16),Resumo!$F$11,0))</f>
        <v>25</v>
      </c>
      <c r="K271" s="38">
        <f t="shared" ca="1" si="41"/>
        <v>1563.6016716207209</v>
      </c>
      <c r="L271" s="39" t="str">
        <f>IF(B271&lt;&gt;"",VLOOKUP(MONTH(C271),Sheet2!$F$1:$G$12,2,0),"")</f>
        <v>Abril</v>
      </c>
      <c r="M271" s="200">
        <f t="shared" ca="1" si="47"/>
        <v>0</v>
      </c>
      <c r="N271" s="40">
        <f t="shared" ca="1" si="48"/>
        <v>1484.5871851953671</v>
      </c>
      <c r="O271" s="40">
        <f t="shared" ca="1" si="42"/>
        <v>1563.6016716207209</v>
      </c>
      <c r="P271" s="40"/>
      <c r="Q271" s="20">
        <f t="shared" ca="1" si="49"/>
        <v>834.89136490250701</v>
      </c>
      <c r="R271" s="1">
        <f t="shared" si="43"/>
        <v>7589</v>
      </c>
      <c r="S271" s="243">
        <f>IF(AND($K$2&gt;=DATEVALUE("03/04/2020"),$K$2&lt;=DATEVALUE("31/12/2020")),0,IF(Resumo!$C$19="PF",IF(R271&lt;360,0.0082%*R271,3%),IF(R271&lt;360,0.0041%*R271,1.5%)))</f>
        <v>1.4999999999999999E-2</v>
      </c>
      <c r="T271" s="172">
        <f t="shared" ca="1" si="50"/>
        <v>12.523370473537605</v>
      </c>
      <c r="X271" s="20">
        <f t="shared" ca="1" si="51"/>
        <v>1484.5871851953671</v>
      </c>
    </row>
    <row r="272" spans="2:24">
      <c r="B272" s="41">
        <f t="shared" si="44"/>
        <v>250</v>
      </c>
      <c r="C272" s="164">
        <f t="shared" si="45"/>
        <v>52366</v>
      </c>
      <c r="D272" s="42">
        <f t="shared" ca="1" si="39"/>
        <v>842.74931039701278</v>
      </c>
      <c r="E272" s="42">
        <f t="shared" ca="1" si="46"/>
        <v>636.10717948765455</v>
      </c>
      <c r="F272" s="42">
        <f t="shared" ca="1" si="40"/>
        <v>1478.8564898846673</v>
      </c>
      <c r="G272" s="42">
        <f ca="1">IF(B272&lt;=$D$16,G271*(1+$D$13)^((C272-C271)/_xlfn.DAYS(EDATE(C271,1),C271)),G271-D272)+IF(B272&lt;=$D$16,G271*Resumo!$F$12,0)+IF(B272&lt;=$D$16,$D$15*Resumo!$F$13,0)+IF(B272&lt;=$D$16,25,0)-IF(AND($D$16&gt;3,B272&lt;=$D$16),K272,0)</f>
        <v>92702.424143669836</v>
      </c>
      <c r="H272" s="42">
        <f ca="1">IF(AND(B272&lt;&gt;"",L272&lt;&gt;$D$17,$D$16&gt;3),G272*Resumo!$F$12,IF(AND(B272&lt;&gt;"",L272&lt;&gt;$D$17,B272&gt;$D$16),G272*Resumo!$F$12,0))</f>
        <v>19.467509070170667</v>
      </c>
      <c r="I272" s="42">
        <f>IF(AND(B272&lt;&gt;"",L272&lt;&gt;$D$17,$D$16&gt;3,$B272&lt;=$D$16),$D$15*Resumo!$F$13,IF(AND(B272&lt;&gt;"",L272&lt;&gt;$D$17,B272&gt;$D$16),$D$15*Resumo!$F$13,0))</f>
        <v>34.369999999999997</v>
      </c>
      <c r="J272" s="42">
        <f>IF(AND(B272&lt;&gt;"",L272&lt;&gt;$D$17,$D$16&gt;3,$B272&lt;=$D$16),Resumo!$F$11,IF(AND(B272&lt;&gt;"",L272&lt;&gt;$D$17,B272&gt;$D$16),Resumo!$F$11,0))</f>
        <v>25</v>
      </c>
      <c r="K272" s="42">
        <f t="shared" ca="1" si="41"/>
        <v>1557.693998954838</v>
      </c>
      <c r="L272" s="39" t="str">
        <f>IF(B272&lt;&gt;"",VLOOKUP(MONTH(C272),Sheet2!$F$1:$G$12,2,0),"")</f>
        <v>Maio</v>
      </c>
      <c r="M272" s="200">
        <f t="shared" ca="1" si="47"/>
        <v>0</v>
      </c>
      <c r="N272" s="40">
        <f t="shared" ca="1" si="48"/>
        <v>1478.8564898846673</v>
      </c>
      <c r="O272" s="40">
        <f t="shared" ca="1" si="42"/>
        <v>1557.693998954838</v>
      </c>
      <c r="P272" s="40"/>
      <c r="Q272" s="20">
        <f t="shared" ca="1" si="49"/>
        <v>834.89136490250701</v>
      </c>
      <c r="R272" s="1">
        <f t="shared" si="43"/>
        <v>7619</v>
      </c>
      <c r="S272" s="243">
        <f>IF(AND($K$2&gt;=DATEVALUE("03/04/2020"),$K$2&lt;=DATEVALUE("31/12/2020")),0,IF(Resumo!$C$19="PF",IF(R272&lt;360,0.0082%*R272,3%),IF(R272&lt;360,0.0041%*R272,1.5%)))</f>
        <v>1.4999999999999999E-2</v>
      </c>
      <c r="T272" s="172">
        <f t="shared" ca="1" si="50"/>
        <v>12.523370473537605</v>
      </c>
      <c r="X272" s="20">
        <f t="shared" ca="1" si="51"/>
        <v>1478.8564898846673</v>
      </c>
    </row>
    <row r="273" spans="2:24">
      <c r="B273" s="37">
        <f t="shared" si="44"/>
        <v>251</v>
      </c>
      <c r="C273" s="163">
        <f t="shared" si="45"/>
        <v>52397</v>
      </c>
      <c r="D273" s="38">
        <f t="shared" ca="1" si="39"/>
        <v>842.74931039701278</v>
      </c>
      <c r="E273" s="38">
        <f t="shared" ca="1" si="46"/>
        <v>630.37648417695482</v>
      </c>
      <c r="F273" s="38">
        <f t="shared" ca="1" si="40"/>
        <v>1473.1257945739676</v>
      </c>
      <c r="G273" s="38">
        <f ca="1">IF(B273&lt;=$D$16,G272*(1+$D$13)^((C273-C272)/_xlfn.DAYS(EDATE(C272,1),C272)),G272-D273)+IF(B273&lt;=$D$16,G272*Resumo!$F$12,0)+IF(B273&lt;=$D$16,$D$15*Resumo!$F$13,0)+IF(B273&lt;=$D$16,25,0)-IF(AND($D$16&gt;3,B273&lt;=$D$16),K273,0)</f>
        <v>91859.674833272817</v>
      </c>
      <c r="H273" s="38">
        <f ca="1">IF(AND(B273&lt;&gt;"",L273&lt;&gt;$D$17,$D$16&gt;3),G273*Resumo!$F$12,IF(AND(B273&lt;&gt;"",L273&lt;&gt;$D$17,B273&gt;$D$16),G273*Resumo!$F$12,0))</f>
        <v>19.290531714987292</v>
      </c>
      <c r="I273" s="38">
        <f>IF(AND(B273&lt;&gt;"",L273&lt;&gt;$D$17,$D$16&gt;3,$B273&lt;=$D$16),$D$15*Resumo!$F$13,IF(AND(B273&lt;&gt;"",L273&lt;&gt;$D$17,B273&gt;$D$16),$D$15*Resumo!$F$13,0))</f>
        <v>34.369999999999997</v>
      </c>
      <c r="J273" s="38">
        <f>IF(AND(B273&lt;&gt;"",L273&lt;&gt;$D$17,$D$16&gt;3,$B273&lt;=$D$16),Resumo!$F$11,IF(AND(B273&lt;&gt;"",L273&lt;&gt;$D$17,B273&gt;$D$16),Resumo!$F$11,0))</f>
        <v>25</v>
      </c>
      <c r="K273" s="38">
        <f t="shared" ca="1" si="41"/>
        <v>1551.7863262889548</v>
      </c>
      <c r="L273" s="39" t="str">
        <f>IF(B273&lt;&gt;"",VLOOKUP(MONTH(C273),Sheet2!$F$1:$G$12,2,0),"")</f>
        <v>Junho</v>
      </c>
      <c r="M273" s="200">
        <f t="shared" ca="1" si="47"/>
        <v>0</v>
      </c>
      <c r="N273" s="40">
        <f t="shared" ca="1" si="48"/>
        <v>1473.1257945739676</v>
      </c>
      <c r="O273" s="40">
        <f t="shared" ca="1" si="42"/>
        <v>1551.7863262889548</v>
      </c>
      <c r="P273" s="40"/>
      <c r="Q273" s="20">
        <f t="shared" ca="1" si="49"/>
        <v>834.89136490250701</v>
      </c>
      <c r="R273" s="1">
        <f t="shared" si="43"/>
        <v>7650</v>
      </c>
      <c r="S273" s="243">
        <f>IF(AND($K$2&gt;=DATEVALUE("03/04/2020"),$K$2&lt;=DATEVALUE("31/12/2020")),0,IF(Resumo!$C$19="PF",IF(R273&lt;360,0.0082%*R273,3%),IF(R273&lt;360,0.0041%*R273,1.5%)))</f>
        <v>1.4999999999999999E-2</v>
      </c>
      <c r="T273" s="172">
        <f t="shared" ca="1" si="50"/>
        <v>12.523370473537605</v>
      </c>
      <c r="X273" s="20">
        <f t="shared" ca="1" si="51"/>
        <v>1473.1257945739676</v>
      </c>
    </row>
    <row r="274" spans="2:24">
      <c r="B274" s="41">
        <f t="shared" si="44"/>
        <v>252</v>
      </c>
      <c r="C274" s="164">
        <f t="shared" si="45"/>
        <v>52427</v>
      </c>
      <c r="D274" s="42">
        <f t="shared" ca="1" si="39"/>
        <v>842.74931039701278</v>
      </c>
      <c r="E274" s="42">
        <f t="shared" ca="1" si="46"/>
        <v>624.64578886625509</v>
      </c>
      <c r="F274" s="42">
        <f t="shared" ca="1" si="40"/>
        <v>1467.3950992632679</v>
      </c>
      <c r="G274" s="42">
        <f ca="1">IF(B274&lt;=$D$16,G273*(1+$D$13)^((C274-C273)/_xlfn.DAYS(EDATE(C273,1),C273)),G273-D274)+IF(B274&lt;=$D$16,G273*Resumo!$F$12,0)+IF(B274&lt;=$D$16,$D$15*Resumo!$F$13,0)+IF(B274&lt;=$D$16,25,0)-IF(AND($D$16&gt;3,B274&lt;=$D$16),K274,0)</f>
        <v>91016.925522875797</v>
      </c>
      <c r="H274" s="42">
        <f ca="1">IF(AND(B274&lt;&gt;"",L274&lt;&gt;$D$17,$D$16&gt;3),G274*Resumo!$F$12,IF(AND(B274&lt;&gt;"",L274&lt;&gt;$D$17,B274&gt;$D$16),G274*Resumo!$F$12,0))</f>
        <v>19.113554359803917</v>
      </c>
      <c r="I274" s="42">
        <f>IF(AND(B274&lt;&gt;"",L274&lt;&gt;$D$17,$D$16&gt;3,$B274&lt;=$D$16),$D$15*Resumo!$F$13,IF(AND(B274&lt;&gt;"",L274&lt;&gt;$D$17,B274&gt;$D$16),$D$15*Resumo!$F$13,0))</f>
        <v>34.369999999999997</v>
      </c>
      <c r="J274" s="42">
        <f>IF(AND(B274&lt;&gt;"",L274&lt;&gt;$D$17,$D$16&gt;3,$B274&lt;=$D$16),Resumo!$F$11,IF(AND(B274&lt;&gt;"",L274&lt;&gt;$D$17,B274&gt;$D$16),Resumo!$F$11,0))</f>
        <v>25</v>
      </c>
      <c r="K274" s="42">
        <f t="shared" ca="1" si="41"/>
        <v>1545.8786536230716</v>
      </c>
      <c r="L274" s="39" t="str">
        <f>IF(B274&lt;&gt;"",VLOOKUP(MONTH(C274),Sheet2!$F$1:$G$12,2,0),"")</f>
        <v>Julho</v>
      </c>
      <c r="M274" s="200">
        <f t="shared" ca="1" si="47"/>
        <v>0</v>
      </c>
      <c r="N274" s="40">
        <f t="shared" ca="1" si="48"/>
        <v>1467.3950992632679</v>
      </c>
      <c r="O274" s="40">
        <f t="shared" ca="1" si="42"/>
        <v>1545.8786536230716</v>
      </c>
      <c r="P274" s="40"/>
      <c r="Q274" s="20">
        <f t="shared" ca="1" si="49"/>
        <v>834.89136490250701</v>
      </c>
      <c r="R274" s="1">
        <f t="shared" si="43"/>
        <v>7680</v>
      </c>
      <c r="S274" s="243">
        <f>IF(AND($K$2&gt;=DATEVALUE("03/04/2020"),$K$2&lt;=DATEVALUE("31/12/2020")),0,IF(Resumo!$C$19="PF",IF(R274&lt;360,0.0082%*R274,3%),IF(R274&lt;360,0.0041%*R274,1.5%)))</f>
        <v>1.4999999999999999E-2</v>
      </c>
      <c r="T274" s="172">
        <f t="shared" ca="1" si="50"/>
        <v>12.523370473537605</v>
      </c>
      <c r="X274" s="20">
        <f t="shared" ca="1" si="51"/>
        <v>1467.3950992632679</v>
      </c>
    </row>
    <row r="275" spans="2:24">
      <c r="B275" s="37">
        <f t="shared" si="44"/>
        <v>253</v>
      </c>
      <c r="C275" s="163">
        <f t="shared" si="45"/>
        <v>52458</v>
      </c>
      <c r="D275" s="38">
        <f t="shared" ca="1" si="39"/>
        <v>842.74931039701278</v>
      </c>
      <c r="E275" s="38">
        <f t="shared" ca="1" si="46"/>
        <v>618.91509355555536</v>
      </c>
      <c r="F275" s="38">
        <f t="shared" ca="1" si="40"/>
        <v>1461.6644039525681</v>
      </c>
      <c r="G275" s="38">
        <f ca="1">IF(B275&lt;=$D$16,G274*(1+$D$13)^((C275-C274)/_xlfn.DAYS(EDATE(C274,1),C274)),G274-D275)+IF(B275&lt;=$D$16,G274*Resumo!$F$12,0)+IF(B275&lt;=$D$16,$D$15*Resumo!$F$13,0)+IF(B275&lt;=$D$16,25,0)-IF(AND($D$16&gt;3,B275&lt;=$D$16),K275,0)</f>
        <v>90174.176212478778</v>
      </c>
      <c r="H275" s="38">
        <f ca="1">IF(AND(B275&lt;&gt;"",L275&lt;&gt;$D$17,$D$16&gt;3),G275*Resumo!$F$12,IF(AND(B275&lt;&gt;"",L275&lt;&gt;$D$17,B275&gt;$D$16),G275*Resumo!$F$12,0))</f>
        <v>18.936577004620545</v>
      </c>
      <c r="I275" s="38">
        <f>IF(AND(B275&lt;&gt;"",L275&lt;&gt;$D$17,$D$16&gt;3,$B275&lt;=$D$16),$D$15*Resumo!$F$13,IF(AND(B275&lt;&gt;"",L275&lt;&gt;$D$17,B275&gt;$D$16),$D$15*Resumo!$F$13,0))</f>
        <v>34.369999999999997</v>
      </c>
      <c r="J275" s="38">
        <f>IF(AND(B275&lt;&gt;"",L275&lt;&gt;$D$17,$D$16&gt;3,$B275&lt;=$D$16),Resumo!$F$11,IF(AND(B275&lt;&gt;"",L275&lt;&gt;$D$17,B275&gt;$D$16),Resumo!$F$11,0))</f>
        <v>25</v>
      </c>
      <c r="K275" s="38">
        <f t="shared" ca="1" si="41"/>
        <v>1539.9709809571887</v>
      </c>
      <c r="L275" s="39" t="str">
        <f>IF(B275&lt;&gt;"",VLOOKUP(MONTH(C275),Sheet2!$F$1:$G$12,2,0),"")</f>
        <v>Agosto</v>
      </c>
      <c r="M275" s="200">
        <f t="shared" ca="1" si="47"/>
        <v>0</v>
      </c>
      <c r="N275" s="40">
        <f t="shared" ca="1" si="48"/>
        <v>1461.6644039525681</v>
      </c>
      <c r="O275" s="40">
        <f t="shared" ca="1" si="42"/>
        <v>1539.9709809571887</v>
      </c>
      <c r="P275" s="40"/>
      <c r="Q275" s="20">
        <f t="shared" ca="1" si="49"/>
        <v>834.89136490250701</v>
      </c>
      <c r="R275" s="1">
        <f t="shared" si="43"/>
        <v>7711</v>
      </c>
      <c r="S275" s="243">
        <f>IF(AND($K$2&gt;=DATEVALUE("03/04/2020"),$K$2&lt;=DATEVALUE("31/12/2020")),0,IF(Resumo!$C$19="PF",IF(R275&lt;360,0.0082%*R275,3%),IF(R275&lt;360,0.0041%*R275,1.5%)))</f>
        <v>1.4999999999999999E-2</v>
      </c>
      <c r="T275" s="172">
        <f t="shared" ca="1" si="50"/>
        <v>12.523370473537605</v>
      </c>
      <c r="X275" s="20">
        <f t="shared" ca="1" si="51"/>
        <v>1461.6644039525681</v>
      </c>
    </row>
    <row r="276" spans="2:24">
      <c r="B276" s="41">
        <f t="shared" si="44"/>
        <v>254</v>
      </c>
      <c r="C276" s="164">
        <f t="shared" si="45"/>
        <v>52489</v>
      </c>
      <c r="D276" s="42">
        <f t="shared" ca="1" si="39"/>
        <v>842.74931039701278</v>
      </c>
      <c r="E276" s="42">
        <f t="shared" ca="1" si="46"/>
        <v>613.18439824485563</v>
      </c>
      <c r="F276" s="42">
        <f t="shared" ca="1" si="40"/>
        <v>1455.9337086418684</v>
      </c>
      <c r="G276" s="42">
        <f ca="1">IF(B276&lt;=$D$16,G275*(1+$D$13)^((C276-C275)/_xlfn.DAYS(EDATE(C275,1),C275)),G275-D276)+IF(B276&lt;=$D$16,G275*Resumo!$F$12,0)+IF(B276&lt;=$D$16,$D$15*Resumo!$F$13,0)+IF(B276&lt;=$D$16,25,0)-IF(AND($D$16&gt;3,B276&lt;=$D$16),K276,0)</f>
        <v>89331.426902081759</v>
      </c>
      <c r="H276" s="42">
        <f ca="1">IF(AND(B276&lt;&gt;"",L276&lt;&gt;$D$17,$D$16&gt;3),G276*Resumo!$F$12,IF(AND(B276&lt;&gt;"",L276&lt;&gt;$D$17,B276&gt;$D$16),G276*Resumo!$F$12,0))</f>
        <v>18.75959964943717</v>
      </c>
      <c r="I276" s="42">
        <f>IF(AND(B276&lt;&gt;"",L276&lt;&gt;$D$17,$D$16&gt;3,$B276&lt;=$D$16),$D$15*Resumo!$F$13,IF(AND(B276&lt;&gt;"",L276&lt;&gt;$D$17,B276&gt;$D$16),$D$15*Resumo!$F$13,0))</f>
        <v>34.369999999999997</v>
      </c>
      <c r="J276" s="42">
        <f>IF(AND(B276&lt;&gt;"",L276&lt;&gt;$D$17,$D$16&gt;3,$B276&lt;=$D$16),Resumo!$F$11,IF(AND(B276&lt;&gt;"",L276&lt;&gt;$D$17,B276&gt;$D$16),Resumo!$F$11,0))</f>
        <v>25</v>
      </c>
      <c r="K276" s="42">
        <f t="shared" ca="1" si="41"/>
        <v>1534.0633082913055</v>
      </c>
      <c r="L276" s="39" t="str">
        <f>IF(B276&lt;&gt;"",VLOOKUP(MONTH(C276),Sheet2!$F$1:$G$12,2,0),"")</f>
        <v>Setembro</v>
      </c>
      <c r="M276" s="200">
        <f t="shared" ca="1" si="47"/>
        <v>0</v>
      </c>
      <c r="N276" s="40">
        <f t="shared" ca="1" si="48"/>
        <v>1455.9337086418684</v>
      </c>
      <c r="O276" s="40">
        <f t="shared" ca="1" si="42"/>
        <v>1534.0633082913055</v>
      </c>
      <c r="P276" s="40"/>
      <c r="Q276" s="20">
        <f t="shared" ca="1" si="49"/>
        <v>834.89136490250701</v>
      </c>
      <c r="R276" s="1">
        <f t="shared" si="43"/>
        <v>7742</v>
      </c>
      <c r="S276" s="243">
        <f>IF(AND($K$2&gt;=DATEVALUE("03/04/2020"),$K$2&lt;=DATEVALUE("31/12/2020")),0,IF(Resumo!$C$19="PF",IF(R276&lt;360,0.0082%*R276,3%),IF(R276&lt;360,0.0041%*R276,1.5%)))</f>
        <v>1.4999999999999999E-2</v>
      </c>
      <c r="T276" s="172">
        <f t="shared" ca="1" si="50"/>
        <v>12.523370473537605</v>
      </c>
      <c r="X276" s="20">
        <f t="shared" ca="1" si="51"/>
        <v>1455.9337086418684</v>
      </c>
    </row>
    <row r="277" spans="2:24">
      <c r="B277" s="37">
        <f t="shared" si="44"/>
        <v>255</v>
      </c>
      <c r="C277" s="163">
        <f t="shared" si="45"/>
        <v>52519</v>
      </c>
      <c r="D277" s="38">
        <f t="shared" ca="1" si="39"/>
        <v>842.74931039701278</v>
      </c>
      <c r="E277" s="38">
        <f t="shared" ca="1" si="46"/>
        <v>607.4537029341559</v>
      </c>
      <c r="F277" s="38">
        <f t="shared" ca="1" si="40"/>
        <v>1450.2030133311687</v>
      </c>
      <c r="G277" s="38">
        <f ca="1">IF(B277&lt;=$D$16,G276*(1+$D$13)^((C277-C276)/_xlfn.DAYS(EDATE(C276,1),C276)),G276-D277)+IF(B277&lt;=$D$16,G276*Resumo!$F$12,0)+IF(B277&lt;=$D$16,$D$15*Resumo!$F$13,0)+IF(B277&lt;=$D$16,25,0)-IF(AND($D$16&gt;3,B277&lt;=$D$16),K277,0)</f>
        <v>88488.67759168474</v>
      </c>
      <c r="H277" s="38">
        <f ca="1">IF(AND(B277&lt;&gt;"",L277&lt;&gt;$D$17,$D$16&gt;3),G277*Resumo!$F$12,IF(AND(B277&lt;&gt;"",L277&lt;&gt;$D$17,B277&gt;$D$16),G277*Resumo!$F$12,0))</f>
        <v>18.582622294253795</v>
      </c>
      <c r="I277" s="38">
        <f>IF(AND(B277&lt;&gt;"",L277&lt;&gt;$D$17,$D$16&gt;3,$B277&lt;=$D$16),$D$15*Resumo!$F$13,IF(AND(B277&lt;&gt;"",L277&lt;&gt;$D$17,B277&gt;$D$16),$D$15*Resumo!$F$13,0))</f>
        <v>34.369999999999997</v>
      </c>
      <c r="J277" s="38">
        <f>IF(AND(B277&lt;&gt;"",L277&lt;&gt;$D$17,$D$16&gt;3,$B277&lt;=$D$16),Resumo!$F$11,IF(AND(B277&lt;&gt;"",L277&lt;&gt;$D$17,B277&gt;$D$16),Resumo!$F$11,0))</f>
        <v>25</v>
      </c>
      <c r="K277" s="38">
        <f t="shared" ca="1" si="41"/>
        <v>1528.1556356254223</v>
      </c>
      <c r="L277" s="39" t="str">
        <f>IF(B277&lt;&gt;"",VLOOKUP(MONTH(C277),Sheet2!$F$1:$G$12,2,0),"")</f>
        <v>Outubro</v>
      </c>
      <c r="M277" s="200">
        <f t="shared" ca="1" si="47"/>
        <v>0</v>
      </c>
      <c r="N277" s="40">
        <f t="shared" ca="1" si="48"/>
        <v>1450.2030133311687</v>
      </c>
      <c r="O277" s="40">
        <f t="shared" ca="1" si="42"/>
        <v>1528.1556356254223</v>
      </c>
      <c r="P277" s="40"/>
      <c r="Q277" s="20">
        <f t="shared" ca="1" si="49"/>
        <v>834.89136490250701</v>
      </c>
      <c r="R277" s="1">
        <f t="shared" si="43"/>
        <v>7772</v>
      </c>
      <c r="S277" s="243">
        <f>IF(AND($K$2&gt;=DATEVALUE("03/04/2020"),$K$2&lt;=DATEVALUE("31/12/2020")),0,IF(Resumo!$C$19="PF",IF(R277&lt;360,0.0082%*R277,3%),IF(R277&lt;360,0.0041%*R277,1.5%)))</f>
        <v>1.4999999999999999E-2</v>
      </c>
      <c r="T277" s="172">
        <f t="shared" ca="1" si="50"/>
        <v>12.523370473537605</v>
      </c>
      <c r="X277" s="20">
        <f t="shared" ca="1" si="51"/>
        <v>1450.2030133311687</v>
      </c>
    </row>
    <row r="278" spans="2:24">
      <c r="B278" s="41">
        <f t="shared" si="44"/>
        <v>256</v>
      </c>
      <c r="C278" s="164">
        <f t="shared" si="45"/>
        <v>52550</v>
      </c>
      <c r="D278" s="42">
        <f t="shared" ca="1" si="39"/>
        <v>842.74931039701278</v>
      </c>
      <c r="E278" s="42">
        <f t="shared" ca="1" si="46"/>
        <v>601.72300762345617</v>
      </c>
      <c r="F278" s="42">
        <f t="shared" ca="1" si="40"/>
        <v>1444.4723180204689</v>
      </c>
      <c r="G278" s="42">
        <f ca="1">IF(B278&lt;=$D$16,G277*(1+$D$13)^((C278-C277)/_xlfn.DAYS(EDATE(C277,1),C277)),G277-D278)+IF(B278&lt;=$D$16,G277*Resumo!$F$12,0)+IF(B278&lt;=$D$16,$D$15*Resumo!$F$13,0)+IF(B278&lt;=$D$16,25,0)-IF(AND($D$16&gt;3,B278&lt;=$D$16),K278,0)</f>
        <v>87645.928281287721</v>
      </c>
      <c r="H278" s="42">
        <f ca="1">IF(AND(B278&lt;&gt;"",L278&lt;&gt;$D$17,$D$16&gt;3),G278*Resumo!$F$12,IF(AND(B278&lt;&gt;"",L278&lt;&gt;$D$17,B278&gt;$D$16),G278*Resumo!$F$12,0))</f>
        <v>18.405644939070424</v>
      </c>
      <c r="I278" s="42">
        <f>IF(AND(B278&lt;&gt;"",L278&lt;&gt;$D$17,$D$16&gt;3,$B278&lt;=$D$16),$D$15*Resumo!$F$13,IF(AND(B278&lt;&gt;"",L278&lt;&gt;$D$17,B278&gt;$D$16),$D$15*Resumo!$F$13,0))</f>
        <v>34.369999999999997</v>
      </c>
      <c r="J278" s="42">
        <f>IF(AND(B278&lt;&gt;"",L278&lt;&gt;$D$17,$D$16&gt;3,$B278&lt;=$D$16),Resumo!$F$11,IF(AND(B278&lt;&gt;"",L278&lt;&gt;$D$17,B278&gt;$D$16),Resumo!$F$11,0))</f>
        <v>25</v>
      </c>
      <c r="K278" s="42">
        <f t="shared" ca="1" si="41"/>
        <v>1522.2479629595393</v>
      </c>
      <c r="L278" s="39" t="str">
        <f>IF(B278&lt;&gt;"",VLOOKUP(MONTH(C278),Sheet2!$F$1:$G$12,2,0),"")</f>
        <v>Novembro</v>
      </c>
      <c r="M278" s="200">
        <f t="shared" ca="1" si="47"/>
        <v>0</v>
      </c>
      <c r="N278" s="40">
        <f t="shared" ca="1" si="48"/>
        <v>1444.4723180204689</v>
      </c>
      <c r="O278" s="40">
        <f t="shared" ca="1" si="42"/>
        <v>1522.2479629595393</v>
      </c>
      <c r="P278" s="40"/>
      <c r="Q278" s="20">
        <f t="shared" ca="1" si="49"/>
        <v>834.89136490250701</v>
      </c>
      <c r="R278" s="1">
        <f t="shared" si="43"/>
        <v>7803</v>
      </c>
      <c r="S278" s="243">
        <f>IF(AND($K$2&gt;=DATEVALUE("03/04/2020"),$K$2&lt;=DATEVALUE("31/12/2020")),0,IF(Resumo!$C$19="PF",IF(R278&lt;360,0.0082%*R278,3%),IF(R278&lt;360,0.0041%*R278,1.5%)))</f>
        <v>1.4999999999999999E-2</v>
      </c>
      <c r="T278" s="172">
        <f t="shared" ca="1" si="50"/>
        <v>12.523370473537605</v>
      </c>
      <c r="X278" s="20">
        <f t="shared" ca="1" si="51"/>
        <v>1444.4723180204689</v>
      </c>
    </row>
    <row r="279" spans="2:24">
      <c r="B279" s="37">
        <f t="shared" si="44"/>
        <v>257</v>
      </c>
      <c r="C279" s="163">
        <f t="shared" si="45"/>
        <v>52580</v>
      </c>
      <c r="D279" s="38">
        <f t="shared" ref="D279:D342" ca="1" si="52">IF(AND(B279&lt;&gt;"",L279&lt;&gt;$D$17,B279&gt;$D$16),VLOOKUP(IF($D$16=0,"I",$D$16),B:G,6,0)/($D$12-$E$17-$D$16),0)</f>
        <v>842.74931039701278</v>
      </c>
      <c r="E279" s="38">
        <f t="shared" ca="1" si="46"/>
        <v>595.99231231275644</v>
      </c>
      <c r="F279" s="38">
        <f t="shared" ref="F279:F342" ca="1" si="53">D279+E279</f>
        <v>1438.7416227097692</v>
      </c>
      <c r="G279" s="38">
        <f ca="1">IF(B279&lt;=$D$16,G278*(1+$D$13)^((C279-C278)/_xlfn.DAYS(EDATE(C278,1),C278)),G278-D279)+IF(B279&lt;=$D$16,G278*Resumo!$F$12,0)+IF(B279&lt;=$D$16,$D$15*Resumo!$F$13,0)+IF(B279&lt;=$D$16,25,0)-IF(AND($D$16&gt;3,B279&lt;=$D$16),K279,0)</f>
        <v>86803.178970890702</v>
      </c>
      <c r="H279" s="38">
        <f ca="1">IF(AND(B279&lt;&gt;"",L279&lt;&gt;$D$17,$D$16&gt;3),G279*Resumo!$F$12,IF(AND(B279&lt;&gt;"",L279&lt;&gt;$D$17,B279&gt;$D$16),G279*Resumo!$F$12,0))</f>
        <v>18.228667583887049</v>
      </c>
      <c r="I279" s="38">
        <f>IF(AND(B279&lt;&gt;"",L279&lt;&gt;$D$17,$D$16&gt;3,$B279&lt;=$D$16),$D$15*Resumo!$F$13,IF(AND(B279&lt;&gt;"",L279&lt;&gt;$D$17,B279&gt;$D$16),$D$15*Resumo!$F$13,0))</f>
        <v>34.369999999999997</v>
      </c>
      <c r="J279" s="38">
        <f>IF(AND(B279&lt;&gt;"",L279&lt;&gt;$D$17,$D$16&gt;3,$B279&lt;=$D$16),Resumo!$F$11,IF(AND(B279&lt;&gt;"",L279&lt;&gt;$D$17,B279&gt;$D$16),Resumo!$F$11,0))</f>
        <v>25</v>
      </c>
      <c r="K279" s="38">
        <f t="shared" ref="K279:K342" ca="1" si="54">IF(B279&lt;&gt;"",D279+E279+H279+I279+J279,"")</f>
        <v>1516.3402902936562</v>
      </c>
      <c r="L279" s="39" t="str">
        <f>IF(B279&lt;&gt;"",VLOOKUP(MONTH(C279),Sheet2!$F$1:$G$12,2,0),"")</f>
        <v>Dezembro</v>
      </c>
      <c r="M279" s="200">
        <f t="shared" ca="1" si="47"/>
        <v>0</v>
      </c>
      <c r="N279" s="40">
        <f t="shared" ca="1" si="48"/>
        <v>1438.7416227097692</v>
      </c>
      <c r="O279" s="40">
        <f t="shared" ref="O279:O342" ca="1" si="55">K279</f>
        <v>1516.3402902936562</v>
      </c>
      <c r="P279" s="40"/>
      <c r="Q279" s="20">
        <f t="shared" ca="1" si="49"/>
        <v>834.89136490250701</v>
      </c>
      <c r="R279" s="1">
        <f t="shared" ref="R279:R342" si="56">IFERROR(C279-$K$2,0)</f>
        <v>7833</v>
      </c>
      <c r="S279" s="243">
        <f>IF(AND($K$2&gt;=DATEVALUE("03/04/2020"),$K$2&lt;=DATEVALUE("31/12/2020")),0,IF(Resumo!$C$19="PF",IF(R279&lt;360,0.0082%*R279,3%),IF(R279&lt;360,0.0041%*R279,1.5%)))</f>
        <v>1.4999999999999999E-2</v>
      </c>
      <c r="T279" s="172">
        <f t="shared" ca="1" si="50"/>
        <v>12.523370473537605</v>
      </c>
      <c r="X279" s="20">
        <f t="shared" ca="1" si="51"/>
        <v>1438.7416227097692</v>
      </c>
    </row>
    <row r="280" spans="2:24">
      <c r="B280" s="41">
        <f t="shared" ref="B280:B343" si="57">IF(B279&lt;$D$12,B279+1,"")</f>
        <v>258</v>
      </c>
      <c r="C280" s="164">
        <f t="shared" ref="C280:C342" si="58">IF(B280&lt;&gt;"",EDATE($C$22,B280),"")</f>
        <v>52611</v>
      </c>
      <c r="D280" s="42">
        <f t="shared" ca="1" si="52"/>
        <v>842.74931039701278</v>
      </c>
      <c r="E280" s="42">
        <f t="shared" ref="E280:E343" ca="1" si="59">IF(AND(B280&lt;&gt;"",L280&lt;&gt;$D$17,B280&lt;$D$16,$D$16&lt;4),0,IF(AND(B280&lt;&gt;"",L280&lt;&gt;$D$17,B280&lt;=$D$16,$D$16&gt;3),G279*$D$13,IF(AND(B280&lt;&gt;"",L280&lt;&gt;$D$17,B280&gt;$D$16),G279*$D$13,0)))</f>
        <v>590.26161700205671</v>
      </c>
      <c r="F280" s="42">
        <f t="shared" ca="1" si="53"/>
        <v>1433.0109273990695</v>
      </c>
      <c r="G280" s="42">
        <f ca="1">IF(B280&lt;=$D$16,G279*(1+$D$13)^((C280-C279)/_xlfn.DAYS(EDATE(C279,1),C279)),G279-D280)+IF(B280&lt;=$D$16,G279*Resumo!$F$12,0)+IF(B280&lt;=$D$16,$D$15*Resumo!$F$13,0)+IF(B280&lt;=$D$16,25,0)-IF(AND($D$16&gt;3,B280&lt;=$D$16),K280,0)</f>
        <v>85960.429660493683</v>
      </c>
      <c r="H280" s="42">
        <f ca="1">IF(AND(B280&lt;&gt;"",L280&lt;&gt;$D$17,$D$16&gt;3),G280*Resumo!$F$12,IF(AND(B280&lt;&gt;"",L280&lt;&gt;$D$17,B280&gt;$D$16),G280*Resumo!$F$12,0))</f>
        <v>18.051690228703674</v>
      </c>
      <c r="I280" s="42">
        <f>IF(AND(B280&lt;&gt;"",L280&lt;&gt;$D$17,$D$16&gt;3,$B280&lt;=$D$16),$D$15*Resumo!$F$13,IF(AND(B280&lt;&gt;"",L280&lt;&gt;$D$17,B280&gt;$D$16),$D$15*Resumo!$F$13,0))</f>
        <v>34.369999999999997</v>
      </c>
      <c r="J280" s="42">
        <f>IF(AND(B280&lt;&gt;"",L280&lt;&gt;$D$17,$D$16&gt;3,$B280&lt;=$D$16),Resumo!$F$11,IF(AND(B280&lt;&gt;"",L280&lt;&gt;$D$17,B280&gt;$D$16),Resumo!$F$11,0))</f>
        <v>25</v>
      </c>
      <c r="K280" s="42">
        <f t="shared" ca="1" si="54"/>
        <v>1510.432617627773</v>
      </c>
      <c r="L280" s="39" t="str">
        <f>IF(B280&lt;&gt;"",VLOOKUP(MONTH(C280),Sheet2!$F$1:$G$12,2,0),"")</f>
        <v>Janeiro</v>
      </c>
      <c r="M280" s="200">
        <f t="shared" ref="M280:M342" ca="1" si="60">IF(AND(M279=0,K280&gt;K279),C280,0)</f>
        <v>0</v>
      </c>
      <c r="N280" s="40">
        <f t="shared" ref="N280:N342" ca="1" si="61">D280+E280</f>
        <v>1433.0109273990695</v>
      </c>
      <c r="O280" s="40">
        <f t="shared" ca="1" si="55"/>
        <v>1510.432617627773</v>
      </c>
      <c r="P280" s="40"/>
      <c r="Q280" s="20">
        <f t="shared" ref="Q280:Q342" ca="1" si="62">IF(D280=0,0,$G$21/($D$12-$E$17-$D$16))</f>
        <v>834.89136490250701</v>
      </c>
      <c r="R280" s="1">
        <f t="shared" si="56"/>
        <v>7864</v>
      </c>
      <c r="S280" s="243">
        <f>IF(AND($K$2&gt;=DATEVALUE("03/04/2020"),$K$2&lt;=DATEVALUE("31/12/2020")),0,IF(Resumo!$C$19="PF",IF(R280&lt;360,0.0082%*R280,3%),IF(R280&lt;360,0.0041%*R280,1.5%)))</f>
        <v>1.4999999999999999E-2</v>
      </c>
      <c r="T280" s="172">
        <f t="shared" ref="T280:T342" ca="1" si="63">S280*Q280</f>
        <v>12.523370473537605</v>
      </c>
      <c r="X280" s="20">
        <f t="shared" ref="X280:X342" ca="1" si="64">F280</f>
        <v>1433.0109273990695</v>
      </c>
    </row>
    <row r="281" spans="2:24">
      <c r="B281" s="37">
        <f t="shared" si="57"/>
        <v>259</v>
      </c>
      <c r="C281" s="163">
        <f t="shared" si="58"/>
        <v>52642</v>
      </c>
      <c r="D281" s="38">
        <f t="shared" ca="1" si="52"/>
        <v>842.74931039701278</v>
      </c>
      <c r="E281" s="38">
        <f t="shared" ca="1" si="59"/>
        <v>584.53092169135698</v>
      </c>
      <c r="F281" s="38">
        <f t="shared" ca="1" si="53"/>
        <v>1427.2802320883698</v>
      </c>
      <c r="G281" s="38">
        <f ca="1">IF(B281&lt;=$D$16,G280*(1+$D$13)^((C281-C280)/_xlfn.DAYS(EDATE(C280,1),C280)),G280-D281)+IF(B281&lt;=$D$16,G280*Resumo!$F$12,0)+IF(B281&lt;=$D$16,$D$15*Resumo!$F$13,0)+IF(B281&lt;=$D$16,25,0)-IF(AND($D$16&gt;3,B281&lt;=$D$16),K281,0)</f>
        <v>85117.680350096663</v>
      </c>
      <c r="H281" s="38">
        <f ca="1">IF(AND(B281&lt;&gt;"",L281&lt;&gt;$D$17,$D$16&gt;3),G281*Resumo!$F$12,IF(AND(B281&lt;&gt;"",L281&lt;&gt;$D$17,B281&gt;$D$16),G281*Resumo!$F$12,0))</f>
        <v>17.874712873520298</v>
      </c>
      <c r="I281" s="38">
        <f>IF(AND(B281&lt;&gt;"",L281&lt;&gt;$D$17,$D$16&gt;3,$B281&lt;=$D$16),$D$15*Resumo!$F$13,IF(AND(B281&lt;&gt;"",L281&lt;&gt;$D$17,B281&gt;$D$16),$D$15*Resumo!$F$13,0))</f>
        <v>34.369999999999997</v>
      </c>
      <c r="J281" s="38">
        <f>IF(AND(B281&lt;&gt;"",L281&lt;&gt;$D$17,$D$16&gt;3,$B281&lt;=$D$16),Resumo!$F$11,IF(AND(B281&lt;&gt;"",L281&lt;&gt;$D$17,B281&gt;$D$16),Resumo!$F$11,0))</f>
        <v>25</v>
      </c>
      <c r="K281" s="38">
        <f t="shared" ca="1" si="54"/>
        <v>1504.52494496189</v>
      </c>
      <c r="L281" s="39" t="str">
        <f>IF(B281&lt;&gt;"",VLOOKUP(MONTH(C281),Sheet2!$F$1:$G$12,2,0),"")</f>
        <v>Fevereiro</v>
      </c>
      <c r="M281" s="200">
        <f t="shared" ca="1" si="60"/>
        <v>0</v>
      </c>
      <c r="N281" s="40">
        <f t="shared" ca="1" si="61"/>
        <v>1427.2802320883698</v>
      </c>
      <c r="O281" s="40">
        <f t="shared" ca="1" si="55"/>
        <v>1504.52494496189</v>
      </c>
      <c r="P281" s="40"/>
      <c r="Q281" s="20">
        <f t="shared" ca="1" si="62"/>
        <v>834.89136490250701</v>
      </c>
      <c r="R281" s="1">
        <f t="shared" si="56"/>
        <v>7895</v>
      </c>
      <c r="S281" s="243">
        <f>IF(AND($K$2&gt;=DATEVALUE("03/04/2020"),$K$2&lt;=DATEVALUE("31/12/2020")),0,IF(Resumo!$C$19="PF",IF(R281&lt;360,0.0082%*R281,3%),IF(R281&lt;360,0.0041%*R281,1.5%)))</f>
        <v>1.4999999999999999E-2</v>
      </c>
      <c r="T281" s="172">
        <f t="shared" ca="1" si="63"/>
        <v>12.523370473537605</v>
      </c>
      <c r="X281" s="20">
        <f t="shared" ca="1" si="64"/>
        <v>1427.2802320883698</v>
      </c>
    </row>
    <row r="282" spans="2:24">
      <c r="B282" s="41">
        <f t="shared" si="57"/>
        <v>260</v>
      </c>
      <c r="C282" s="164">
        <f t="shared" si="58"/>
        <v>52671</v>
      </c>
      <c r="D282" s="42">
        <f t="shared" ca="1" si="52"/>
        <v>842.74931039701278</v>
      </c>
      <c r="E282" s="42">
        <f t="shared" ca="1" si="59"/>
        <v>578.80022638065725</v>
      </c>
      <c r="F282" s="42">
        <f t="shared" ca="1" si="53"/>
        <v>1421.54953677767</v>
      </c>
      <c r="G282" s="42">
        <f ca="1">IF(B282&lt;=$D$16,G281*(1+$D$13)^((C282-C281)/_xlfn.DAYS(EDATE(C281,1),C281)),G281-D282)+IF(B282&lt;=$D$16,G281*Resumo!$F$12,0)+IF(B282&lt;=$D$16,$D$15*Resumo!$F$13,0)+IF(B282&lt;=$D$16,25,0)-IF(AND($D$16&gt;3,B282&lt;=$D$16),K282,0)</f>
        <v>84274.931039699644</v>
      </c>
      <c r="H282" s="42">
        <f ca="1">IF(AND(B282&lt;&gt;"",L282&lt;&gt;$D$17,$D$16&gt;3),G282*Resumo!$F$12,IF(AND(B282&lt;&gt;"",L282&lt;&gt;$D$17,B282&gt;$D$16),G282*Resumo!$F$12,0))</f>
        <v>17.697735518336927</v>
      </c>
      <c r="I282" s="42">
        <f>IF(AND(B282&lt;&gt;"",L282&lt;&gt;$D$17,$D$16&gt;3,$B282&lt;=$D$16),$D$15*Resumo!$F$13,IF(AND(B282&lt;&gt;"",L282&lt;&gt;$D$17,B282&gt;$D$16),$D$15*Resumo!$F$13,0))</f>
        <v>34.369999999999997</v>
      </c>
      <c r="J282" s="42">
        <f>IF(AND(B282&lt;&gt;"",L282&lt;&gt;$D$17,$D$16&gt;3,$B282&lt;=$D$16),Resumo!$F$11,IF(AND(B282&lt;&gt;"",L282&lt;&gt;$D$17,B282&gt;$D$16),Resumo!$F$11,0))</f>
        <v>25</v>
      </c>
      <c r="K282" s="42">
        <f t="shared" ca="1" si="54"/>
        <v>1498.6172722960068</v>
      </c>
      <c r="L282" s="39" t="str">
        <f>IF(B282&lt;&gt;"",VLOOKUP(MONTH(C282),Sheet2!$F$1:$G$12,2,0),"")</f>
        <v>Março</v>
      </c>
      <c r="M282" s="200">
        <f t="shared" ca="1" si="60"/>
        <v>0</v>
      </c>
      <c r="N282" s="40">
        <f t="shared" ca="1" si="61"/>
        <v>1421.54953677767</v>
      </c>
      <c r="O282" s="40">
        <f t="shared" ca="1" si="55"/>
        <v>1498.6172722960068</v>
      </c>
      <c r="P282" s="40"/>
      <c r="Q282" s="20">
        <f t="shared" ca="1" si="62"/>
        <v>834.89136490250701</v>
      </c>
      <c r="R282" s="1">
        <f t="shared" si="56"/>
        <v>7924</v>
      </c>
      <c r="S282" s="243">
        <f>IF(AND($K$2&gt;=DATEVALUE("03/04/2020"),$K$2&lt;=DATEVALUE("31/12/2020")),0,IF(Resumo!$C$19="PF",IF(R282&lt;360,0.0082%*R282,3%),IF(R282&lt;360,0.0041%*R282,1.5%)))</f>
        <v>1.4999999999999999E-2</v>
      </c>
      <c r="T282" s="172">
        <f t="shared" ca="1" si="63"/>
        <v>12.523370473537605</v>
      </c>
      <c r="X282" s="20">
        <f t="shared" ca="1" si="64"/>
        <v>1421.54953677767</v>
      </c>
    </row>
    <row r="283" spans="2:24">
      <c r="B283" s="37">
        <f t="shared" si="57"/>
        <v>261</v>
      </c>
      <c r="C283" s="163">
        <f t="shared" si="58"/>
        <v>52702</v>
      </c>
      <c r="D283" s="38">
        <f t="shared" ca="1" si="52"/>
        <v>842.74931039701278</v>
      </c>
      <c r="E283" s="38">
        <f t="shared" ca="1" si="59"/>
        <v>573.06953106995752</v>
      </c>
      <c r="F283" s="38">
        <f t="shared" ca="1" si="53"/>
        <v>1415.8188414669703</v>
      </c>
      <c r="G283" s="38">
        <f ca="1">IF(B283&lt;=$D$16,G282*(1+$D$13)^((C283-C282)/_xlfn.DAYS(EDATE(C282,1),C282)),G282-D283)+IF(B283&lt;=$D$16,G282*Resumo!$F$12,0)+IF(B283&lt;=$D$16,$D$15*Resumo!$F$13,0)+IF(B283&lt;=$D$16,25,0)-IF(AND($D$16&gt;3,B283&lt;=$D$16),K283,0)</f>
        <v>83432.181729302625</v>
      </c>
      <c r="H283" s="38">
        <f ca="1">IF(AND(B283&lt;&gt;"",L283&lt;&gt;$D$17,$D$16&gt;3),G283*Resumo!$F$12,IF(AND(B283&lt;&gt;"",L283&lt;&gt;$D$17,B283&gt;$D$16),G283*Resumo!$F$12,0))</f>
        <v>17.520758163153552</v>
      </c>
      <c r="I283" s="38">
        <f>IF(AND(B283&lt;&gt;"",L283&lt;&gt;$D$17,$D$16&gt;3,$B283&lt;=$D$16),$D$15*Resumo!$F$13,IF(AND(B283&lt;&gt;"",L283&lt;&gt;$D$17,B283&gt;$D$16),$D$15*Resumo!$F$13,0))</f>
        <v>34.369999999999997</v>
      </c>
      <c r="J283" s="38">
        <f>IF(AND(B283&lt;&gt;"",L283&lt;&gt;$D$17,$D$16&gt;3,$B283&lt;=$D$16),Resumo!$F$11,IF(AND(B283&lt;&gt;"",L283&lt;&gt;$D$17,B283&gt;$D$16),Resumo!$F$11,0))</f>
        <v>25</v>
      </c>
      <c r="K283" s="38">
        <f t="shared" ca="1" si="54"/>
        <v>1492.7095996301236</v>
      </c>
      <c r="L283" s="39" t="str">
        <f>IF(B283&lt;&gt;"",VLOOKUP(MONTH(C283),Sheet2!$F$1:$G$12,2,0),"")</f>
        <v>Abril</v>
      </c>
      <c r="M283" s="200">
        <f t="shared" ca="1" si="60"/>
        <v>0</v>
      </c>
      <c r="N283" s="40">
        <f t="shared" ca="1" si="61"/>
        <v>1415.8188414669703</v>
      </c>
      <c r="O283" s="40">
        <f t="shared" ca="1" si="55"/>
        <v>1492.7095996301236</v>
      </c>
      <c r="P283" s="40"/>
      <c r="Q283" s="20">
        <f t="shared" ca="1" si="62"/>
        <v>834.89136490250701</v>
      </c>
      <c r="R283" s="1">
        <f t="shared" si="56"/>
        <v>7955</v>
      </c>
      <c r="S283" s="243">
        <f>IF(AND($K$2&gt;=DATEVALUE("03/04/2020"),$K$2&lt;=DATEVALUE("31/12/2020")),0,IF(Resumo!$C$19="PF",IF(R283&lt;360,0.0082%*R283,3%),IF(R283&lt;360,0.0041%*R283,1.5%)))</f>
        <v>1.4999999999999999E-2</v>
      </c>
      <c r="T283" s="172">
        <f t="shared" ca="1" si="63"/>
        <v>12.523370473537605</v>
      </c>
      <c r="X283" s="20">
        <f t="shared" ca="1" si="64"/>
        <v>1415.8188414669703</v>
      </c>
    </row>
    <row r="284" spans="2:24">
      <c r="B284" s="41">
        <f t="shared" si="57"/>
        <v>262</v>
      </c>
      <c r="C284" s="164">
        <f t="shared" si="58"/>
        <v>52732</v>
      </c>
      <c r="D284" s="42">
        <f t="shared" ca="1" si="52"/>
        <v>842.74931039701278</v>
      </c>
      <c r="E284" s="42">
        <f t="shared" ca="1" si="59"/>
        <v>567.33883575925779</v>
      </c>
      <c r="F284" s="42">
        <f t="shared" ca="1" si="53"/>
        <v>1410.0881461562706</v>
      </c>
      <c r="G284" s="42">
        <f ca="1">IF(B284&lt;=$D$16,G283*(1+$D$13)^((C284-C283)/_xlfn.DAYS(EDATE(C283,1),C283)),G283-D284)+IF(B284&lt;=$D$16,G283*Resumo!$F$12,0)+IF(B284&lt;=$D$16,$D$15*Resumo!$F$13,0)+IF(B284&lt;=$D$16,25,0)-IF(AND($D$16&gt;3,B284&lt;=$D$16),K284,0)</f>
        <v>82589.432418905606</v>
      </c>
      <c r="H284" s="42">
        <f ca="1">IF(AND(B284&lt;&gt;"",L284&lt;&gt;$D$17,$D$16&gt;3),G284*Resumo!$F$12,IF(AND(B284&lt;&gt;"",L284&lt;&gt;$D$17,B284&gt;$D$16),G284*Resumo!$F$12,0))</f>
        <v>17.343780807970177</v>
      </c>
      <c r="I284" s="42">
        <f>IF(AND(B284&lt;&gt;"",L284&lt;&gt;$D$17,$D$16&gt;3,$B284&lt;=$D$16),$D$15*Resumo!$F$13,IF(AND(B284&lt;&gt;"",L284&lt;&gt;$D$17,B284&gt;$D$16),$D$15*Resumo!$F$13,0))</f>
        <v>34.369999999999997</v>
      </c>
      <c r="J284" s="42">
        <f>IF(AND(B284&lt;&gt;"",L284&lt;&gt;$D$17,$D$16&gt;3,$B284&lt;=$D$16),Resumo!$F$11,IF(AND(B284&lt;&gt;"",L284&lt;&gt;$D$17,B284&gt;$D$16),Resumo!$F$11,0))</f>
        <v>25</v>
      </c>
      <c r="K284" s="42">
        <f t="shared" ca="1" si="54"/>
        <v>1486.8019269642407</v>
      </c>
      <c r="L284" s="39" t="str">
        <f>IF(B284&lt;&gt;"",VLOOKUP(MONTH(C284),Sheet2!$F$1:$G$12,2,0),"")</f>
        <v>Maio</v>
      </c>
      <c r="M284" s="200">
        <f t="shared" ca="1" si="60"/>
        <v>0</v>
      </c>
      <c r="N284" s="40">
        <f t="shared" ca="1" si="61"/>
        <v>1410.0881461562706</v>
      </c>
      <c r="O284" s="40">
        <f t="shared" ca="1" si="55"/>
        <v>1486.8019269642407</v>
      </c>
      <c r="P284" s="40"/>
      <c r="Q284" s="20">
        <f t="shared" ca="1" si="62"/>
        <v>834.89136490250701</v>
      </c>
      <c r="R284" s="1">
        <f t="shared" si="56"/>
        <v>7985</v>
      </c>
      <c r="S284" s="243">
        <f>IF(AND($K$2&gt;=DATEVALUE("03/04/2020"),$K$2&lt;=DATEVALUE("31/12/2020")),0,IF(Resumo!$C$19="PF",IF(R284&lt;360,0.0082%*R284,3%),IF(R284&lt;360,0.0041%*R284,1.5%)))</f>
        <v>1.4999999999999999E-2</v>
      </c>
      <c r="T284" s="172">
        <f t="shared" ca="1" si="63"/>
        <v>12.523370473537605</v>
      </c>
      <c r="X284" s="20">
        <f t="shared" ca="1" si="64"/>
        <v>1410.0881461562706</v>
      </c>
    </row>
    <row r="285" spans="2:24">
      <c r="B285" s="37">
        <f t="shared" si="57"/>
        <v>263</v>
      </c>
      <c r="C285" s="163">
        <f t="shared" si="58"/>
        <v>52763</v>
      </c>
      <c r="D285" s="38">
        <f t="shared" ca="1" si="52"/>
        <v>842.74931039701278</v>
      </c>
      <c r="E285" s="38">
        <f t="shared" ca="1" si="59"/>
        <v>561.60814044855806</v>
      </c>
      <c r="F285" s="38">
        <f t="shared" ca="1" si="53"/>
        <v>1404.3574508455708</v>
      </c>
      <c r="G285" s="38">
        <f ca="1">IF(B285&lt;=$D$16,G284*(1+$D$13)^((C285-C284)/_xlfn.DAYS(EDATE(C284,1),C284)),G284-D285)+IF(B285&lt;=$D$16,G284*Resumo!$F$12,0)+IF(B285&lt;=$D$16,$D$15*Resumo!$F$13,0)+IF(B285&lt;=$D$16,25,0)-IF(AND($D$16&gt;3,B285&lt;=$D$16),K285,0)</f>
        <v>81746.683108508587</v>
      </c>
      <c r="H285" s="38">
        <f ca="1">IF(AND(B285&lt;&gt;"",L285&lt;&gt;$D$17,$D$16&gt;3),G285*Resumo!$F$12,IF(AND(B285&lt;&gt;"",L285&lt;&gt;$D$17,B285&gt;$D$16),G285*Resumo!$F$12,0))</f>
        <v>17.166803452786805</v>
      </c>
      <c r="I285" s="38">
        <f>IF(AND(B285&lt;&gt;"",L285&lt;&gt;$D$17,$D$16&gt;3,$B285&lt;=$D$16),$D$15*Resumo!$F$13,IF(AND(B285&lt;&gt;"",L285&lt;&gt;$D$17,B285&gt;$D$16),$D$15*Resumo!$F$13,0))</f>
        <v>34.369999999999997</v>
      </c>
      <c r="J285" s="38">
        <f>IF(AND(B285&lt;&gt;"",L285&lt;&gt;$D$17,$D$16&gt;3,$B285&lt;=$D$16),Resumo!$F$11,IF(AND(B285&lt;&gt;"",L285&lt;&gt;$D$17,B285&gt;$D$16),Resumo!$F$11,0))</f>
        <v>25</v>
      </c>
      <c r="K285" s="38">
        <f t="shared" ca="1" si="54"/>
        <v>1480.8942542983575</v>
      </c>
      <c r="L285" s="39" t="str">
        <f>IF(B285&lt;&gt;"",VLOOKUP(MONTH(C285),Sheet2!$F$1:$G$12,2,0),"")</f>
        <v>Junho</v>
      </c>
      <c r="M285" s="200">
        <f t="shared" ca="1" si="60"/>
        <v>0</v>
      </c>
      <c r="N285" s="40">
        <f t="shared" ca="1" si="61"/>
        <v>1404.3574508455708</v>
      </c>
      <c r="O285" s="40">
        <f t="shared" ca="1" si="55"/>
        <v>1480.8942542983575</v>
      </c>
      <c r="P285" s="40"/>
      <c r="Q285" s="20">
        <f t="shared" ca="1" si="62"/>
        <v>834.89136490250701</v>
      </c>
      <c r="R285" s="1">
        <f t="shared" si="56"/>
        <v>8016</v>
      </c>
      <c r="S285" s="243">
        <f>IF(AND($K$2&gt;=DATEVALUE("03/04/2020"),$K$2&lt;=DATEVALUE("31/12/2020")),0,IF(Resumo!$C$19="PF",IF(R285&lt;360,0.0082%*R285,3%),IF(R285&lt;360,0.0041%*R285,1.5%)))</f>
        <v>1.4999999999999999E-2</v>
      </c>
      <c r="T285" s="172">
        <f t="shared" ca="1" si="63"/>
        <v>12.523370473537605</v>
      </c>
      <c r="X285" s="20">
        <f t="shared" ca="1" si="64"/>
        <v>1404.3574508455708</v>
      </c>
    </row>
    <row r="286" spans="2:24">
      <c r="B286" s="41">
        <f t="shared" si="57"/>
        <v>264</v>
      </c>
      <c r="C286" s="164">
        <f t="shared" si="58"/>
        <v>52793</v>
      </c>
      <c r="D286" s="42">
        <f t="shared" ca="1" si="52"/>
        <v>842.74931039701278</v>
      </c>
      <c r="E286" s="42">
        <f t="shared" ca="1" si="59"/>
        <v>555.87744513785833</v>
      </c>
      <c r="F286" s="42">
        <f t="shared" ca="1" si="53"/>
        <v>1398.6267555348711</v>
      </c>
      <c r="G286" s="42">
        <f ca="1">IF(B286&lt;=$D$16,G285*(1+$D$13)^((C286-C285)/_xlfn.DAYS(EDATE(C285,1),C285)),G285-D286)+IF(B286&lt;=$D$16,G285*Resumo!$F$12,0)+IF(B286&lt;=$D$16,$D$15*Resumo!$F$13,0)+IF(B286&lt;=$D$16,25,0)-IF(AND($D$16&gt;3,B286&lt;=$D$16),K286,0)</f>
        <v>80903.933798111568</v>
      </c>
      <c r="H286" s="42">
        <f ca="1">IF(AND(B286&lt;&gt;"",L286&lt;&gt;$D$17,$D$16&gt;3),G286*Resumo!$F$12,IF(AND(B286&lt;&gt;"",L286&lt;&gt;$D$17,B286&gt;$D$16),G286*Resumo!$F$12,0))</f>
        <v>16.98982609760343</v>
      </c>
      <c r="I286" s="42">
        <f>IF(AND(B286&lt;&gt;"",L286&lt;&gt;$D$17,$D$16&gt;3,$B286&lt;=$D$16),$D$15*Resumo!$F$13,IF(AND(B286&lt;&gt;"",L286&lt;&gt;$D$17,B286&gt;$D$16),$D$15*Resumo!$F$13,0))</f>
        <v>34.369999999999997</v>
      </c>
      <c r="J286" s="42">
        <f>IF(AND(B286&lt;&gt;"",L286&lt;&gt;$D$17,$D$16&gt;3,$B286&lt;=$D$16),Resumo!$F$11,IF(AND(B286&lt;&gt;"",L286&lt;&gt;$D$17,B286&gt;$D$16),Resumo!$F$11,0))</f>
        <v>25</v>
      </c>
      <c r="K286" s="42">
        <f t="shared" ca="1" si="54"/>
        <v>1474.9865816324743</v>
      </c>
      <c r="L286" s="39" t="str">
        <f>IF(B286&lt;&gt;"",VLOOKUP(MONTH(C286),Sheet2!$F$1:$G$12,2,0),"")</f>
        <v>Julho</v>
      </c>
      <c r="M286" s="200">
        <f t="shared" ca="1" si="60"/>
        <v>0</v>
      </c>
      <c r="N286" s="40">
        <f t="shared" ca="1" si="61"/>
        <v>1398.6267555348711</v>
      </c>
      <c r="O286" s="40">
        <f t="shared" ca="1" si="55"/>
        <v>1474.9865816324743</v>
      </c>
      <c r="P286" s="40"/>
      <c r="Q286" s="20">
        <f t="shared" ca="1" si="62"/>
        <v>834.89136490250701</v>
      </c>
      <c r="R286" s="1">
        <f t="shared" si="56"/>
        <v>8046</v>
      </c>
      <c r="S286" s="243">
        <f>IF(AND($K$2&gt;=DATEVALUE("03/04/2020"),$K$2&lt;=DATEVALUE("31/12/2020")),0,IF(Resumo!$C$19="PF",IF(R286&lt;360,0.0082%*R286,3%),IF(R286&lt;360,0.0041%*R286,1.5%)))</f>
        <v>1.4999999999999999E-2</v>
      </c>
      <c r="T286" s="172">
        <f t="shared" ca="1" si="63"/>
        <v>12.523370473537605</v>
      </c>
      <c r="X286" s="20">
        <f t="shared" ca="1" si="64"/>
        <v>1398.6267555348711</v>
      </c>
    </row>
    <row r="287" spans="2:24">
      <c r="B287" s="37">
        <f t="shared" si="57"/>
        <v>265</v>
      </c>
      <c r="C287" s="163">
        <f t="shared" si="58"/>
        <v>52824</v>
      </c>
      <c r="D287" s="38">
        <f t="shared" ca="1" si="52"/>
        <v>842.74931039701278</v>
      </c>
      <c r="E287" s="38">
        <f t="shared" ca="1" si="59"/>
        <v>550.1467498271586</v>
      </c>
      <c r="F287" s="38">
        <f t="shared" ca="1" si="53"/>
        <v>1392.8960602241714</v>
      </c>
      <c r="G287" s="38">
        <f ca="1">IF(B287&lt;=$D$16,G286*(1+$D$13)^((C287-C286)/_xlfn.DAYS(EDATE(C286,1),C286)),G286-D287)+IF(B287&lt;=$D$16,G286*Resumo!$F$12,0)+IF(B287&lt;=$D$16,$D$15*Resumo!$F$13,0)+IF(B287&lt;=$D$16,25,0)-IF(AND($D$16&gt;3,B287&lt;=$D$16),K287,0)</f>
        <v>80061.184487714549</v>
      </c>
      <c r="H287" s="38">
        <f ca="1">IF(AND(B287&lt;&gt;"",L287&lt;&gt;$D$17,$D$16&gt;3),G287*Resumo!$F$12,IF(AND(B287&lt;&gt;"",L287&lt;&gt;$D$17,B287&gt;$D$16),G287*Resumo!$F$12,0))</f>
        <v>16.812848742420055</v>
      </c>
      <c r="I287" s="38">
        <f>IF(AND(B287&lt;&gt;"",L287&lt;&gt;$D$17,$D$16&gt;3,$B287&lt;=$D$16),$D$15*Resumo!$F$13,IF(AND(B287&lt;&gt;"",L287&lt;&gt;$D$17,B287&gt;$D$16),$D$15*Resumo!$F$13,0))</f>
        <v>34.369999999999997</v>
      </c>
      <c r="J287" s="38">
        <f>IF(AND(B287&lt;&gt;"",L287&lt;&gt;$D$17,$D$16&gt;3,$B287&lt;=$D$16),Resumo!$F$11,IF(AND(B287&lt;&gt;"",L287&lt;&gt;$D$17,B287&gt;$D$16),Resumo!$F$11,0))</f>
        <v>25</v>
      </c>
      <c r="K287" s="38">
        <f t="shared" ca="1" si="54"/>
        <v>1469.0789089665914</v>
      </c>
      <c r="L287" s="39" t="str">
        <f>IF(B287&lt;&gt;"",VLOOKUP(MONTH(C287),Sheet2!$F$1:$G$12,2,0),"")</f>
        <v>Agosto</v>
      </c>
      <c r="M287" s="200">
        <f t="shared" ca="1" si="60"/>
        <v>0</v>
      </c>
      <c r="N287" s="40">
        <f t="shared" ca="1" si="61"/>
        <v>1392.8960602241714</v>
      </c>
      <c r="O287" s="40">
        <f t="shared" ca="1" si="55"/>
        <v>1469.0789089665914</v>
      </c>
      <c r="P287" s="40"/>
      <c r="Q287" s="20">
        <f t="shared" ca="1" si="62"/>
        <v>834.89136490250701</v>
      </c>
      <c r="R287" s="1">
        <f t="shared" si="56"/>
        <v>8077</v>
      </c>
      <c r="S287" s="243">
        <f>IF(AND($K$2&gt;=DATEVALUE("03/04/2020"),$K$2&lt;=DATEVALUE("31/12/2020")),0,IF(Resumo!$C$19="PF",IF(R287&lt;360,0.0082%*R287,3%),IF(R287&lt;360,0.0041%*R287,1.5%)))</f>
        <v>1.4999999999999999E-2</v>
      </c>
      <c r="T287" s="172">
        <f t="shared" ca="1" si="63"/>
        <v>12.523370473537605</v>
      </c>
      <c r="X287" s="20">
        <f t="shared" ca="1" si="64"/>
        <v>1392.8960602241714</v>
      </c>
    </row>
    <row r="288" spans="2:24">
      <c r="B288" s="41">
        <f t="shared" si="57"/>
        <v>266</v>
      </c>
      <c r="C288" s="164">
        <f t="shared" si="58"/>
        <v>52855</v>
      </c>
      <c r="D288" s="42">
        <f t="shared" ca="1" si="52"/>
        <v>842.74931039701278</v>
      </c>
      <c r="E288" s="42">
        <f t="shared" ca="1" si="59"/>
        <v>544.41605451645887</v>
      </c>
      <c r="F288" s="42">
        <f t="shared" ca="1" si="53"/>
        <v>1387.1653649134716</v>
      </c>
      <c r="G288" s="42">
        <f ca="1">IF(B288&lt;=$D$16,G287*(1+$D$13)^((C288-C287)/_xlfn.DAYS(EDATE(C287,1),C287)),G287-D288)+IF(B288&lt;=$D$16,G287*Resumo!$F$12,0)+IF(B288&lt;=$D$16,$D$15*Resumo!$F$13,0)+IF(B288&lt;=$D$16,25,0)-IF(AND($D$16&gt;3,B288&lt;=$D$16),K288,0)</f>
        <v>79218.435177317529</v>
      </c>
      <c r="H288" s="42">
        <f ca="1">IF(AND(B288&lt;&gt;"",L288&lt;&gt;$D$17,$D$16&gt;3),G288*Resumo!$F$12,IF(AND(B288&lt;&gt;"",L288&lt;&gt;$D$17,B288&gt;$D$16),G288*Resumo!$F$12,0))</f>
        <v>16.635871387236683</v>
      </c>
      <c r="I288" s="42">
        <f>IF(AND(B288&lt;&gt;"",L288&lt;&gt;$D$17,$D$16&gt;3,$B288&lt;=$D$16),$D$15*Resumo!$F$13,IF(AND(B288&lt;&gt;"",L288&lt;&gt;$D$17,B288&gt;$D$16),$D$15*Resumo!$F$13,0))</f>
        <v>34.369999999999997</v>
      </c>
      <c r="J288" s="42">
        <f>IF(AND(B288&lt;&gt;"",L288&lt;&gt;$D$17,$D$16&gt;3,$B288&lt;=$D$16),Resumo!$F$11,IF(AND(B288&lt;&gt;"",L288&lt;&gt;$D$17,B288&gt;$D$16),Resumo!$F$11,0))</f>
        <v>25</v>
      </c>
      <c r="K288" s="42">
        <f t="shared" ca="1" si="54"/>
        <v>1463.1712363007082</v>
      </c>
      <c r="L288" s="39" t="str">
        <f>IF(B288&lt;&gt;"",VLOOKUP(MONTH(C288),Sheet2!$F$1:$G$12,2,0),"")</f>
        <v>Setembro</v>
      </c>
      <c r="M288" s="200">
        <f t="shared" ca="1" si="60"/>
        <v>0</v>
      </c>
      <c r="N288" s="40">
        <f t="shared" ca="1" si="61"/>
        <v>1387.1653649134716</v>
      </c>
      <c r="O288" s="40">
        <f t="shared" ca="1" si="55"/>
        <v>1463.1712363007082</v>
      </c>
      <c r="P288" s="40"/>
      <c r="Q288" s="20">
        <f t="shared" ca="1" si="62"/>
        <v>834.89136490250701</v>
      </c>
      <c r="R288" s="1">
        <f t="shared" si="56"/>
        <v>8108</v>
      </c>
      <c r="S288" s="243">
        <f>IF(AND($K$2&gt;=DATEVALUE("03/04/2020"),$K$2&lt;=DATEVALUE("31/12/2020")),0,IF(Resumo!$C$19="PF",IF(R288&lt;360,0.0082%*R288,3%),IF(R288&lt;360,0.0041%*R288,1.5%)))</f>
        <v>1.4999999999999999E-2</v>
      </c>
      <c r="T288" s="172">
        <f t="shared" ca="1" si="63"/>
        <v>12.523370473537605</v>
      </c>
      <c r="X288" s="20">
        <f t="shared" ca="1" si="64"/>
        <v>1387.1653649134716</v>
      </c>
    </row>
    <row r="289" spans="2:24">
      <c r="B289" s="37">
        <f t="shared" si="57"/>
        <v>267</v>
      </c>
      <c r="C289" s="163">
        <f t="shared" si="58"/>
        <v>52885</v>
      </c>
      <c r="D289" s="38">
        <f t="shared" ca="1" si="52"/>
        <v>842.74931039701278</v>
      </c>
      <c r="E289" s="38">
        <f t="shared" ca="1" si="59"/>
        <v>538.68535920575914</v>
      </c>
      <c r="F289" s="38">
        <f t="shared" ca="1" si="53"/>
        <v>1381.4346696027719</v>
      </c>
      <c r="G289" s="38">
        <f ca="1">IF(B289&lt;=$D$16,G288*(1+$D$13)^((C289-C288)/_xlfn.DAYS(EDATE(C288,1),C288)),G288-D289)+IF(B289&lt;=$D$16,G288*Resumo!$F$12,0)+IF(B289&lt;=$D$16,$D$15*Resumo!$F$13,0)+IF(B289&lt;=$D$16,25,0)-IF(AND($D$16&gt;3,B289&lt;=$D$16),K289,0)</f>
        <v>78375.68586692051</v>
      </c>
      <c r="H289" s="38">
        <f ca="1">IF(AND(B289&lt;&gt;"",L289&lt;&gt;$D$17,$D$16&gt;3),G289*Resumo!$F$12,IF(AND(B289&lt;&gt;"",L289&lt;&gt;$D$17,B289&gt;$D$16),G289*Resumo!$F$12,0))</f>
        <v>16.458894032053308</v>
      </c>
      <c r="I289" s="38">
        <f>IF(AND(B289&lt;&gt;"",L289&lt;&gt;$D$17,$D$16&gt;3,$B289&lt;=$D$16),$D$15*Resumo!$F$13,IF(AND(B289&lt;&gt;"",L289&lt;&gt;$D$17,B289&gt;$D$16),$D$15*Resumo!$F$13,0))</f>
        <v>34.369999999999997</v>
      </c>
      <c r="J289" s="38">
        <f>IF(AND(B289&lt;&gt;"",L289&lt;&gt;$D$17,$D$16&gt;3,$B289&lt;=$D$16),Resumo!$F$11,IF(AND(B289&lt;&gt;"",L289&lt;&gt;$D$17,B289&gt;$D$16),Resumo!$F$11,0))</f>
        <v>25</v>
      </c>
      <c r="K289" s="38">
        <f t="shared" ca="1" si="54"/>
        <v>1457.263563634825</v>
      </c>
      <c r="L289" s="39" t="str">
        <f>IF(B289&lt;&gt;"",VLOOKUP(MONTH(C289),Sheet2!$F$1:$G$12,2,0),"")</f>
        <v>Outubro</v>
      </c>
      <c r="M289" s="200">
        <f t="shared" ca="1" si="60"/>
        <v>0</v>
      </c>
      <c r="N289" s="40">
        <f t="shared" ca="1" si="61"/>
        <v>1381.4346696027719</v>
      </c>
      <c r="O289" s="40">
        <f t="shared" ca="1" si="55"/>
        <v>1457.263563634825</v>
      </c>
      <c r="P289" s="40"/>
      <c r="Q289" s="20">
        <f t="shared" ca="1" si="62"/>
        <v>834.89136490250701</v>
      </c>
      <c r="R289" s="1">
        <f t="shared" si="56"/>
        <v>8138</v>
      </c>
      <c r="S289" s="243">
        <f>IF(AND($K$2&gt;=DATEVALUE("03/04/2020"),$K$2&lt;=DATEVALUE("31/12/2020")),0,IF(Resumo!$C$19="PF",IF(R289&lt;360,0.0082%*R289,3%),IF(R289&lt;360,0.0041%*R289,1.5%)))</f>
        <v>1.4999999999999999E-2</v>
      </c>
      <c r="T289" s="172">
        <f t="shared" ca="1" si="63"/>
        <v>12.523370473537605</v>
      </c>
      <c r="X289" s="20">
        <f t="shared" ca="1" si="64"/>
        <v>1381.4346696027719</v>
      </c>
    </row>
    <row r="290" spans="2:24">
      <c r="B290" s="41">
        <f t="shared" si="57"/>
        <v>268</v>
      </c>
      <c r="C290" s="164">
        <f t="shared" si="58"/>
        <v>52916</v>
      </c>
      <c r="D290" s="42">
        <f t="shared" ca="1" si="52"/>
        <v>842.74931039701278</v>
      </c>
      <c r="E290" s="42">
        <f t="shared" ca="1" si="59"/>
        <v>532.95466389505941</v>
      </c>
      <c r="F290" s="42">
        <f t="shared" ca="1" si="53"/>
        <v>1375.7039742920722</v>
      </c>
      <c r="G290" s="42">
        <f ca="1">IF(B290&lt;=$D$16,G289*(1+$D$13)^((C290-C289)/_xlfn.DAYS(EDATE(C289,1),C289)),G289-D290)+IF(B290&lt;=$D$16,G289*Resumo!$F$12,0)+IF(B290&lt;=$D$16,$D$15*Resumo!$F$13,0)+IF(B290&lt;=$D$16,25,0)-IF(AND($D$16&gt;3,B290&lt;=$D$16),K290,0)</f>
        <v>77532.936556523491</v>
      </c>
      <c r="H290" s="42">
        <f ca="1">IF(AND(B290&lt;&gt;"",L290&lt;&gt;$D$17,$D$16&gt;3),G290*Resumo!$F$12,IF(AND(B290&lt;&gt;"",L290&lt;&gt;$D$17,B290&gt;$D$16),G290*Resumo!$F$12,0))</f>
        <v>16.281916676869933</v>
      </c>
      <c r="I290" s="42">
        <f>IF(AND(B290&lt;&gt;"",L290&lt;&gt;$D$17,$D$16&gt;3,$B290&lt;=$D$16),$D$15*Resumo!$F$13,IF(AND(B290&lt;&gt;"",L290&lt;&gt;$D$17,B290&gt;$D$16),$D$15*Resumo!$F$13,0))</f>
        <v>34.369999999999997</v>
      </c>
      <c r="J290" s="42">
        <f>IF(AND(B290&lt;&gt;"",L290&lt;&gt;$D$17,$D$16&gt;3,$B290&lt;=$D$16),Resumo!$F$11,IF(AND(B290&lt;&gt;"",L290&lt;&gt;$D$17,B290&gt;$D$16),Resumo!$F$11,0))</f>
        <v>25</v>
      </c>
      <c r="K290" s="42">
        <f t="shared" ca="1" si="54"/>
        <v>1451.355890968942</v>
      </c>
      <c r="L290" s="39" t="str">
        <f>IF(B290&lt;&gt;"",VLOOKUP(MONTH(C290),Sheet2!$F$1:$G$12,2,0),"")</f>
        <v>Novembro</v>
      </c>
      <c r="M290" s="200">
        <f t="shared" ca="1" si="60"/>
        <v>0</v>
      </c>
      <c r="N290" s="40">
        <f t="shared" ca="1" si="61"/>
        <v>1375.7039742920722</v>
      </c>
      <c r="O290" s="40">
        <f t="shared" ca="1" si="55"/>
        <v>1451.355890968942</v>
      </c>
      <c r="P290" s="40"/>
      <c r="Q290" s="20">
        <f t="shared" ca="1" si="62"/>
        <v>834.89136490250701</v>
      </c>
      <c r="R290" s="1">
        <f t="shared" si="56"/>
        <v>8169</v>
      </c>
      <c r="S290" s="243">
        <f>IF(AND($K$2&gt;=DATEVALUE("03/04/2020"),$K$2&lt;=DATEVALUE("31/12/2020")),0,IF(Resumo!$C$19="PF",IF(R290&lt;360,0.0082%*R290,3%),IF(R290&lt;360,0.0041%*R290,1.5%)))</f>
        <v>1.4999999999999999E-2</v>
      </c>
      <c r="T290" s="172">
        <f t="shared" ca="1" si="63"/>
        <v>12.523370473537605</v>
      </c>
      <c r="X290" s="20">
        <f t="shared" ca="1" si="64"/>
        <v>1375.7039742920722</v>
      </c>
    </row>
    <row r="291" spans="2:24">
      <c r="B291" s="37">
        <f t="shared" si="57"/>
        <v>269</v>
      </c>
      <c r="C291" s="163">
        <f t="shared" si="58"/>
        <v>52946</v>
      </c>
      <c r="D291" s="38">
        <f t="shared" ca="1" si="52"/>
        <v>842.74931039701278</v>
      </c>
      <c r="E291" s="38">
        <f t="shared" ca="1" si="59"/>
        <v>527.22396858435968</v>
      </c>
      <c r="F291" s="38">
        <f t="shared" ca="1" si="53"/>
        <v>1369.9732789813725</v>
      </c>
      <c r="G291" s="38">
        <f ca="1">IF(B291&lt;=$D$16,G290*(1+$D$13)^((C291-C290)/_xlfn.DAYS(EDATE(C290,1),C290)),G290-D291)+IF(B291&lt;=$D$16,G290*Resumo!$F$12,0)+IF(B291&lt;=$D$16,$D$15*Resumo!$F$13,0)+IF(B291&lt;=$D$16,25,0)-IF(AND($D$16&gt;3,B291&lt;=$D$16),K291,0)</f>
        <v>76690.187246126472</v>
      </c>
      <c r="H291" s="38">
        <f ca="1">IF(AND(B291&lt;&gt;"",L291&lt;&gt;$D$17,$D$16&gt;3),G291*Resumo!$F$12,IF(AND(B291&lt;&gt;"",L291&lt;&gt;$D$17,B291&gt;$D$16),G291*Resumo!$F$12,0))</f>
        <v>16.104939321686558</v>
      </c>
      <c r="I291" s="38">
        <f>IF(AND(B291&lt;&gt;"",L291&lt;&gt;$D$17,$D$16&gt;3,$B291&lt;=$D$16),$D$15*Resumo!$F$13,IF(AND(B291&lt;&gt;"",L291&lt;&gt;$D$17,B291&gt;$D$16),$D$15*Resumo!$F$13,0))</f>
        <v>34.369999999999997</v>
      </c>
      <c r="J291" s="38">
        <f>IF(AND(B291&lt;&gt;"",L291&lt;&gt;$D$17,$D$16&gt;3,$B291&lt;=$D$16),Resumo!$F$11,IF(AND(B291&lt;&gt;"",L291&lt;&gt;$D$17,B291&gt;$D$16),Resumo!$F$11,0))</f>
        <v>25</v>
      </c>
      <c r="K291" s="38">
        <f t="shared" ca="1" si="54"/>
        <v>1445.4482183030589</v>
      </c>
      <c r="L291" s="39" t="str">
        <f>IF(B291&lt;&gt;"",VLOOKUP(MONTH(C291),Sheet2!$F$1:$G$12,2,0),"")</f>
        <v>Dezembro</v>
      </c>
      <c r="M291" s="200">
        <f t="shared" ca="1" si="60"/>
        <v>0</v>
      </c>
      <c r="N291" s="40">
        <f t="shared" ca="1" si="61"/>
        <v>1369.9732789813725</v>
      </c>
      <c r="O291" s="40">
        <f t="shared" ca="1" si="55"/>
        <v>1445.4482183030589</v>
      </c>
      <c r="P291" s="40"/>
      <c r="Q291" s="20">
        <f t="shared" ca="1" si="62"/>
        <v>834.89136490250701</v>
      </c>
      <c r="R291" s="1">
        <f t="shared" si="56"/>
        <v>8199</v>
      </c>
      <c r="S291" s="243">
        <f>IF(AND($K$2&gt;=DATEVALUE("03/04/2020"),$K$2&lt;=DATEVALUE("31/12/2020")),0,IF(Resumo!$C$19="PF",IF(R291&lt;360,0.0082%*R291,3%),IF(R291&lt;360,0.0041%*R291,1.5%)))</f>
        <v>1.4999999999999999E-2</v>
      </c>
      <c r="T291" s="172">
        <f t="shared" ca="1" si="63"/>
        <v>12.523370473537605</v>
      </c>
      <c r="X291" s="20">
        <f t="shared" ca="1" si="64"/>
        <v>1369.9732789813725</v>
      </c>
    </row>
    <row r="292" spans="2:24">
      <c r="B292" s="41">
        <f t="shared" si="57"/>
        <v>270</v>
      </c>
      <c r="C292" s="164">
        <f t="shared" si="58"/>
        <v>52977</v>
      </c>
      <c r="D292" s="42">
        <f t="shared" ca="1" si="52"/>
        <v>842.74931039701278</v>
      </c>
      <c r="E292" s="42">
        <f t="shared" ca="1" si="59"/>
        <v>521.49327327365995</v>
      </c>
      <c r="F292" s="42">
        <f t="shared" ca="1" si="53"/>
        <v>1364.2425836706727</v>
      </c>
      <c r="G292" s="42">
        <f ca="1">IF(B292&lt;=$D$16,G291*(1+$D$13)^((C292-C291)/_xlfn.DAYS(EDATE(C291,1),C291)),G291-D292)+IF(B292&lt;=$D$16,G291*Resumo!$F$12,0)+IF(B292&lt;=$D$16,$D$15*Resumo!$F$13,0)+IF(B292&lt;=$D$16,25,0)-IF(AND($D$16&gt;3,B292&lt;=$D$16),K292,0)</f>
        <v>75847.437935729453</v>
      </c>
      <c r="H292" s="42">
        <f ca="1">IF(AND(B292&lt;&gt;"",L292&lt;&gt;$D$17,$D$16&gt;3),G292*Resumo!$F$12,IF(AND(B292&lt;&gt;"",L292&lt;&gt;$D$17,B292&gt;$D$16),G292*Resumo!$F$12,0))</f>
        <v>15.927961966503187</v>
      </c>
      <c r="I292" s="42">
        <f>IF(AND(B292&lt;&gt;"",L292&lt;&gt;$D$17,$D$16&gt;3,$B292&lt;=$D$16),$D$15*Resumo!$F$13,IF(AND(B292&lt;&gt;"",L292&lt;&gt;$D$17,B292&gt;$D$16),$D$15*Resumo!$F$13,0))</f>
        <v>34.369999999999997</v>
      </c>
      <c r="J292" s="42">
        <f>IF(AND(B292&lt;&gt;"",L292&lt;&gt;$D$17,$D$16&gt;3,$B292&lt;=$D$16),Resumo!$F$11,IF(AND(B292&lt;&gt;"",L292&lt;&gt;$D$17,B292&gt;$D$16),Resumo!$F$11,0))</f>
        <v>25</v>
      </c>
      <c r="K292" s="42">
        <f t="shared" ca="1" si="54"/>
        <v>1439.5405456371759</v>
      </c>
      <c r="L292" s="39" t="str">
        <f>IF(B292&lt;&gt;"",VLOOKUP(MONTH(C292),Sheet2!$F$1:$G$12,2,0),"")</f>
        <v>Janeiro</v>
      </c>
      <c r="M292" s="200">
        <f t="shared" ca="1" si="60"/>
        <v>0</v>
      </c>
      <c r="N292" s="40">
        <f t="shared" ca="1" si="61"/>
        <v>1364.2425836706727</v>
      </c>
      <c r="O292" s="40">
        <f t="shared" ca="1" si="55"/>
        <v>1439.5405456371759</v>
      </c>
      <c r="P292" s="40"/>
      <c r="Q292" s="20">
        <f t="shared" ca="1" si="62"/>
        <v>834.89136490250701</v>
      </c>
      <c r="R292" s="1">
        <f t="shared" si="56"/>
        <v>8230</v>
      </c>
      <c r="S292" s="243">
        <f>IF(AND($K$2&gt;=DATEVALUE("03/04/2020"),$K$2&lt;=DATEVALUE("31/12/2020")),0,IF(Resumo!$C$19="PF",IF(R292&lt;360,0.0082%*R292,3%),IF(R292&lt;360,0.0041%*R292,1.5%)))</f>
        <v>1.4999999999999999E-2</v>
      </c>
      <c r="T292" s="172">
        <f t="shared" ca="1" si="63"/>
        <v>12.523370473537605</v>
      </c>
      <c r="X292" s="20">
        <f t="shared" ca="1" si="64"/>
        <v>1364.2425836706727</v>
      </c>
    </row>
    <row r="293" spans="2:24">
      <c r="B293" s="37">
        <f t="shared" si="57"/>
        <v>271</v>
      </c>
      <c r="C293" s="163">
        <f t="shared" si="58"/>
        <v>53008</v>
      </c>
      <c r="D293" s="38">
        <f t="shared" ca="1" si="52"/>
        <v>842.74931039701278</v>
      </c>
      <c r="E293" s="38">
        <f t="shared" ca="1" si="59"/>
        <v>515.76257796296022</v>
      </c>
      <c r="F293" s="38">
        <f t="shared" ca="1" si="53"/>
        <v>1358.511888359973</v>
      </c>
      <c r="G293" s="38">
        <f ca="1">IF(B293&lt;=$D$16,G292*(1+$D$13)^((C293-C292)/_xlfn.DAYS(EDATE(C292,1),C292)),G292-D293)+IF(B293&lt;=$D$16,G292*Resumo!$F$12,0)+IF(B293&lt;=$D$16,$D$15*Resumo!$F$13,0)+IF(B293&lt;=$D$16,25,0)-IF(AND($D$16&gt;3,B293&lt;=$D$16),K293,0)</f>
        <v>75004.688625332434</v>
      </c>
      <c r="H293" s="38">
        <f ca="1">IF(AND(B293&lt;&gt;"",L293&lt;&gt;$D$17,$D$16&gt;3),G293*Resumo!$F$12,IF(AND(B293&lt;&gt;"",L293&lt;&gt;$D$17,B293&gt;$D$16),G293*Resumo!$F$12,0))</f>
        <v>15.750984611319812</v>
      </c>
      <c r="I293" s="38">
        <f>IF(AND(B293&lt;&gt;"",L293&lt;&gt;$D$17,$D$16&gt;3,$B293&lt;=$D$16),$D$15*Resumo!$F$13,IF(AND(B293&lt;&gt;"",L293&lt;&gt;$D$17,B293&gt;$D$16),$D$15*Resumo!$F$13,0))</f>
        <v>34.369999999999997</v>
      </c>
      <c r="J293" s="38">
        <f>IF(AND(B293&lt;&gt;"",L293&lt;&gt;$D$17,$D$16&gt;3,$B293&lt;=$D$16),Resumo!$F$11,IF(AND(B293&lt;&gt;"",L293&lt;&gt;$D$17,B293&gt;$D$16),Resumo!$F$11,0))</f>
        <v>25</v>
      </c>
      <c r="K293" s="38">
        <f t="shared" ca="1" si="54"/>
        <v>1433.6328729712927</v>
      </c>
      <c r="L293" s="39" t="str">
        <f>IF(B293&lt;&gt;"",VLOOKUP(MONTH(C293),Sheet2!$F$1:$G$12,2,0),"")</f>
        <v>Fevereiro</v>
      </c>
      <c r="M293" s="200">
        <f t="shared" ca="1" si="60"/>
        <v>0</v>
      </c>
      <c r="N293" s="40">
        <f t="shared" ca="1" si="61"/>
        <v>1358.511888359973</v>
      </c>
      <c r="O293" s="40">
        <f t="shared" ca="1" si="55"/>
        <v>1433.6328729712927</v>
      </c>
      <c r="P293" s="40"/>
      <c r="Q293" s="20">
        <f t="shared" ca="1" si="62"/>
        <v>834.89136490250701</v>
      </c>
      <c r="R293" s="1">
        <f t="shared" si="56"/>
        <v>8261</v>
      </c>
      <c r="S293" s="243">
        <f>IF(AND($K$2&gt;=DATEVALUE("03/04/2020"),$K$2&lt;=DATEVALUE("31/12/2020")),0,IF(Resumo!$C$19="PF",IF(R293&lt;360,0.0082%*R293,3%),IF(R293&lt;360,0.0041%*R293,1.5%)))</f>
        <v>1.4999999999999999E-2</v>
      </c>
      <c r="T293" s="172">
        <f t="shared" ca="1" si="63"/>
        <v>12.523370473537605</v>
      </c>
      <c r="X293" s="20">
        <f t="shared" ca="1" si="64"/>
        <v>1358.511888359973</v>
      </c>
    </row>
    <row r="294" spans="2:24">
      <c r="B294" s="41">
        <f t="shared" si="57"/>
        <v>272</v>
      </c>
      <c r="C294" s="164">
        <f t="shared" si="58"/>
        <v>53036</v>
      </c>
      <c r="D294" s="42">
        <f t="shared" ca="1" si="52"/>
        <v>842.74931039701278</v>
      </c>
      <c r="E294" s="42">
        <f t="shared" ca="1" si="59"/>
        <v>510.03188265226055</v>
      </c>
      <c r="F294" s="42">
        <f t="shared" ca="1" si="53"/>
        <v>1352.7811930492733</v>
      </c>
      <c r="G294" s="42">
        <f ca="1">IF(B294&lt;=$D$16,G293*(1+$D$13)^((C294-C293)/_xlfn.DAYS(EDATE(C293,1),C293)),G293-D294)+IF(B294&lt;=$D$16,G293*Resumo!$F$12,0)+IF(B294&lt;=$D$16,$D$15*Resumo!$F$13,0)+IF(B294&lt;=$D$16,25,0)-IF(AND($D$16&gt;3,B294&lt;=$D$16),K294,0)</f>
        <v>74161.939314935415</v>
      </c>
      <c r="H294" s="42">
        <f ca="1">IF(AND(B294&lt;&gt;"",L294&lt;&gt;$D$17,$D$16&gt;3),G294*Resumo!$F$12,IF(AND(B294&lt;&gt;"",L294&lt;&gt;$D$17,B294&gt;$D$16),G294*Resumo!$F$12,0))</f>
        <v>15.574007256136438</v>
      </c>
      <c r="I294" s="42">
        <f>IF(AND(B294&lt;&gt;"",L294&lt;&gt;$D$17,$D$16&gt;3,$B294&lt;=$D$16),$D$15*Resumo!$F$13,IF(AND(B294&lt;&gt;"",L294&lt;&gt;$D$17,B294&gt;$D$16),$D$15*Resumo!$F$13,0))</f>
        <v>34.369999999999997</v>
      </c>
      <c r="J294" s="42">
        <f>IF(AND(B294&lt;&gt;"",L294&lt;&gt;$D$17,$D$16&gt;3,$B294&lt;=$D$16),Resumo!$F$11,IF(AND(B294&lt;&gt;"",L294&lt;&gt;$D$17,B294&gt;$D$16),Resumo!$F$11,0))</f>
        <v>25</v>
      </c>
      <c r="K294" s="42">
        <f t="shared" ca="1" si="54"/>
        <v>1427.7252003054095</v>
      </c>
      <c r="L294" s="39" t="str">
        <f>IF(B294&lt;&gt;"",VLOOKUP(MONTH(C294),Sheet2!$F$1:$G$12,2,0),"")</f>
        <v>Março</v>
      </c>
      <c r="M294" s="200">
        <f t="shared" ca="1" si="60"/>
        <v>0</v>
      </c>
      <c r="N294" s="40">
        <f t="shared" ca="1" si="61"/>
        <v>1352.7811930492733</v>
      </c>
      <c r="O294" s="40">
        <f t="shared" ca="1" si="55"/>
        <v>1427.7252003054095</v>
      </c>
      <c r="P294" s="40"/>
      <c r="Q294" s="20">
        <f t="shared" ca="1" si="62"/>
        <v>834.89136490250701</v>
      </c>
      <c r="R294" s="1">
        <f t="shared" si="56"/>
        <v>8289</v>
      </c>
      <c r="S294" s="243">
        <f>IF(AND($K$2&gt;=DATEVALUE("03/04/2020"),$K$2&lt;=DATEVALUE("31/12/2020")),0,IF(Resumo!$C$19="PF",IF(R294&lt;360,0.0082%*R294,3%),IF(R294&lt;360,0.0041%*R294,1.5%)))</f>
        <v>1.4999999999999999E-2</v>
      </c>
      <c r="T294" s="172">
        <f t="shared" ca="1" si="63"/>
        <v>12.523370473537605</v>
      </c>
      <c r="X294" s="20">
        <f t="shared" ca="1" si="64"/>
        <v>1352.7811930492733</v>
      </c>
    </row>
    <row r="295" spans="2:24">
      <c r="B295" s="37">
        <f t="shared" si="57"/>
        <v>273</v>
      </c>
      <c r="C295" s="163">
        <f t="shared" si="58"/>
        <v>53067</v>
      </c>
      <c r="D295" s="38">
        <f t="shared" ca="1" si="52"/>
        <v>842.74931039701278</v>
      </c>
      <c r="E295" s="38">
        <f t="shared" ca="1" si="59"/>
        <v>504.30118734156082</v>
      </c>
      <c r="F295" s="38">
        <f t="shared" ca="1" si="53"/>
        <v>1347.0504977385735</v>
      </c>
      <c r="G295" s="38">
        <f ca="1">IF(B295&lt;=$D$16,G294*(1+$D$13)^((C295-C294)/_xlfn.DAYS(EDATE(C294,1),C294)),G294-D295)+IF(B295&lt;=$D$16,G294*Resumo!$F$12,0)+IF(B295&lt;=$D$16,$D$15*Resumo!$F$13,0)+IF(B295&lt;=$D$16,25,0)-IF(AND($D$16&gt;3,B295&lt;=$D$16),K295,0)</f>
        <v>73319.190004538395</v>
      </c>
      <c r="H295" s="38">
        <f ca="1">IF(AND(B295&lt;&gt;"",L295&lt;&gt;$D$17,$D$16&gt;3),G295*Resumo!$F$12,IF(AND(B295&lt;&gt;"",L295&lt;&gt;$D$17,B295&gt;$D$16),G295*Resumo!$F$12,0))</f>
        <v>15.397029900953063</v>
      </c>
      <c r="I295" s="38">
        <f>IF(AND(B295&lt;&gt;"",L295&lt;&gt;$D$17,$D$16&gt;3,$B295&lt;=$D$16),$D$15*Resumo!$F$13,IF(AND(B295&lt;&gt;"",L295&lt;&gt;$D$17,B295&gt;$D$16),$D$15*Resumo!$F$13,0))</f>
        <v>34.369999999999997</v>
      </c>
      <c r="J295" s="38">
        <f>IF(AND(B295&lt;&gt;"",L295&lt;&gt;$D$17,$D$16&gt;3,$B295&lt;=$D$16),Resumo!$F$11,IF(AND(B295&lt;&gt;"",L295&lt;&gt;$D$17,B295&gt;$D$16),Resumo!$F$11,0))</f>
        <v>25</v>
      </c>
      <c r="K295" s="38">
        <f t="shared" ca="1" si="54"/>
        <v>1421.8175276395266</v>
      </c>
      <c r="L295" s="39" t="str">
        <f>IF(B295&lt;&gt;"",VLOOKUP(MONTH(C295),Sheet2!$F$1:$G$12,2,0),"")</f>
        <v>Abril</v>
      </c>
      <c r="M295" s="200">
        <f t="shared" ca="1" si="60"/>
        <v>0</v>
      </c>
      <c r="N295" s="40">
        <f t="shared" ca="1" si="61"/>
        <v>1347.0504977385735</v>
      </c>
      <c r="O295" s="40">
        <f t="shared" ca="1" si="55"/>
        <v>1421.8175276395266</v>
      </c>
      <c r="P295" s="40"/>
      <c r="Q295" s="20">
        <f t="shared" ca="1" si="62"/>
        <v>834.89136490250701</v>
      </c>
      <c r="R295" s="1">
        <f t="shared" si="56"/>
        <v>8320</v>
      </c>
      <c r="S295" s="243">
        <f>IF(AND($K$2&gt;=DATEVALUE("03/04/2020"),$K$2&lt;=DATEVALUE("31/12/2020")),0,IF(Resumo!$C$19="PF",IF(R295&lt;360,0.0082%*R295,3%),IF(R295&lt;360,0.0041%*R295,1.5%)))</f>
        <v>1.4999999999999999E-2</v>
      </c>
      <c r="T295" s="172">
        <f t="shared" ca="1" si="63"/>
        <v>12.523370473537605</v>
      </c>
      <c r="X295" s="20">
        <f t="shared" ca="1" si="64"/>
        <v>1347.0504977385735</v>
      </c>
    </row>
    <row r="296" spans="2:24">
      <c r="B296" s="41">
        <f t="shared" si="57"/>
        <v>274</v>
      </c>
      <c r="C296" s="164">
        <f t="shared" si="58"/>
        <v>53097</v>
      </c>
      <c r="D296" s="42">
        <f t="shared" ca="1" si="52"/>
        <v>842.74931039701278</v>
      </c>
      <c r="E296" s="42">
        <f t="shared" ca="1" si="59"/>
        <v>498.57049203086109</v>
      </c>
      <c r="F296" s="42">
        <f t="shared" ca="1" si="53"/>
        <v>1341.3198024278738</v>
      </c>
      <c r="G296" s="42">
        <f ca="1">IF(B296&lt;=$D$16,G295*(1+$D$13)^((C296-C295)/_xlfn.DAYS(EDATE(C295,1),C295)),G295-D296)+IF(B296&lt;=$D$16,G295*Resumo!$F$12,0)+IF(B296&lt;=$D$16,$D$15*Resumo!$F$13,0)+IF(B296&lt;=$D$16,25,0)-IF(AND($D$16&gt;3,B296&lt;=$D$16),K296,0)</f>
        <v>72476.440694141376</v>
      </c>
      <c r="H296" s="42">
        <f ca="1">IF(AND(B296&lt;&gt;"",L296&lt;&gt;$D$17,$D$16&gt;3),G296*Resumo!$F$12,IF(AND(B296&lt;&gt;"",L296&lt;&gt;$D$17,B296&gt;$D$16),G296*Resumo!$F$12,0))</f>
        <v>15.22005254576969</v>
      </c>
      <c r="I296" s="42">
        <f>IF(AND(B296&lt;&gt;"",L296&lt;&gt;$D$17,$D$16&gt;3,$B296&lt;=$D$16),$D$15*Resumo!$F$13,IF(AND(B296&lt;&gt;"",L296&lt;&gt;$D$17,B296&gt;$D$16),$D$15*Resumo!$F$13,0))</f>
        <v>34.369999999999997</v>
      </c>
      <c r="J296" s="42">
        <f>IF(AND(B296&lt;&gt;"",L296&lt;&gt;$D$17,$D$16&gt;3,$B296&lt;=$D$16),Resumo!$F$11,IF(AND(B296&lt;&gt;"",L296&lt;&gt;$D$17,B296&gt;$D$16),Resumo!$F$11,0))</f>
        <v>25</v>
      </c>
      <c r="K296" s="42">
        <f t="shared" ca="1" si="54"/>
        <v>1415.9098549736434</v>
      </c>
      <c r="L296" s="39" t="str">
        <f>IF(B296&lt;&gt;"",VLOOKUP(MONTH(C296),Sheet2!$F$1:$G$12,2,0),"")</f>
        <v>Maio</v>
      </c>
      <c r="M296" s="200">
        <f t="shared" ca="1" si="60"/>
        <v>0</v>
      </c>
      <c r="N296" s="40">
        <f t="shared" ca="1" si="61"/>
        <v>1341.3198024278738</v>
      </c>
      <c r="O296" s="40">
        <f t="shared" ca="1" si="55"/>
        <v>1415.9098549736434</v>
      </c>
      <c r="P296" s="40"/>
      <c r="Q296" s="20">
        <f t="shared" ca="1" si="62"/>
        <v>834.89136490250701</v>
      </c>
      <c r="R296" s="1">
        <f t="shared" si="56"/>
        <v>8350</v>
      </c>
      <c r="S296" s="243">
        <f>IF(AND($K$2&gt;=DATEVALUE("03/04/2020"),$K$2&lt;=DATEVALUE("31/12/2020")),0,IF(Resumo!$C$19="PF",IF(R296&lt;360,0.0082%*R296,3%),IF(R296&lt;360,0.0041%*R296,1.5%)))</f>
        <v>1.4999999999999999E-2</v>
      </c>
      <c r="T296" s="172">
        <f t="shared" ca="1" si="63"/>
        <v>12.523370473537605</v>
      </c>
      <c r="X296" s="20">
        <f t="shared" ca="1" si="64"/>
        <v>1341.3198024278738</v>
      </c>
    </row>
    <row r="297" spans="2:24">
      <c r="B297" s="37">
        <f t="shared" si="57"/>
        <v>275</v>
      </c>
      <c r="C297" s="163">
        <f t="shared" si="58"/>
        <v>53128</v>
      </c>
      <c r="D297" s="38">
        <f t="shared" ca="1" si="52"/>
        <v>842.74931039701278</v>
      </c>
      <c r="E297" s="38">
        <f t="shared" ca="1" si="59"/>
        <v>492.83979672016136</v>
      </c>
      <c r="F297" s="38">
        <f t="shared" ca="1" si="53"/>
        <v>1335.5891071171741</v>
      </c>
      <c r="G297" s="38">
        <f ca="1">IF(B297&lt;=$D$16,G296*(1+$D$13)^((C297-C296)/_xlfn.DAYS(EDATE(C296,1),C296)),G296-D297)+IF(B297&lt;=$D$16,G296*Resumo!$F$12,0)+IF(B297&lt;=$D$16,$D$15*Resumo!$F$13,0)+IF(B297&lt;=$D$16,25,0)-IF(AND($D$16&gt;3,B297&lt;=$D$16),K297,0)</f>
        <v>71633.691383744357</v>
      </c>
      <c r="H297" s="38">
        <f ca="1">IF(AND(B297&lt;&gt;"",L297&lt;&gt;$D$17,$D$16&gt;3),G297*Resumo!$F$12,IF(AND(B297&lt;&gt;"",L297&lt;&gt;$D$17,B297&gt;$D$16),G297*Resumo!$F$12,0))</f>
        <v>15.043075190586316</v>
      </c>
      <c r="I297" s="38">
        <f>IF(AND(B297&lt;&gt;"",L297&lt;&gt;$D$17,$D$16&gt;3,$B297&lt;=$D$16),$D$15*Resumo!$F$13,IF(AND(B297&lt;&gt;"",L297&lt;&gt;$D$17,B297&gt;$D$16),$D$15*Resumo!$F$13,0))</f>
        <v>34.369999999999997</v>
      </c>
      <c r="J297" s="38">
        <f>IF(AND(B297&lt;&gt;"",L297&lt;&gt;$D$17,$D$16&gt;3,$B297&lt;=$D$16),Resumo!$F$11,IF(AND(B297&lt;&gt;"",L297&lt;&gt;$D$17,B297&gt;$D$16),Resumo!$F$11,0))</f>
        <v>25</v>
      </c>
      <c r="K297" s="38">
        <f t="shared" ca="1" si="54"/>
        <v>1410.0021823077602</v>
      </c>
      <c r="L297" s="39" t="str">
        <f>IF(B297&lt;&gt;"",VLOOKUP(MONTH(C297),Sheet2!$F$1:$G$12,2,0),"")</f>
        <v>Junho</v>
      </c>
      <c r="M297" s="200">
        <f t="shared" ca="1" si="60"/>
        <v>0</v>
      </c>
      <c r="N297" s="40">
        <f t="shared" ca="1" si="61"/>
        <v>1335.5891071171741</v>
      </c>
      <c r="O297" s="40">
        <f t="shared" ca="1" si="55"/>
        <v>1410.0021823077602</v>
      </c>
      <c r="P297" s="40"/>
      <c r="Q297" s="20">
        <f t="shared" ca="1" si="62"/>
        <v>834.89136490250701</v>
      </c>
      <c r="R297" s="1">
        <f t="shared" si="56"/>
        <v>8381</v>
      </c>
      <c r="S297" s="243">
        <f>IF(AND($K$2&gt;=DATEVALUE("03/04/2020"),$K$2&lt;=DATEVALUE("31/12/2020")),0,IF(Resumo!$C$19="PF",IF(R297&lt;360,0.0082%*R297,3%),IF(R297&lt;360,0.0041%*R297,1.5%)))</f>
        <v>1.4999999999999999E-2</v>
      </c>
      <c r="T297" s="172">
        <f t="shared" ca="1" si="63"/>
        <v>12.523370473537605</v>
      </c>
      <c r="X297" s="20">
        <f t="shared" ca="1" si="64"/>
        <v>1335.5891071171741</v>
      </c>
    </row>
    <row r="298" spans="2:24">
      <c r="B298" s="41">
        <f t="shared" si="57"/>
        <v>276</v>
      </c>
      <c r="C298" s="164">
        <f t="shared" si="58"/>
        <v>53158</v>
      </c>
      <c r="D298" s="42">
        <f t="shared" ca="1" si="52"/>
        <v>842.74931039701278</v>
      </c>
      <c r="E298" s="42">
        <f t="shared" ca="1" si="59"/>
        <v>487.10910140946163</v>
      </c>
      <c r="F298" s="42">
        <f t="shared" ca="1" si="53"/>
        <v>1329.8584118064744</v>
      </c>
      <c r="G298" s="42">
        <f ca="1">IF(B298&lt;=$D$16,G297*(1+$D$13)^((C298-C297)/_xlfn.DAYS(EDATE(C297,1),C297)),G297-D298)+IF(B298&lt;=$D$16,G297*Resumo!$F$12,0)+IF(B298&lt;=$D$16,$D$15*Resumo!$F$13,0)+IF(B298&lt;=$D$16,25,0)-IF(AND($D$16&gt;3,B298&lt;=$D$16),K298,0)</f>
        <v>70790.942073347338</v>
      </c>
      <c r="H298" s="42">
        <f ca="1">IF(AND(B298&lt;&gt;"",L298&lt;&gt;$D$17,$D$16&gt;3),G298*Resumo!$F$12,IF(AND(B298&lt;&gt;"",L298&lt;&gt;$D$17,B298&gt;$D$16),G298*Resumo!$F$12,0))</f>
        <v>14.866097835402941</v>
      </c>
      <c r="I298" s="42">
        <f>IF(AND(B298&lt;&gt;"",L298&lt;&gt;$D$17,$D$16&gt;3,$B298&lt;=$D$16),$D$15*Resumo!$F$13,IF(AND(B298&lt;&gt;"",L298&lt;&gt;$D$17,B298&gt;$D$16),$D$15*Resumo!$F$13,0))</f>
        <v>34.369999999999997</v>
      </c>
      <c r="J298" s="42">
        <f>IF(AND(B298&lt;&gt;"",L298&lt;&gt;$D$17,$D$16&gt;3,$B298&lt;=$D$16),Resumo!$F$11,IF(AND(B298&lt;&gt;"",L298&lt;&gt;$D$17,B298&gt;$D$16),Resumo!$F$11,0))</f>
        <v>25</v>
      </c>
      <c r="K298" s="42">
        <f t="shared" ca="1" si="54"/>
        <v>1404.0945096418773</v>
      </c>
      <c r="L298" s="39" t="str">
        <f>IF(B298&lt;&gt;"",VLOOKUP(MONTH(C298),Sheet2!$F$1:$G$12,2,0),"")</f>
        <v>Julho</v>
      </c>
      <c r="M298" s="200">
        <f t="shared" ca="1" si="60"/>
        <v>0</v>
      </c>
      <c r="N298" s="40">
        <f t="shared" ca="1" si="61"/>
        <v>1329.8584118064744</v>
      </c>
      <c r="O298" s="40">
        <f t="shared" ca="1" si="55"/>
        <v>1404.0945096418773</v>
      </c>
      <c r="P298" s="40"/>
      <c r="Q298" s="20">
        <f t="shared" ca="1" si="62"/>
        <v>834.89136490250701</v>
      </c>
      <c r="R298" s="1">
        <f t="shared" si="56"/>
        <v>8411</v>
      </c>
      <c r="S298" s="243">
        <f>IF(AND($K$2&gt;=DATEVALUE("03/04/2020"),$K$2&lt;=DATEVALUE("31/12/2020")),0,IF(Resumo!$C$19="PF",IF(R298&lt;360,0.0082%*R298,3%),IF(R298&lt;360,0.0041%*R298,1.5%)))</f>
        <v>1.4999999999999999E-2</v>
      </c>
      <c r="T298" s="172">
        <f t="shared" ca="1" si="63"/>
        <v>12.523370473537605</v>
      </c>
      <c r="X298" s="20">
        <f t="shared" ca="1" si="64"/>
        <v>1329.8584118064744</v>
      </c>
    </row>
    <row r="299" spans="2:24">
      <c r="B299" s="37">
        <f t="shared" si="57"/>
        <v>277</v>
      </c>
      <c r="C299" s="163">
        <f t="shared" si="58"/>
        <v>53189</v>
      </c>
      <c r="D299" s="38">
        <f t="shared" ca="1" si="52"/>
        <v>842.74931039701278</v>
      </c>
      <c r="E299" s="38">
        <f t="shared" ca="1" si="59"/>
        <v>481.3784060987619</v>
      </c>
      <c r="F299" s="38">
        <f t="shared" ca="1" si="53"/>
        <v>1324.1277164957746</v>
      </c>
      <c r="G299" s="38">
        <f ca="1">IF(B299&lt;=$D$16,G298*(1+$D$13)^((C299-C298)/_xlfn.DAYS(EDATE(C298,1),C298)),G298-D299)+IF(B299&lt;=$D$16,G298*Resumo!$F$12,0)+IF(B299&lt;=$D$16,$D$15*Resumo!$F$13,0)+IF(B299&lt;=$D$16,25,0)-IF(AND($D$16&gt;3,B299&lt;=$D$16),K299,0)</f>
        <v>69948.192762950319</v>
      </c>
      <c r="H299" s="38">
        <f ca="1">IF(AND(B299&lt;&gt;"",L299&lt;&gt;$D$17,$D$16&gt;3),G299*Resumo!$F$12,IF(AND(B299&lt;&gt;"",L299&lt;&gt;$D$17,B299&gt;$D$16),G299*Resumo!$F$12,0))</f>
        <v>14.689120480219568</v>
      </c>
      <c r="I299" s="38">
        <f>IF(AND(B299&lt;&gt;"",L299&lt;&gt;$D$17,$D$16&gt;3,$B299&lt;=$D$16),$D$15*Resumo!$F$13,IF(AND(B299&lt;&gt;"",L299&lt;&gt;$D$17,B299&gt;$D$16),$D$15*Resumo!$F$13,0))</f>
        <v>34.369999999999997</v>
      </c>
      <c r="J299" s="38">
        <f>IF(AND(B299&lt;&gt;"",L299&lt;&gt;$D$17,$D$16&gt;3,$B299&lt;=$D$16),Resumo!$F$11,IF(AND(B299&lt;&gt;"",L299&lt;&gt;$D$17,B299&gt;$D$16),Resumo!$F$11,0))</f>
        <v>25</v>
      </c>
      <c r="K299" s="38">
        <f t="shared" ca="1" si="54"/>
        <v>1398.1868369759941</v>
      </c>
      <c r="L299" s="39" t="str">
        <f>IF(B299&lt;&gt;"",VLOOKUP(MONTH(C299),Sheet2!$F$1:$G$12,2,0),"")</f>
        <v>Agosto</v>
      </c>
      <c r="M299" s="200">
        <f t="shared" ca="1" si="60"/>
        <v>0</v>
      </c>
      <c r="N299" s="40">
        <f t="shared" ca="1" si="61"/>
        <v>1324.1277164957746</v>
      </c>
      <c r="O299" s="40">
        <f t="shared" ca="1" si="55"/>
        <v>1398.1868369759941</v>
      </c>
      <c r="P299" s="40"/>
      <c r="Q299" s="20">
        <f t="shared" ca="1" si="62"/>
        <v>834.89136490250701</v>
      </c>
      <c r="R299" s="1">
        <f t="shared" si="56"/>
        <v>8442</v>
      </c>
      <c r="S299" s="243">
        <f>IF(AND($K$2&gt;=DATEVALUE("03/04/2020"),$K$2&lt;=DATEVALUE("31/12/2020")),0,IF(Resumo!$C$19="PF",IF(R299&lt;360,0.0082%*R299,3%),IF(R299&lt;360,0.0041%*R299,1.5%)))</f>
        <v>1.4999999999999999E-2</v>
      </c>
      <c r="T299" s="172">
        <f t="shared" ca="1" si="63"/>
        <v>12.523370473537605</v>
      </c>
      <c r="X299" s="20">
        <f t="shared" ca="1" si="64"/>
        <v>1324.1277164957746</v>
      </c>
    </row>
    <row r="300" spans="2:24">
      <c r="B300" s="41">
        <f t="shared" si="57"/>
        <v>278</v>
      </c>
      <c r="C300" s="164">
        <f t="shared" si="58"/>
        <v>53220</v>
      </c>
      <c r="D300" s="42">
        <f t="shared" ca="1" si="52"/>
        <v>842.74931039701278</v>
      </c>
      <c r="E300" s="42">
        <f t="shared" ca="1" si="59"/>
        <v>475.64771078806211</v>
      </c>
      <c r="F300" s="42">
        <f t="shared" ca="1" si="53"/>
        <v>1318.3970211850749</v>
      </c>
      <c r="G300" s="42">
        <f ca="1">IF(B300&lt;=$D$16,G299*(1+$D$13)^((C300-C299)/_xlfn.DAYS(EDATE(C299,1),C299)),G299-D300)+IF(B300&lt;=$D$16,G299*Resumo!$F$12,0)+IF(B300&lt;=$D$16,$D$15*Resumo!$F$13,0)+IF(B300&lt;=$D$16,25,0)-IF(AND($D$16&gt;3,B300&lt;=$D$16),K300,0)</f>
        <v>69105.4434525533</v>
      </c>
      <c r="H300" s="42">
        <f ca="1">IF(AND(B300&lt;&gt;"",L300&lt;&gt;$D$17,$D$16&gt;3),G300*Resumo!$F$12,IF(AND(B300&lt;&gt;"",L300&lt;&gt;$D$17,B300&gt;$D$16),G300*Resumo!$F$12,0))</f>
        <v>14.512143125036193</v>
      </c>
      <c r="I300" s="42">
        <f>IF(AND(B300&lt;&gt;"",L300&lt;&gt;$D$17,$D$16&gt;3,$B300&lt;=$D$16),$D$15*Resumo!$F$13,IF(AND(B300&lt;&gt;"",L300&lt;&gt;$D$17,B300&gt;$D$16),$D$15*Resumo!$F$13,0))</f>
        <v>34.369999999999997</v>
      </c>
      <c r="J300" s="42">
        <f>IF(AND(B300&lt;&gt;"",L300&lt;&gt;$D$17,$D$16&gt;3,$B300&lt;=$D$16),Resumo!$F$11,IF(AND(B300&lt;&gt;"",L300&lt;&gt;$D$17,B300&gt;$D$16),Resumo!$F$11,0))</f>
        <v>25</v>
      </c>
      <c r="K300" s="42">
        <f t="shared" ca="1" si="54"/>
        <v>1392.2791643101109</v>
      </c>
      <c r="L300" s="39" t="str">
        <f>IF(B300&lt;&gt;"",VLOOKUP(MONTH(C300),Sheet2!$F$1:$G$12,2,0),"")</f>
        <v>Setembro</v>
      </c>
      <c r="M300" s="200">
        <f t="shared" ca="1" si="60"/>
        <v>0</v>
      </c>
      <c r="N300" s="40">
        <f t="shared" ca="1" si="61"/>
        <v>1318.3970211850749</v>
      </c>
      <c r="O300" s="40">
        <f t="shared" ca="1" si="55"/>
        <v>1392.2791643101109</v>
      </c>
      <c r="P300" s="40"/>
      <c r="Q300" s="20">
        <f t="shared" ca="1" si="62"/>
        <v>834.89136490250701</v>
      </c>
      <c r="R300" s="1">
        <f t="shared" si="56"/>
        <v>8473</v>
      </c>
      <c r="S300" s="243">
        <f>IF(AND($K$2&gt;=DATEVALUE("03/04/2020"),$K$2&lt;=DATEVALUE("31/12/2020")),0,IF(Resumo!$C$19="PF",IF(R300&lt;360,0.0082%*R300,3%),IF(R300&lt;360,0.0041%*R300,1.5%)))</f>
        <v>1.4999999999999999E-2</v>
      </c>
      <c r="T300" s="172">
        <f t="shared" ca="1" si="63"/>
        <v>12.523370473537605</v>
      </c>
      <c r="X300" s="20">
        <f t="shared" ca="1" si="64"/>
        <v>1318.3970211850749</v>
      </c>
    </row>
    <row r="301" spans="2:24">
      <c r="B301" s="37">
        <f t="shared" si="57"/>
        <v>279</v>
      </c>
      <c r="C301" s="163">
        <f t="shared" si="58"/>
        <v>53250</v>
      </c>
      <c r="D301" s="38">
        <f t="shared" ca="1" si="52"/>
        <v>842.74931039701278</v>
      </c>
      <c r="E301" s="38">
        <f t="shared" ca="1" si="59"/>
        <v>469.91701547736238</v>
      </c>
      <c r="F301" s="38">
        <f t="shared" ca="1" si="53"/>
        <v>1312.6663258743752</v>
      </c>
      <c r="G301" s="38">
        <f ca="1">IF(B301&lt;=$D$16,G300*(1+$D$13)^((C301-C300)/_xlfn.DAYS(EDATE(C300,1),C300)),G300-D301)+IF(B301&lt;=$D$16,G300*Resumo!$F$12,0)+IF(B301&lt;=$D$16,$D$15*Resumo!$F$13,0)+IF(B301&lt;=$D$16,25,0)-IF(AND($D$16&gt;3,B301&lt;=$D$16),K301,0)</f>
        <v>68262.694142156281</v>
      </c>
      <c r="H301" s="38">
        <f ca="1">IF(AND(B301&lt;&gt;"",L301&lt;&gt;$D$17,$D$16&gt;3),G301*Resumo!$F$12,IF(AND(B301&lt;&gt;"",L301&lt;&gt;$D$17,B301&gt;$D$16),G301*Resumo!$F$12,0))</f>
        <v>14.33516576985282</v>
      </c>
      <c r="I301" s="38">
        <f>IF(AND(B301&lt;&gt;"",L301&lt;&gt;$D$17,$D$16&gt;3,$B301&lt;=$D$16),$D$15*Resumo!$F$13,IF(AND(B301&lt;&gt;"",L301&lt;&gt;$D$17,B301&gt;$D$16),$D$15*Resumo!$F$13,0))</f>
        <v>34.369999999999997</v>
      </c>
      <c r="J301" s="38">
        <f>IF(AND(B301&lt;&gt;"",L301&lt;&gt;$D$17,$D$16&gt;3,$B301&lt;=$D$16),Resumo!$F$11,IF(AND(B301&lt;&gt;"",L301&lt;&gt;$D$17,B301&gt;$D$16),Resumo!$F$11,0))</f>
        <v>25</v>
      </c>
      <c r="K301" s="38">
        <f t="shared" ca="1" si="54"/>
        <v>1386.3714916442279</v>
      </c>
      <c r="L301" s="39" t="str">
        <f>IF(B301&lt;&gt;"",VLOOKUP(MONTH(C301),Sheet2!$F$1:$G$12,2,0),"")</f>
        <v>Outubro</v>
      </c>
      <c r="M301" s="200">
        <f t="shared" ca="1" si="60"/>
        <v>0</v>
      </c>
      <c r="N301" s="40">
        <f t="shared" ca="1" si="61"/>
        <v>1312.6663258743752</v>
      </c>
      <c r="O301" s="40">
        <f t="shared" ca="1" si="55"/>
        <v>1386.3714916442279</v>
      </c>
      <c r="P301" s="40"/>
      <c r="Q301" s="20">
        <f t="shared" ca="1" si="62"/>
        <v>834.89136490250701</v>
      </c>
      <c r="R301" s="1">
        <f t="shared" si="56"/>
        <v>8503</v>
      </c>
      <c r="S301" s="243">
        <f>IF(AND($K$2&gt;=DATEVALUE("03/04/2020"),$K$2&lt;=DATEVALUE("31/12/2020")),0,IF(Resumo!$C$19="PF",IF(R301&lt;360,0.0082%*R301,3%),IF(R301&lt;360,0.0041%*R301,1.5%)))</f>
        <v>1.4999999999999999E-2</v>
      </c>
      <c r="T301" s="172">
        <f t="shared" ca="1" si="63"/>
        <v>12.523370473537605</v>
      </c>
      <c r="X301" s="20">
        <f t="shared" ca="1" si="64"/>
        <v>1312.6663258743752</v>
      </c>
    </row>
    <row r="302" spans="2:24">
      <c r="B302" s="41">
        <f t="shared" si="57"/>
        <v>280</v>
      </c>
      <c r="C302" s="164">
        <f t="shared" si="58"/>
        <v>53281</v>
      </c>
      <c r="D302" s="42">
        <f t="shared" ca="1" si="52"/>
        <v>842.74931039701278</v>
      </c>
      <c r="E302" s="42">
        <f t="shared" ca="1" si="59"/>
        <v>464.18632016666265</v>
      </c>
      <c r="F302" s="42">
        <f t="shared" ca="1" si="53"/>
        <v>1306.9356305636754</v>
      </c>
      <c r="G302" s="42">
        <f ca="1">IF(B302&lt;=$D$16,G301*(1+$D$13)^((C302-C301)/_xlfn.DAYS(EDATE(C301,1),C301)),G301-D302)+IF(B302&lt;=$D$16,G301*Resumo!$F$12,0)+IF(B302&lt;=$D$16,$D$15*Resumo!$F$13,0)+IF(B302&lt;=$D$16,25,0)-IF(AND($D$16&gt;3,B302&lt;=$D$16),K302,0)</f>
        <v>67419.944831759261</v>
      </c>
      <c r="H302" s="42">
        <f ca="1">IF(AND(B302&lt;&gt;"",L302&lt;&gt;$D$17,$D$16&gt;3),G302*Resumo!$F$12,IF(AND(B302&lt;&gt;"",L302&lt;&gt;$D$17,B302&gt;$D$16),G302*Resumo!$F$12,0))</f>
        <v>14.158188414669446</v>
      </c>
      <c r="I302" s="42">
        <f>IF(AND(B302&lt;&gt;"",L302&lt;&gt;$D$17,$D$16&gt;3,$B302&lt;=$D$16),$D$15*Resumo!$F$13,IF(AND(B302&lt;&gt;"",L302&lt;&gt;$D$17,B302&gt;$D$16),$D$15*Resumo!$F$13,0))</f>
        <v>34.369999999999997</v>
      </c>
      <c r="J302" s="42">
        <f>IF(AND(B302&lt;&gt;"",L302&lt;&gt;$D$17,$D$16&gt;3,$B302&lt;=$D$16),Resumo!$F$11,IF(AND(B302&lt;&gt;"",L302&lt;&gt;$D$17,B302&gt;$D$16),Resumo!$F$11,0))</f>
        <v>25</v>
      </c>
      <c r="K302" s="42">
        <f t="shared" ca="1" si="54"/>
        <v>1380.4638189783448</v>
      </c>
      <c r="L302" s="39" t="str">
        <f>IF(B302&lt;&gt;"",VLOOKUP(MONTH(C302),Sheet2!$F$1:$G$12,2,0),"")</f>
        <v>Novembro</v>
      </c>
      <c r="M302" s="200">
        <f t="shared" ca="1" si="60"/>
        <v>0</v>
      </c>
      <c r="N302" s="40">
        <f t="shared" ca="1" si="61"/>
        <v>1306.9356305636754</v>
      </c>
      <c r="O302" s="40">
        <f t="shared" ca="1" si="55"/>
        <v>1380.4638189783448</v>
      </c>
      <c r="P302" s="40"/>
      <c r="Q302" s="20">
        <f t="shared" ca="1" si="62"/>
        <v>834.89136490250701</v>
      </c>
      <c r="R302" s="1">
        <f t="shared" si="56"/>
        <v>8534</v>
      </c>
      <c r="S302" s="243">
        <f>IF(AND($K$2&gt;=DATEVALUE("03/04/2020"),$K$2&lt;=DATEVALUE("31/12/2020")),0,IF(Resumo!$C$19="PF",IF(R302&lt;360,0.0082%*R302,3%),IF(R302&lt;360,0.0041%*R302,1.5%)))</f>
        <v>1.4999999999999999E-2</v>
      </c>
      <c r="T302" s="172">
        <f t="shared" ca="1" si="63"/>
        <v>12.523370473537605</v>
      </c>
      <c r="X302" s="20">
        <f t="shared" ca="1" si="64"/>
        <v>1306.9356305636754</v>
      </c>
    </row>
    <row r="303" spans="2:24">
      <c r="B303" s="37">
        <f t="shared" si="57"/>
        <v>281</v>
      </c>
      <c r="C303" s="163">
        <f t="shared" si="58"/>
        <v>53311</v>
      </c>
      <c r="D303" s="38">
        <f t="shared" ca="1" si="52"/>
        <v>842.74931039701278</v>
      </c>
      <c r="E303" s="38">
        <f t="shared" ca="1" si="59"/>
        <v>458.45562485596292</v>
      </c>
      <c r="F303" s="38">
        <f t="shared" ca="1" si="53"/>
        <v>1301.2049352529757</v>
      </c>
      <c r="G303" s="38">
        <f ca="1">IF(B303&lt;=$D$16,G302*(1+$D$13)^((C303-C302)/_xlfn.DAYS(EDATE(C302,1),C302)),G302-D303)+IF(B303&lt;=$D$16,G302*Resumo!$F$12,0)+IF(B303&lt;=$D$16,$D$15*Resumo!$F$13,0)+IF(B303&lt;=$D$16,25,0)-IF(AND($D$16&gt;3,B303&lt;=$D$16),K303,0)</f>
        <v>66577.195521362242</v>
      </c>
      <c r="H303" s="38">
        <f ca="1">IF(AND(B303&lt;&gt;"",L303&lt;&gt;$D$17,$D$16&gt;3),G303*Resumo!$F$12,IF(AND(B303&lt;&gt;"",L303&lt;&gt;$D$17,B303&gt;$D$16),G303*Resumo!$F$12,0))</f>
        <v>13.981211059486071</v>
      </c>
      <c r="I303" s="38">
        <f>IF(AND(B303&lt;&gt;"",L303&lt;&gt;$D$17,$D$16&gt;3,$B303&lt;=$D$16),$D$15*Resumo!$F$13,IF(AND(B303&lt;&gt;"",L303&lt;&gt;$D$17,B303&gt;$D$16),$D$15*Resumo!$F$13,0))</f>
        <v>34.369999999999997</v>
      </c>
      <c r="J303" s="38">
        <f>IF(AND(B303&lt;&gt;"",L303&lt;&gt;$D$17,$D$16&gt;3,$B303&lt;=$D$16),Resumo!$F$11,IF(AND(B303&lt;&gt;"",L303&lt;&gt;$D$17,B303&gt;$D$16),Resumo!$F$11,0))</f>
        <v>25</v>
      </c>
      <c r="K303" s="38">
        <f t="shared" ca="1" si="54"/>
        <v>1374.5561463124616</v>
      </c>
      <c r="L303" s="39" t="str">
        <f>IF(B303&lt;&gt;"",VLOOKUP(MONTH(C303),Sheet2!$F$1:$G$12,2,0),"")</f>
        <v>Dezembro</v>
      </c>
      <c r="M303" s="200">
        <f t="shared" ca="1" si="60"/>
        <v>0</v>
      </c>
      <c r="N303" s="40">
        <f t="shared" ca="1" si="61"/>
        <v>1301.2049352529757</v>
      </c>
      <c r="O303" s="40">
        <f t="shared" ca="1" si="55"/>
        <v>1374.5561463124616</v>
      </c>
      <c r="P303" s="40"/>
      <c r="Q303" s="20">
        <f t="shared" ca="1" si="62"/>
        <v>834.89136490250701</v>
      </c>
      <c r="R303" s="1">
        <f t="shared" si="56"/>
        <v>8564</v>
      </c>
      <c r="S303" s="243">
        <f>IF(AND($K$2&gt;=DATEVALUE("03/04/2020"),$K$2&lt;=DATEVALUE("31/12/2020")),0,IF(Resumo!$C$19="PF",IF(R303&lt;360,0.0082%*R303,3%),IF(R303&lt;360,0.0041%*R303,1.5%)))</f>
        <v>1.4999999999999999E-2</v>
      </c>
      <c r="T303" s="172">
        <f t="shared" ca="1" si="63"/>
        <v>12.523370473537605</v>
      </c>
      <c r="X303" s="20">
        <f t="shared" ca="1" si="64"/>
        <v>1301.2049352529757</v>
      </c>
    </row>
    <row r="304" spans="2:24">
      <c r="B304" s="41">
        <f t="shared" si="57"/>
        <v>282</v>
      </c>
      <c r="C304" s="164">
        <f t="shared" si="58"/>
        <v>53342</v>
      </c>
      <c r="D304" s="42">
        <f t="shared" ca="1" si="52"/>
        <v>842.74931039701278</v>
      </c>
      <c r="E304" s="42">
        <f t="shared" ca="1" si="59"/>
        <v>452.72492954526319</v>
      </c>
      <c r="F304" s="42">
        <f t="shared" ca="1" si="53"/>
        <v>1295.474239942276</v>
      </c>
      <c r="G304" s="42">
        <f ca="1">IF(B304&lt;=$D$16,G303*(1+$D$13)^((C304-C303)/_xlfn.DAYS(EDATE(C303,1),C303)),G303-D304)+IF(B304&lt;=$D$16,G303*Resumo!$F$12,0)+IF(B304&lt;=$D$16,$D$15*Resumo!$F$13,0)+IF(B304&lt;=$D$16,25,0)-IF(AND($D$16&gt;3,B304&lt;=$D$16),K304,0)</f>
        <v>65734.446210965223</v>
      </c>
      <c r="H304" s="42">
        <f ca="1">IF(AND(B304&lt;&gt;"",L304&lt;&gt;$D$17,$D$16&gt;3),G304*Resumo!$F$12,IF(AND(B304&lt;&gt;"",L304&lt;&gt;$D$17,B304&gt;$D$16),G304*Resumo!$F$12,0))</f>
        <v>13.804233704302698</v>
      </c>
      <c r="I304" s="42">
        <f>IF(AND(B304&lt;&gt;"",L304&lt;&gt;$D$17,$D$16&gt;3,$B304&lt;=$D$16),$D$15*Resumo!$F$13,IF(AND(B304&lt;&gt;"",L304&lt;&gt;$D$17,B304&gt;$D$16),$D$15*Resumo!$F$13,0))</f>
        <v>34.369999999999997</v>
      </c>
      <c r="J304" s="42">
        <f>IF(AND(B304&lt;&gt;"",L304&lt;&gt;$D$17,$D$16&gt;3,$B304&lt;=$D$16),Resumo!$F$11,IF(AND(B304&lt;&gt;"",L304&lt;&gt;$D$17,B304&gt;$D$16),Resumo!$F$11,0))</f>
        <v>25</v>
      </c>
      <c r="K304" s="42">
        <f t="shared" ca="1" si="54"/>
        <v>1368.6484736465786</v>
      </c>
      <c r="L304" s="39" t="str">
        <f>IF(B304&lt;&gt;"",VLOOKUP(MONTH(C304),Sheet2!$F$1:$G$12,2,0),"")</f>
        <v>Janeiro</v>
      </c>
      <c r="M304" s="200">
        <f t="shared" ca="1" si="60"/>
        <v>0</v>
      </c>
      <c r="N304" s="40">
        <f t="shared" ca="1" si="61"/>
        <v>1295.474239942276</v>
      </c>
      <c r="O304" s="40">
        <f t="shared" ca="1" si="55"/>
        <v>1368.6484736465786</v>
      </c>
      <c r="P304" s="40"/>
      <c r="Q304" s="20">
        <f t="shared" ca="1" si="62"/>
        <v>834.89136490250701</v>
      </c>
      <c r="R304" s="1">
        <f t="shared" si="56"/>
        <v>8595</v>
      </c>
      <c r="S304" s="243">
        <f>IF(AND($K$2&gt;=DATEVALUE("03/04/2020"),$K$2&lt;=DATEVALUE("31/12/2020")),0,IF(Resumo!$C$19="PF",IF(R304&lt;360,0.0082%*R304,3%),IF(R304&lt;360,0.0041%*R304,1.5%)))</f>
        <v>1.4999999999999999E-2</v>
      </c>
      <c r="T304" s="172">
        <f t="shared" ca="1" si="63"/>
        <v>12.523370473537605</v>
      </c>
      <c r="X304" s="20">
        <f t="shared" ca="1" si="64"/>
        <v>1295.474239942276</v>
      </c>
    </row>
    <row r="305" spans="2:24">
      <c r="B305" s="37">
        <f t="shared" si="57"/>
        <v>283</v>
      </c>
      <c r="C305" s="163">
        <f t="shared" si="58"/>
        <v>53373</v>
      </c>
      <c r="D305" s="38">
        <f t="shared" ca="1" si="52"/>
        <v>842.74931039701278</v>
      </c>
      <c r="E305" s="38">
        <f t="shared" ca="1" si="59"/>
        <v>446.99423423456346</v>
      </c>
      <c r="F305" s="38">
        <f t="shared" ca="1" si="53"/>
        <v>1289.7435446315762</v>
      </c>
      <c r="G305" s="38">
        <f ca="1">IF(B305&lt;=$D$16,G304*(1+$D$13)^((C305-C304)/_xlfn.DAYS(EDATE(C304,1),C304)),G304-D305)+IF(B305&lt;=$D$16,G304*Resumo!$F$12,0)+IF(B305&lt;=$D$16,$D$15*Resumo!$F$13,0)+IF(B305&lt;=$D$16,25,0)-IF(AND($D$16&gt;3,B305&lt;=$D$16),K305,0)</f>
        <v>64891.696900568211</v>
      </c>
      <c r="H305" s="38">
        <f ca="1">IF(AND(B305&lt;&gt;"",L305&lt;&gt;$D$17,$D$16&gt;3),G305*Resumo!$F$12,IF(AND(B305&lt;&gt;"",L305&lt;&gt;$D$17,B305&gt;$D$16),G305*Resumo!$F$12,0))</f>
        <v>13.627256349119325</v>
      </c>
      <c r="I305" s="38">
        <f>IF(AND(B305&lt;&gt;"",L305&lt;&gt;$D$17,$D$16&gt;3,$B305&lt;=$D$16),$D$15*Resumo!$F$13,IF(AND(B305&lt;&gt;"",L305&lt;&gt;$D$17,B305&gt;$D$16),$D$15*Resumo!$F$13,0))</f>
        <v>34.369999999999997</v>
      </c>
      <c r="J305" s="38">
        <f>IF(AND(B305&lt;&gt;"",L305&lt;&gt;$D$17,$D$16&gt;3,$B305&lt;=$D$16),Resumo!$F$11,IF(AND(B305&lt;&gt;"",L305&lt;&gt;$D$17,B305&gt;$D$16),Resumo!$F$11,0))</f>
        <v>25</v>
      </c>
      <c r="K305" s="38">
        <f t="shared" ca="1" si="54"/>
        <v>1362.7408009806954</v>
      </c>
      <c r="L305" s="39" t="str">
        <f>IF(B305&lt;&gt;"",VLOOKUP(MONTH(C305),Sheet2!$F$1:$G$12,2,0),"")</f>
        <v>Fevereiro</v>
      </c>
      <c r="M305" s="200">
        <f t="shared" ca="1" si="60"/>
        <v>0</v>
      </c>
      <c r="N305" s="40">
        <f t="shared" ca="1" si="61"/>
        <v>1289.7435446315762</v>
      </c>
      <c r="O305" s="40">
        <f t="shared" ca="1" si="55"/>
        <v>1362.7408009806954</v>
      </c>
      <c r="P305" s="40"/>
      <c r="Q305" s="20">
        <f t="shared" ca="1" si="62"/>
        <v>834.89136490250701</v>
      </c>
      <c r="R305" s="1">
        <f t="shared" si="56"/>
        <v>8626</v>
      </c>
      <c r="S305" s="243">
        <f>IF(AND($K$2&gt;=DATEVALUE("03/04/2020"),$K$2&lt;=DATEVALUE("31/12/2020")),0,IF(Resumo!$C$19="PF",IF(R305&lt;360,0.0082%*R305,3%),IF(R305&lt;360,0.0041%*R305,1.5%)))</f>
        <v>1.4999999999999999E-2</v>
      </c>
      <c r="T305" s="172">
        <f t="shared" ca="1" si="63"/>
        <v>12.523370473537605</v>
      </c>
      <c r="X305" s="20">
        <f t="shared" ca="1" si="64"/>
        <v>1289.7435446315762</v>
      </c>
    </row>
    <row r="306" spans="2:24">
      <c r="B306" s="41">
        <f t="shared" si="57"/>
        <v>284</v>
      </c>
      <c r="C306" s="164">
        <f t="shared" si="58"/>
        <v>53401</v>
      </c>
      <c r="D306" s="42">
        <f t="shared" ca="1" si="52"/>
        <v>842.74931039701278</v>
      </c>
      <c r="E306" s="42">
        <f t="shared" ca="1" si="59"/>
        <v>441.26353892386379</v>
      </c>
      <c r="F306" s="42">
        <f t="shared" ca="1" si="53"/>
        <v>1284.0128493208765</v>
      </c>
      <c r="G306" s="42">
        <f ca="1">IF(B306&lt;=$D$16,G305*(1+$D$13)^((C306-C305)/_xlfn.DAYS(EDATE(C305,1),C305)),G305-D306)+IF(B306&lt;=$D$16,G305*Resumo!$F$12,0)+IF(B306&lt;=$D$16,$D$15*Resumo!$F$13,0)+IF(B306&lt;=$D$16,25,0)-IF(AND($D$16&gt;3,B306&lt;=$D$16),K306,0)</f>
        <v>64048.947590171199</v>
      </c>
      <c r="H306" s="42">
        <f ca="1">IF(AND(B306&lt;&gt;"",L306&lt;&gt;$D$17,$D$16&gt;3),G306*Resumo!$F$12,IF(AND(B306&lt;&gt;"",L306&lt;&gt;$D$17,B306&gt;$D$16),G306*Resumo!$F$12,0))</f>
        <v>13.450278993935953</v>
      </c>
      <c r="I306" s="42">
        <f>IF(AND(B306&lt;&gt;"",L306&lt;&gt;$D$17,$D$16&gt;3,$B306&lt;=$D$16),$D$15*Resumo!$F$13,IF(AND(B306&lt;&gt;"",L306&lt;&gt;$D$17,B306&gt;$D$16),$D$15*Resumo!$F$13,0))</f>
        <v>34.369999999999997</v>
      </c>
      <c r="J306" s="42">
        <f>IF(AND(B306&lt;&gt;"",L306&lt;&gt;$D$17,$D$16&gt;3,$B306&lt;=$D$16),Resumo!$F$11,IF(AND(B306&lt;&gt;"",L306&lt;&gt;$D$17,B306&gt;$D$16),Resumo!$F$11,0))</f>
        <v>25</v>
      </c>
      <c r="K306" s="42">
        <f t="shared" ca="1" si="54"/>
        <v>1356.8331283148123</v>
      </c>
      <c r="L306" s="39" t="str">
        <f>IF(B306&lt;&gt;"",VLOOKUP(MONTH(C306),Sheet2!$F$1:$G$12,2,0),"")</f>
        <v>Março</v>
      </c>
      <c r="M306" s="200">
        <f t="shared" ca="1" si="60"/>
        <v>0</v>
      </c>
      <c r="N306" s="40">
        <f t="shared" ca="1" si="61"/>
        <v>1284.0128493208765</v>
      </c>
      <c r="O306" s="40">
        <f t="shared" ca="1" si="55"/>
        <v>1356.8331283148123</v>
      </c>
      <c r="P306" s="40"/>
      <c r="Q306" s="20">
        <f t="shared" ca="1" si="62"/>
        <v>834.89136490250701</v>
      </c>
      <c r="R306" s="1">
        <f t="shared" si="56"/>
        <v>8654</v>
      </c>
      <c r="S306" s="243">
        <f>IF(AND($K$2&gt;=DATEVALUE("03/04/2020"),$K$2&lt;=DATEVALUE("31/12/2020")),0,IF(Resumo!$C$19="PF",IF(R306&lt;360,0.0082%*R306,3%),IF(R306&lt;360,0.0041%*R306,1.5%)))</f>
        <v>1.4999999999999999E-2</v>
      </c>
      <c r="T306" s="172">
        <f t="shared" ca="1" si="63"/>
        <v>12.523370473537605</v>
      </c>
      <c r="X306" s="20">
        <f t="shared" ca="1" si="64"/>
        <v>1284.0128493208765</v>
      </c>
    </row>
    <row r="307" spans="2:24">
      <c r="B307" s="37">
        <f t="shared" si="57"/>
        <v>285</v>
      </c>
      <c r="C307" s="163">
        <f t="shared" si="58"/>
        <v>53432</v>
      </c>
      <c r="D307" s="38">
        <f t="shared" ca="1" si="52"/>
        <v>842.74931039701278</v>
      </c>
      <c r="E307" s="38">
        <f t="shared" ca="1" si="59"/>
        <v>435.53284361316412</v>
      </c>
      <c r="F307" s="38">
        <f t="shared" ca="1" si="53"/>
        <v>1278.2821540101768</v>
      </c>
      <c r="G307" s="38">
        <f ca="1">IF(B307&lt;=$D$16,G306*(1+$D$13)^((C307-C306)/_xlfn.DAYS(EDATE(C306,1),C306)),G306-D307)+IF(B307&lt;=$D$16,G306*Resumo!$F$12,0)+IF(B307&lt;=$D$16,$D$15*Resumo!$F$13,0)+IF(B307&lt;=$D$16,25,0)-IF(AND($D$16&gt;3,B307&lt;=$D$16),K307,0)</f>
        <v>63206.198279774188</v>
      </c>
      <c r="H307" s="38">
        <f ca="1">IF(AND(B307&lt;&gt;"",L307&lt;&gt;$D$17,$D$16&gt;3),G307*Resumo!$F$12,IF(AND(B307&lt;&gt;"",L307&lt;&gt;$D$17,B307&gt;$D$16),G307*Resumo!$F$12,0))</f>
        <v>13.27330163875258</v>
      </c>
      <c r="I307" s="38">
        <f>IF(AND(B307&lt;&gt;"",L307&lt;&gt;$D$17,$D$16&gt;3,$B307&lt;=$D$16),$D$15*Resumo!$F$13,IF(AND(B307&lt;&gt;"",L307&lt;&gt;$D$17,B307&gt;$D$16),$D$15*Resumo!$F$13,0))</f>
        <v>34.369999999999997</v>
      </c>
      <c r="J307" s="38">
        <f>IF(AND(B307&lt;&gt;"",L307&lt;&gt;$D$17,$D$16&gt;3,$B307&lt;=$D$16),Resumo!$F$11,IF(AND(B307&lt;&gt;"",L307&lt;&gt;$D$17,B307&gt;$D$16),Resumo!$F$11,0))</f>
        <v>25</v>
      </c>
      <c r="K307" s="38">
        <f t="shared" ca="1" si="54"/>
        <v>1350.9254556489293</v>
      </c>
      <c r="L307" s="39" t="str">
        <f>IF(B307&lt;&gt;"",VLOOKUP(MONTH(C307),Sheet2!$F$1:$G$12,2,0),"")</f>
        <v>Abril</v>
      </c>
      <c r="M307" s="200">
        <f t="shared" ca="1" si="60"/>
        <v>0</v>
      </c>
      <c r="N307" s="40">
        <f t="shared" ca="1" si="61"/>
        <v>1278.2821540101768</v>
      </c>
      <c r="O307" s="40">
        <f t="shared" ca="1" si="55"/>
        <v>1350.9254556489293</v>
      </c>
      <c r="P307" s="40"/>
      <c r="Q307" s="20">
        <f t="shared" ca="1" si="62"/>
        <v>834.89136490250701</v>
      </c>
      <c r="R307" s="1">
        <f t="shared" si="56"/>
        <v>8685</v>
      </c>
      <c r="S307" s="243">
        <f>IF(AND($K$2&gt;=DATEVALUE("03/04/2020"),$K$2&lt;=DATEVALUE("31/12/2020")),0,IF(Resumo!$C$19="PF",IF(R307&lt;360,0.0082%*R307,3%),IF(R307&lt;360,0.0041%*R307,1.5%)))</f>
        <v>1.4999999999999999E-2</v>
      </c>
      <c r="T307" s="172">
        <f t="shared" ca="1" si="63"/>
        <v>12.523370473537605</v>
      </c>
      <c r="X307" s="20">
        <f t="shared" ca="1" si="64"/>
        <v>1278.2821540101768</v>
      </c>
    </row>
    <row r="308" spans="2:24">
      <c r="B308" s="41">
        <f t="shared" si="57"/>
        <v>286</v>
      </c>
      <c r="C308" s="164">
        <f t="shared" si="58"/>
        <v>53462</v>
      </c>
      <c r="D308" s="42">
        <f t="shared" ca="1" si="52"/>
        <v>842.74931039701278</v>
      </c>
      <c r="E308" s="42">
        <f t="shared" ca="1" si="59"/>
        <v>429.80214830246445</v>
      </c>
      <c r="F308" s="42">
        <f t="shared" ca="1" si="53"/>
        <v>1272.5514586994773</v>
      </c>
      <c r="G308" s="42">
        <f ca="1">IF(B308&lt;=$D$16,G307*(1+$D$13)^((C308-C307)/_xlfn.DAYS(EDATE(C307,1),C307)),G307-D308)+IF(B308&lt;=$D$16,G307*Resumo!$F$12,0)+IF(B308&lt;=$D$16,$D$15*Resumo!$F$13,0)+IF(B308&lt;=$D$16,25,0)-IF(AND($D$16&gt;3,B308&lt;=$D$16),K308,0)</f>
        <v>62363.448969377176</v>
      </c>
      <c r="H308" s="42">
        <f ca="1">IF(AND(B308&lt;&gt;"",L308&lt;&gt;$D$17,$D$16&gt;3),G308*Resumo!$F$12,IF(AND(B308&lt;&gt;"",L308&lt;&gt;$D$17,B308&gt;$D$16),G308*Resumo!$F$12,0))</f>
        <v>13.096324283569208</v>
      </c>
      <c r="I308" s="42">
        <f>IF(AND(B308&lt;&gt;"",L308&lt;&gt;$D$17,$D$16&gt;3,$B308&lt;=$D$16),$D$15*Resumo!$F$13,IF(AND(B308&lt;&gt;"",L308&lt;&gt;$D$17,B308&gt;$D$16),$D$15*Resumo!$F$13,0))</f>
        <v>34.369999999999997</v>
      </c>
      <c r="J308" s="42">
        <f>IF(AND(B308&lt;&gt;"",L308&lt;&gt;$D$17,$D$16&gt;3,$B308&lt;=$D$16),Resumo!$F$11,IF(AND(B308&lt;&gt;"",L308&lt;&gt;$D$17,B308&gt;$D$16),Resumo!$F$11,0))</f>
        <v>25</v>
      </c>
      <c r="K308" s="42">
        <f t="shared" ca="1" si="54"/>
        <v>1345.0177829830463</v>
      </c>
      <c r="L308" s="39" t="str">
        <f>IF(B308&lt;&gt;"",VLOOKUP(MONTH(C308),Sheet2!$F$1:$G$12,2,0),"")</f>
        <v>Maio</v>
      </c>
      <c r="M308" s="200">
        <f t="shared" ca="1" si="60"/>
        <v>0</v>
      </c>
      <c r="N308" s="40">
        <f t="shared" ca="1" si="61"/>
        <v>1272.5514586994773</v>
      </c>
      <c r="O308" s="40">
        <f t="shared" ca="1" si="55"/>
        <v>1345.0177829830463</v>
      </c>
      <c r="P308" s="40"/>
      <c r="Q308" s="20">
        <f t="shared" ca="1" si="62"/>
        <v>834.89136490250701</v>
      </c>
      <c r="R308" s="1">
        <f t="shared" si="56"/>
        <v>8715</v>
      </c>
      <c r="S308" s="243">
        <f>IF(AND($K$2&gt;=DATEVALUE("03/04/2020"),$K$2&lt;=DATEVALUE("31/12/2020")),0,IF(Resumo!$C$19="PF",IF(R308&lt;360,0.0082%*R308,3%),IF(R308&lt;360,0.0041%*R308,1.5%)))</f>
        <v>1.4999999999999999E-2</v>
      </c>
      <c r="T308" s="172">
        <f t="shared" ca="1" si="63"/>
        <v>12.523370473537605</v>
      </c>
      <c r="X308" s="20">
        <f t="shared" ca="1" si="64"/>
        <v>1272.5514586994773</v>
      </c>
    </row>
    <row r="309" spans="2:24">
      <c r="B309" s="37">
        <f t="shared" si="57"/>
        <v>287</v>
      </c>
      <c r="C309" s="163">
        <f t="shared" si="58"/>
        <v>53493</v>
      </c>
      <c r="D309" s="38">
        <f t="shared" ca="1" si="52"/>
        <v>842.74931039701278</v>
      </c>
      <c r="E309" s="38">
        <f t="shared" ca="1" si="59"/>
        <v>424.07145299176477</v>
      </c>
      <c r="F309" s="38">
        <f t="shared" ca="1" si="53"/>
        <v>1266.8207633887776</v>
      </c>
      <c r="G309" s="38">
        <f ca="1">IF(B309&lt;=$D$16,G308*(1+$D$13)^((C309-C308)/_xlfn.DAYS(EDATE(C308,1),C308)),G308-D309)+IF(B309&lt;=$D$16,G308*Resumo!$F$12,0)+IF(B309&lt;=$D$16,$D$15*Resumo!$F$13,0)+IF(B309&lt;=$D$16,25,0)-IF(AND($D$16&gt;3,B309&lt;=$D$16),K309,0)</f>
        <v>61520.699658980164</v>
      </c>
      <c r="H309" s="38">
        <f ca="1">IF(AND(B309&lt;&gt;"",L309&lt;&gt;$D$17,$D$16&gt;3),G309*Resumo!$F$12,IF(AND(B309&lt;&gt;"",L309&lt;&gt;$D$17,B309&gt;$D$16),G309*Resumo!$F$12,0))</f>
        <v>12.919346928385835</v>
      </c>
      <c r="I309" s="38">
        <f>IF(AND(B309&lt;&gt;"",L309&lt;&gt;$D$17,$D$16&gt;3,$B309&lt;=$D$16),$D$15*Resumo!$F$13,IF(AND(B309&lt;&gt;"",L309&lt;&gt;$D$17,B309&gt;$D$16),$D$15*Resumo!$F$13,0))</f>
        <v>34.369999999999997</v>
      </c>
      <c r="J309" s="38">
        <f>IF(AND(B309&lt;&gt;"",L309&lt;&gt;$D$17,$D$16&gt;3,$B309&lt;=$D$16),Resumo!$F$11,IF(AND(B309&lt;&gt;"",L309&lt;&gt;$D$17,B309&gt;$D$16),Resumo!$F$11,0))</f>
        <v>25</v>
      </c>
      <c r="K309" s="38">
        <f t="shared" ca="1" si="54"/>
        <v>1339.1101103171632</v>
      </c>
      <c r="L309" s="39" t="str">
        <f>IF(B309&lt;&gt;"",VLOOKUP(MONTH(C309),Sheet2!$F$1:$G$12,2,0),"")</f>
        <v>Junho</v>
      </c>
      <c r="M309" s="200">
        <f t="shared" ca="1" si="60"/>
        <v>0</v>
      </c>
      <c r="N309" s="40">
        <f t="shared" ca="1" si="61"/>
        <v>1266.8207633887776</v>
      </c>
      <c r="O309" s="40">
        <f t="shared" ca="1" si="55"/>
        <v>1339.1101103171632</v>
      </c>
      <c r="P309" s="40"/>
      <c r="Q309" s="20">
        <f t="shared" ca="1" si="62"/>
        <v>834.89136490250701</v>
      </c>
      <c r="R309" s="1">
        <f t="shared" si="56"/>
        <v>8746</v>
      </c>
      <c r="S309" s="243">
        <f>IF(AND($K$2&gt;=DATEVALUE("03/04/2020"),$K$2&lt;=DATEVALUE("31/12/2020")),0,IF(Resumo!$C$19="PF",IF(R309&lt;360,0.0082%*R309,3%),IF(R309&lt;360,0.0041%*R309,1.5%)))</f>
        <v>1.4999999999999999E-2</v>
      </c>
      <c r="T309" s="172">
        <f t="shared" ca="1" si="63"/>
        <v>12.523370473537605</v>
      </c>
      <c r="X309" s="20">
        <f t="shared" ca="1" si="64"/>
        <v>1266.8207633887776</v>
      </c>
    </row>
    <row r="310" spans="2:24">
      <c r="B310" s="41">
        <f t="shared" si="57"/>
        <v>288</v>
      </c>
      <c r="C310" s="164">
        <f t="shared" si="58"/>
        <v>53523</v>
      </c>
      <c r="D310" s="42">
        <f t="shared" ca="1" si="52"/>
        <v>842.74931039701278</v>
      </c>
      <c r="E310" s="42">
        <f t="shared" ca="1" si="59"/>
        <v>418.3407576810651</v>
      </c>
      <c r="F310" s="42">
        <f t="shared" ca="1" si="53"/>
        <v>1261.0900680780778</v>
      </c>
      <c r="G310" s="42">
        <f ca="1">IF(B310&lt;=$D$16,G309*(1+$D$13)^((C310-C309)/_xlfn.DAYS(EDATE(C309,1),C309)),G309-D310)+IF(B310&lt;=$D$16,G309*Resumo!$F$12,0)+IF(B310&lt;=$D$16,$D$15*Resumo!$F$13,0)+IF(B310&lt;=$D$16,25,0)-IF(AND($D$16&gt;3,B310&lt;=$D$16),K310,0)</f>
        <v>60677.950348583152</v>
      </c>
      <c r="H310" s="42">
        <f ca="1">IF(AND(B310&lt;&gt;"",L310&lt;&gt;$D$17,$D$16&gt;3),G310*Resumo!$F$12,IF(AND(B310&lt;&gt;"",L310&lt;&gt;$D$17,B310&gt;$D$16),G310*Resumo!$F$12,0))</f>
        <v>12.742369573202462</v>
      </c>
      <c r="I310" s="42">
        <f>IF(AND(B310&lt;&gt;"",L310&lt;&gt;$D$17,$D$16&gt;3,$B310&lt;=$D$16),$D$15*Resumo!$F$13,IF(AND(B310&lt;&gt;"",L310&lt;&gt;$D$17,B310&gt;$D$16),$D$15*Resumo!$F$13,0))</f>
        <v>34.369999999999997</v>
      </c>
      <c r="J310" s="42">
        <f>IF(AND(B310&lt;&gt;"",L310&lt;&gt;$D$17,$D$16&gt;3,$B310&lt;=$D$16),Resumo!$F$11,IF(AND(B310&lt;&gt;"",L310&lt;&gt;$D$17,B310&gt;$D$16),Resumo!$F$11,0))</f>
        <v>25</v>
      </c>
      <c r="K310" s="42">
        <f t="shared" ca="1" si="54"/>
        <v>1333.2024376512802</v>
      </c>
      <c r="L310" s="39" t="str">
        <f>IF(B310&lt;&gt;"",VLOOKUP(MONTH(C310),Sheet2!$F$1:$G$12,2,0),"")</f>
        <v>Julho</v>
      </c>
      <c r="M310" s="200">
        <f t="shared" ca="1" si="60"/>
        <v>0</v>
      </c>
      <c r="N310" s="40">
        <f t="shared" ca="1" si="61"/>
        <v>1261.0900680780778</v>
      </c>
      <c r="O310" s="40">
        <f t="shared" ca="1" si="55"/>
        <v>1333.2024376512802</v>
      </c>
      <c r="P310" s="40"/>
      <c r="Q310" s="20">
        <f t="shared" ca="1" si="62"/>
        <v>834.89136490250701</v>
      </c>
      <c r="R310" s="1">
        <f t="shared" si="56"/>
        <v>8776</v>
      </c>
      <c r="S310" s="243">
        <f>IF(AND($K$2&gt;=DATEVALUE("03/04/2020"),$K$2&lt;=DATEVALUE("31/12/2020")),0,IF(Resumo!$C$19="PF",IF(R310&lt;360,0.0082%*R310,3%),IF(R310&lt;360,0.0041%*R310,1.5%)))</f>
        <v>1.4999999999999999E-2</v>
      </c>
      <c r="T310" s="172">
        <f t="shared" ca="1" si="63"/>
        <v>12.523370473537605</v>
      </c>
      <c r="X310" s="20">
        <f t="shared" ca="1" si="64"/>
        <v>1261.0900680780778</v>
      </c>
    </row>
    <row r="311" spans="2:24">
      <c r="B311" s="37">
        <f t="shared" si="57"/>
        <v>289</v>
      </c>
      <c r="C311" s="163">
        <f t="shared" si="58"/>
        <v>53554</v>
      </c>
      <c r="D311" s="38">
        <f t="shared" ca="1" si="52"/>
        <v>842.74931039701278</v>
      </c>
      <c r="E311" s="38">
        <f t="shared" ca="1" si="59"/>
        <v>412.61006237036543</v>
      </c>
      <c r="F311" s="38">
        <f t="shared" ca="1" si="53"/>
        <v>1255.3593727673783</v>
      </c>
      <c r="G311" s="38">
        <f ca="1">IF(B311&lt;=$D$16,G310*(1+$D$13)^((C311-C310)/_xlfn.DAYS(EDATE(C310,1),C310)),G310-D311)+IF(B311&lt;=$D$16,G310*Resumo!$F$12,0)+IF(B311&lt;=$D$16,$D$15*Resumo!$F$13,0)+IF(B311&lt;=$D$16,25,0)-IF(AND($D$16&gt;3,B311&lt;=$D$16),K311,0)</f>
        <v>59835.20103818614</v>
      </c>
      <c r="H311" s="38">
        <f ca="1">IF(AND(B311&lt;&gt;"",L311&lt;&gt;$D$17,$D$16&gt;3),G311*Resumo!$F$12,IF(AND(B311&lt;&gt;"",L311&lt;&gt;$D$17,B311&gt;$D$16),G311*Resumo!$F$12,0))</f>
        <v>12.56539221801909</v>
      </c>
      <c r="I311" s="38">
        <f>IF(AND(B311&lt;&gt;"",L311&lt;&gt;$D$17,$D$16&gt;3,$B311&lt;=$D$16),$D$15*Resumo!$F$13,IF(AND(B311&lt;&gt;"",L311&lt;&gt;$D$17,B311&gt;$D$16),$D$15*Resumo!$F$13,0))</f>
        <v>34.369999999999997</v>
      </c>
      <c r="J311" s="38">
        <f>IF(AND(B311&lt;&gt;"",L311&lt;&gt;$D$17,$D$16&gt;3,$B311&lt;=$D$16),Resumo!$F$11,IF(AND(B311&lt;&gt;"",L311&lt;&gt;$D$17,B311&gt;$D$16),Resumo!$F$11,0))</f>
        <v>25</v>
      </c>
      <c r="K311" s="38">
        <f t="shared" ca="1" si="54"/>
        <v>1327.2947649853973</v>
      </c>
      <c r="L311" s="39" t="str">
        <f>IF(B311&lt;&gt;"",VLOOKUP(MONTH(C311),Sheet2!$F$1:$G$12,2,0),"")</f>
        <v>Agosto</v>
      </c>
      <c r="M311" s="200">
        <f t="shared" ca="1" si="60"/>
        <v>0</v>
      </c>
      <c r="N311" s="40">
        <f t="shared" ca="1" si="61"/>
        <v>1255.3593727673783</v>
      </c>
      <c r="O311" s="40">
        <f t="shared" ca="1" si="55"/>
        <v>1327.2947649853973</v>
      </c>
      <c r="P311" s="40"/>
      <c r="Q311" s="20">
        <f t="shared" ca="1" si="62"/>
        <v>834.89136490250701</v>
      </c>
      <c r="R311" s="1">
        <f t="shared" si="56"/>
        <v>8807</v>
      </c>
      <c r="S311" s="243">
        <f>IF(AND($K$2&gt;=DATEVALUE("03/04/2020"),$K$2&lt;=DATEVALUE("31/12/2020")),0,IF(Resumo!$C$19="PF",IF(R311&lt;360,0.0082%*R311,3%),IF(R311&lt;360,0.0041%*R311,1.5%)))</f>
        <v>1.4999999999999999E-2</v>
      </c>
      <c r="T311" s="172">
        <f t="shared" ca="1" si="63"/>
        <v>12.523370473537605</v>
      </c>
      <c r="X311" s="20">
        <f t="shared" ca="1" si="64"/>
        <v>1255.3593727673783</v>
      </c>
    </row>
    <row r="312" spans="2:24">
      <c r="B312" s="41">
        <f t="shared" si="57"/>
        <v>290</v>
      </c>
      <c r="C312" s="164">
        <f t="shared" si="58"/>
        <v>53585</v>
      </c>
      <c r="D312" s="42">
        <f t="shared" ca="1" si="52"/>
        <v>842.74931039701278</v>
      </c>
      <c r="E312" s="42">
        <f t="shared" ca="1" si="59"/>
        <v>406.87936705966575</v>
      </c>
      <c r="F312" s="42">
        <f t="shared" ca="1" si="53"/>
        <v>1249.6286774566786</v>
      </c>
      <c r="G312" s="42">
        <f ca="1">IF(B312&lt;=$D$16,G311*(1+$D$13)^((C312-C311)/_xlfn.DAYS(EDATE(C311,1),C311)),G311-D312)+IF(B312&lt;=$D$16,G311*Resumo!$F$12,0)+IF(B312&lt;=$D$16,$D$15*Resumo!$F$13,0)+IF(B312&lt;=$D$16,25,0)-IF(AND($D$16&gt;3,B312&lt;=$D$16),K312,0)</f>
        <v>58992.451727789128</v>
      </c>
      <c r="H312" s="42">
        <f ca="1">IF(AND(B312&lt;&gt;"",L312&lt;&gt;$D$17,$D$16&gt;3),G312*Resumo!$F$12,IF(AND(B312&lt;&gt;"",L312&lt;&gt;$D$17,B312&gt;$D$16),G312*Resumo!$F$12,0))</f>
        <v>12.388414862835717</v>
      </c>
      <c r="I312" s="42">
        <f>IF(AND(B312&lt;&gt;"",L312&lt;&gt;$D$17,$D$16&gt;3,$B312&lt;=$D$16),$D$15*Resumo!$F$13,IF(AND(B312&lt;&gt;"",L312&lt;&gt;$D$17,B312&gt;$D$16),$D$15*Resumo!$F$13,0))</f>
        <v>34.369999999999997</v>
      </c>
      <c r="J312" s="42">
        <f>IF(AND(B312&lt;&gt;"",L312&lt;&gt;$D$17,$D$16&gt;3,$B312&lt;=$D$16),Resumo!$F$11,IF(AND(B312&lt;&gt;"",L312&lt;&gt;$D$17,B312&gt;$D$16),Resumo!$F$11,0))</f>
        <v>25</v>
      </c>
      <c r="K312" s="42">
        <f t="shared" ca="1" si="54"/>
        <v>1321.3870923195143</v>
      </c>
      <c r="L312" s="39" t="str">
        <f>IF(B312&lt;&gt;"",VLOOKUP(MONTH(C312),Sheet2!$F$1:$G$12,2,0),"")</f>
        <v>Setembro</v>
      </c>
      <c r="M312" s="200">
        <f t="shared" ca="1" si="60"/>
        <v>0</v>
      </c>
      <c r="N312" s="40">
        <f t="shared" ca="1" si="61"/>
        <v>1249.6286774566786</v>
      </c>
      <c r="O312" s="40">
        <f t="shared" ca="1" si="55"/>
        <v>1321.3870923195143</v>
      </c>
      <c r="P312" s="40"/>
      <c r="Q312" s="20">
        <f t="shared" ca="1" si="62"/>
        <v>834.89136490250701</v>
      </c>
      <c r="R312" s="1">
        <f t="shared" si="56"/>
        <v>8838</v>
      </c>
      <c r="S312" s="243">
        <f>IF(AND($K$2&gt;=DATEVALUE("03/04/2020"),$K$2&lt;=DATEVALUE("31/12/2020")),0,IF(Resumo!$C$19="PF",IF(R312&lt;360,0.0082%*R312,3%),IF(R312&lt;360,0.0041%*R312,1.5%)))</f>
        <v>1.4999999999999999E-2</v>
      </c>
      <c r="T312" s="172">
        <f t="shared" ca="1" si="63"/>
        <v>12.523370473537605</v>
      </c>
      <c r="X312" s="20">
        <f t="shared" ca="1" si="64"/>
        <v>1249.6286774566786</v>
      </c>
    </row>
    <row r="313" spans="2:24">
      <c r="B313" s="37">
        <f t="shared" si="57"/>
        <v>291</v>
      </c>
      <c r="C313" s="163">
        <f t="shared" si="58"/>
        <v>53615</v>
      </c>
      <c r="D313" s="38">
        <f t="shared" ca="1" si="52"/>
        <v>842.74931039701278</v>
      </c>
      <c r="E313" s="38">
        <f t="shared" ca="1" si="59"/>
        <v>401.14867174896602</v>
      </c>
      <c r="F313" s="38">
        <f t="shared" ca="1" si="53"/>
        <v>1243.8979821459789</v>
      </c>
      <c r="G313" s="38">
        <f ca="1">IF(B313&lt;=$D$16,G312*(1+$D$13)^((C313-C312)/_xlfn.DAYS(EDATE(C312,1),C312)),G312-D313)+IF(B313&lt;=$D$16,G312*Resumo!$F$12,0)+IF(B313&lt;=$D$16,$D$15*Resumo!$F$13,0)+IF(B313&lt;=$D$16,25,0)-IF(AND($D$16&gt;3,B313&lt;=$D$16),K313,0)</f>
        <v>58149.702417392116</v>
      </c>
      <c r="H313" s="38">
        <f ca="1">IF(AND(B313&lt;&gt;"",L313&lt;&gt;$D$17,$D$16&gt;3),G313*Resumo!$F$12,IF(AND(B313&lt;&gt;"",L313&lt;&gt;$D$17,B313&gt;$D$16),G313*Resumo!$F$12,0))</f>
        <v>12.211437507652345</v>
      </c>
      <c r="I313" s="38">
        <f>IF(AND(B313&lt;&gt;"",L313&lt;&gt;$D$17,$D$16&gt;3,$B313&lt;=$D$16),$D$15*Resumo!$F$13,IF(AND(B313&lt;&gt;"",L313&lt;&gt;$D$17,B313&gt;$D$16),$D$15*Resumo!$F$13,0))</f>
        <v>34.369999999999997</v>
      </c>
      <c r="J313" s="38">
        <f>IF(AND(B313&lt;&gt;"",L313&lt;&gt;$D$17,$D$16&gt;3,$B313&lt;=$D$16),Resumo!$F$11,IF(AND(B313&lt;&gt;"",L313&lt;&gt;$D$17,B313&gt;$D$16),Resumo!$F$11,0))</f>
        <v>25</v>
      </c>
      <c r="K313" s="38">
        <f t="shared" ca="1" si="54"/>
        <v>1315.4794196536311</v>
      </c>
      <c r="L313" s="39" t="str">
        <f>IF(B313&lt;&gt;"",VLOOKUP(MONTH(C313),Sheet2!$F$1:$G$12,2,0),"")</f>
        <v>Outubro</v>
      </c>
      <c r="M313" s="200">
        <f t="shared" ca="1" si="60"/>
        <v>0</v>
      </c>
      <c r="N313" s="40">
        <f t="shared" ca="1" si="61"/>
        <v>1243.8979821459789</v>
      </c>
      <c r="O313" s="40">
        <f t="shared" ca="1" si="55"/>
        <v>1315.4794196536311</v>
      </c>
      <c r="P313" s="40"/>
      <c r="Q313" s="20">
        <f t="shared" ca="1" si="62"/>
        <v>834.89136490250701</v>
      </c>
      <c r="R313" s="1">
        <f t="shared" si="56"/>
        <v>8868</v>
      </c>
      <c r="S313" s="243">
        <f>IF(AND($K$2&gt;=DATEVALUE("03/04/2020"),$K$2&lt;=DATEVALUE("31/12/2020")),0,IF(Resumo!$C$19="PF",IF(R313&lt;360,0.0082%*R313,3%),IF(R313&lt;360,0.0041%*R313,1.5%)))</f>
        <v>1.4999999999999999E-2</v>
      </c>
      <c r="T313" s="172">
        <f t="shared" ca="1" si="63"/>
        <v>12.523370473537605</v>
      </c>
      <c r="X313" s="20">
        <f t="shared" ca="1" si="64"/>
        <v>1243.8979821459789</v>
      </c>
    </row>
    <row r="314" spans="2:24">
      <c r="B314" s="41">
        <f t="shared" si="57"/>
        <v>292</v>
      </c>
      <c r="C314" s="164">
        <f t="shared" si="58"/>
        <v>53646</v>
      </c>
      <c r="D314" s="42">
        <f t="shared" ca="1" si="52"/>
        <v>842.74931039701278</v>
      </c>
      <c r="E314" s="42">
        <f t="shared" ca="1" si="59"/>
        <v>395.41797643826635</v>
      </c>
      <c r="F314" s="42">
        <f t="shared" ca="1" si="53"/>
        <v>1238.1672868352791</v>
      </c>
      <c r="G314" s="42">
        <f ca="1">IF(B314&lt;=$D$16,G313*(1+$D$13)^((C314-C313)/_xlfn.DAYS(EDATE(C313,1),C313)),G313-D314)+IF(B314&lt;=$D$16,G313*Resumo!$F$12,0)+IF(B314&lt;=$D$16,$D$15*Resumo!$F$13,0)+IF(B314&lt;=$D$16,25,0)-IF(AND($D$16&gt;3,B314&lt;=$D$16),K314,0)</f>
        <v>57306.953106995104</v>
      </c>
      <c r="H314" s="42">
        <f ca="1">IF(AND(B314&lt;&gt;"",L314&lt;&gt;$D$17,$D$16&gt;3),G314*Resumo!$F$12,IF(AND(B314&lt;&gt;"",L314&lt;&gt;$D$17,B314&gt;$D$16),G314*Resumo!$F$12,0))</f>
        <v>12.034460152468972</v>
      </c>
      <c r="I314" s="42">
        <f>IF(AND(B314&lt;&gt;"",L314&lt;&gt;$D$17,$D$16&gt;3,$B314&lt;=$D$16),$D$15*Resumo!$F$13,IF(AND(B314&lt;&gt;"",L314&lt;&gt;$D$17,B314&gt;$D$16),$D$15*Resumo!$F$13,0))</f>
        <v>34.369999999999997</v>
      </c>
      <c r="J314" s="42">
        <f>IF(AND(B314&lt;&gt;"",L314&lt;&gt;$D$17,$D$16&gt;3,$B314&lt;=$D$16),Resumo!$F$11,IF(AND(B314&lt;&gt;"",L314&lt;&gt;$D$17,B314&gt;$D$16),Resumo!$F$11,0))</f>
        <v>25</v>
      </c>
      <c r="K314" s="42">
        <f t="shared" ca="1" si="54"/>
        <v>1309.5717469877479</v>
      </c>
      <c r="L314" s="39" t="str">
        <f>IF(B314&lt;&gt;"",VLOOKUP(MONTH(C314),Sheet2!$F$1:$G$12,2,0),"")</f>
        <v>Novembro</v>
      </c>
      <c r="M314" s="200">
        <f t="shared" ca="1" si="60"/>
        <v>0</v>
      </c>
      <c r="N314" s="40">
        <f t="shared" ca="1" si="61"/>
        <v>1238.1672868352791</v>
      </c>
      <c r="O314" s="40">
        <f t="shared" ca="1" si="55"/>
        <v>1309.5717469877479</v>
      </c>
      <c r="P314" s="40"/>
      <c r="Q314" s="20">
        <f t="shared" ca="1" si="62"/>
        <v>834.89136490250701</v>
      </c>
      <c r="R314" s="1">
        <f t="shared" si="56"/>
        <v>8899</v>
      </c>
      <c r="S314" s="243">
        <f>IF(AND($K$2&gt;=DATEVALUE("03/04/2020"),$K$2&lt;=DATEVALUE("31/12/2020")),0,IF(Resumo!$C$19="PF",IF(R314&lt;360,0.0082%*R314,3%),IF(R314&lt;360,0.0041%*R314,1.5%)))</f>
        <v>1.4999999999999999E-2</v>
      </c>
      <c r="T314" s="172">
        <f t="shared" ca="1" si="63"/>
        <v>12.523370473537605</v>
      </c>
      <c r="X314" s="20">
        <f t="shared" ca="1" si="64"/>
        <v>1238.1672868352791</v>
      </c>
    </row>
    <row r="315" spans="2:24">
      <c r="B315" s="37">
        <f t="shared" si="57"/>
        <v>293</v>
      </c>
      <c r="C315" s="163">
        <f t="shared" si="58"/>
        <v>53676</v>
      </c>
      <c r="D315" s="38">
        <f t="shared" ca="1" si="52"/>
        <v>842.74931039701278</v>
      </c>
      <c r="E315" s="38">
        <f t="shared" ca="1" si="59"/>
        <v>389.68728112756668</v>
      </c>
      <c r="F315" s="38">
        <f t="shared" ca="1" si="53"/>
        <v>1232.4365915245794</v>
      </c>
      <c r="G315" s="38">
        <f ca="1">IF(B315&lt;=$D$16,G314*(1+$D$13)^((C315-C314)/_xlfn.DAYS(EDATE(C314,1),C314)),G314-D315)+IF(B315&lt;=$D$16,G314*Resumo!$F$12,0)+IF(B315&lt;=$D$16,$D$15*Resumo!$F$13,0)+IF(B315&lt;=$D$16,25,0)-IF(AND($D$16&gt;3,B315&lt;=$D$16),K315,0)</f>
        <v>56464.203796598093</v>
      </c>
      <c r="H315" s="38">
        <f ca="1">IF(AND(B315&lt;&gt;"",L315&lt;&gt;$D$17,$D$16&gt;3),G315*Resumo!$F$12,IF(AND(B315&lt;&gt;"",L315&lt;&gt;$D$17,B315&gt;$D$16),G315*Resumo!$F$12,0))</f>
        <v>11.8574827972856</v>
      </c>
      <c r="I315" s="38">
        <f>IF(AND(B315&lt;&gt;"",L315&lt;&gt;$D$17,$D$16&gt;3,$B315&lt;=$D$16),$D$15*Resumo!$F$13,IF(AND(B315&lt;&gt;"",L315&lt;&gt;$D$17,B315&gt;$D$16),$D$15*Resumo!$F$13,0))</f>
        <v>34.369999999999997</v>
      </c>
      <c r="J315" s="38">
        <f>IF(AND(B315&lt;&gt;"",L315&lt;&gt;$D$17,$D$16&gt;3,$B315&lt;=$D$16),Resumo!$F$11,IF(AND(B315&lt;&gt;"",L315&lt;&gt;$D$17,B315&gt;$D$16),Resumo!$F$11,0))</f>
        <v>25</v>
      </c>
      <c r="K315" s="38">
        <f t="shared" ca="1" si="54"/>
        <v>1303.664074321865</v>
      </c>
      <c r="L315" s="39" t="str">
        <f>IF(B315&lt;&gt;"",VLOOKUP(MONTH(C315),Sheet2!$F$1:$G$12,2,0),"")</f>
        <v>Dezembro</v>
      </c>
      <c r="M315" s="200">
        <f t="shared" ca="1" si="60"/>
        <v>0</v>
      </c>
      <c r="N315" s="40">
        <f t="shared" ca="1" si="61"/>
        <v>1232.4365915245794</v>
      </c>
      <c r="O315" s="40">
        <f t="shared" ca="1" si="55"/>
        <v>1303.664074321865</v>
      </c>
      <c r="P315" s="40"/>
      <c r="Q315" s="20">
        <f t="shared" ca="1" si="62"/>
        <v>834.89136490250701</v>
      </c>
      <c r="R315" s="1">
        <f t="shared" si="56"/>
        <v>8929</v>
      </c>
      <c r="S315" s="243">
        <f>IF(AND($K$2&gt;=DATEVALUE("03/04/2020"),$K$2&lt;=DATEVALUE("31/12/2020")),0,IF(Resumo!$C$19="PF",IF(R315&lt;360,0.0082%*R315,3%),IF(R315&lt;360,0.0041%*R315,1.5%)))</f>
        <v>1.4999999999999999E-2</v>
      </c>
      <c r="T315" s="172">
        <f t="shared" ca="1" si="63"/>
        <v>12.523370473537605</v>
      </c>
      <c r="X315" s="20">
        <f t="shared" ca="1" si="64"/>
        <v>1232.4365915245794</v>
      </c>
    </row>
    <row r="316" spans="2:24">
      <c r="B316" s="41">
        <f t="shared" si="57"/>
        <v>294</v>
      </c>
      <c r="C316" s="164">
        <f t="shared" si="58"/>
        <v>53707</v>
      </c>
      <c r="D316" s="42">
        <f t="shared" ca="1" si="52"/>
        <v>842.74931039701278</v>
      </c>
      <c r="E316" s="42">
        <f t="shared" ca="1" si="59"/>
        <v>383.956585816867</v>
      </c>
      <c r="F316" s="42">
        <f t="shared" ca="1" si="53"/>
        <v>1226.7058962138799</v>
      </c>
      <c r="G316" s="42">
        <f ca="1">IF(B316&lt;=$D$16,G315*(1+$D$13)^((C316-C315)/_xlfn.DAYS(EDATE(C315,1),C315)),G315-D316)+IF(B316&lt;=$D$16,G315*Resumo!$F$12,0)+IF(B316&lt;=$D$16,$D$15*Resumo!$F$13,0)+IF(B316&lt;=$D$16,25,0)-IF(AND($D$16&gt;3,B316&lt;=$D$16),K316,0)</f>
        <v>55621.454486201081</v>
      </c>
      <c r="H316" s="42">
        <f ca="1">IF(AND(B316&lt;&gt;"",L316&lt;&gt;$D$17,$D$16&gt;3),G316*Resumo!$F$12,IF(AND(B316&lt;&gt;"",L316&lt;&gt;$D$17,B316&gt;$D$16),G316*Resumo!$F$12,0))</f>
        <v>11.680505442102227</v>
      </c>
      <c r="I316" s="42">
        <f>IF(AND(B316&lt;&gt;"",L316&lt;&gt;$D$17,$D$16&gt;3,$B316&lt;=$D$16),$D$15*Resumo!$F$13,IF(AND(B316&lt;&gt;"",L316&lt;&gt;$D$17,B316&gt;$D$16),$D$15*Resumo!$F$13,0))</f>
        <v>34.369999999999997</v>
      </c>
      <c r="J316" s="42">
        <f>IF(AND(B316&lt;&gt;"",L316&lt;&gt;$D$17,$D$16&gt;3,$B316&lt;=$D$16),Resumo!$F$11,IF(AND(B316&lt;&gt;"",L316&lt;&gt;$D$17,B316&gt;$D$16),Resumo!$F$11,0))</f>
        <v>25</v>
      </c>
      <c r="K316" s="42">
        <f t="shared" ca="1" si="54"/>
        <v>1297.756401655982</v>
      </c>
      <c r="L316" s="39" t="str">
        <f>IF(B316&lt;&gt;"",VLOOKUP(MONTH(C316),Sheet2!$F$1:$G$12,2,0),"")</f>
        <v>Janeiro</v>
      </c>
      <c r="M316" s="200">
        <f t="shared" ca="1" si="60"/>
        <v>0</v>
      </c>
      <c r="N316" s="40">
        <f t="shared" ca="1" si="61"/>
        <v>1226.7058962138799</v>
      </c>
      <c r="O316" s="40">
        <f t="shared" ca="1" si="55"/>
        <v>1297.756401655982</v>
      </c>
      <c r="P316" s="40"/>
      <c r="Q316" s="20">
        <f t="shared" ca="1" si="62"/>
        <v>834.89136490250701</v>
      </c>
      <c r="R316" s="1">
        <f t="shared" si="56"/>
        <v>8960</v>
      </c>
      <c r="S316" s="243">
        <f>IF(AND($K$2&gt;=DATEVALUE("03/04/2020"),$K$2&lt;=DATEVALUE("31/12/2020")),0,IF(Resumo!$C$19="PF",IF(R316&lt;360,0.0082%*R316,3%),IF(R316&lt;360,0.0041%*R316,1.5%)))</f>
        <v>1.4999999999999999E-2</v>
      </c>
      <c r="T316" s="172">
        <f t="shared" ca="1" si="63"/>
        <v>12.523370473537605</v>
      </c>
      <c r="X316" s="20">
        <f t="shared" ca="1" si="64"/>
        <v>1226.7058962138799</v>
      </c>
    </row>
    <row r="317" spans="2:24">
      <c r="B317" s="37">
        <f t="shared" si="57"/>
        <v>295</v>
      </c>
      <c r="C317" s="163">
        <f t="shared" si="58"/>
        <v>53738</v>
      </c>
      <c r="D317" s="38">
        <f t="shared" ca="1" si="52"/>
        <v>842.74931039701278</v>
      </c>
      <c r="E317" s="38">
        <f t="shared" ca="1" si="59"/>
        <v>378.22589050616733</v>
      </c>
      <c r="F317" s="38">
        <f t="shared" ca="1" si="53"/>
        <v>1220.9752009031802</v>
      </c>
      <c r="G317" s="38">
        <f ca="1">IF(B317&lt;=$D$16,G316*(1+$D$13)^((C317-C316)/_xlfn.DAYS(EDATE(C316,1),C316)),G316-D317)+IF(B317&lt;=$D$16,G316*Resumo!$F$12,0)+IF(B317&lt;=$D$16,$D$15*Resumo!$F$13,0)+IF(B317&lt;=$D$16,25,0)-IF(AND($D$16&gt;3,B317&lt;=$D$16),K317,0)</f>
        <v>54778.705175804069</v>
      </c>
      <c r="H317" s="38">
        <f ca="1">IF(AND(B317&lt;&gt;"",L317&lt;&gt;$D$17,$D$16&gt;3),G317*Resumo!$F$12,IF(AND(B317&lt;&gt;"",L317&lt;&gt;$D$17,B317&gt;$D$16),G317*Resumo!$F$12,0))</f>
        <v>11.503528086918855</v>
      </c>
      <c r="I317" s="38">
        <f>IF(AND(B317&lt;&gt;"",L317&lt;&gt;$D$17,$D$16&gt;3,$B317&lt;=$D$16),$D$15*Resumo!$F$13,IF(AND(B317&lt;&gt;"",L317&lt;&gt;$D$17,B317&gt;$D$16),$D$15*Resumo!$F$13,0))</f>
        <v>34.369999999999997</v>
      </c>
      <c r="J317" s="38">
        <f>IF(AND(B317&lt;&gt;"",L317&lt;&gt;$D$17,$D$16&gt;3,$B317&lt;=$D$16),Resumo!$F$11,IF(AND(B317&lt;&gt;"",L317&lt;&gt;$D$17,B317&gt;$D$16),Resumo!$F$11,0))</f>
        <v>25</v>
      </c>
      <c r="K317" s="38">
        <f t="shared" ca="1" si="54"/>
        <v>1291.8487289900988</v>
      </c>
      <c r="L317" s="39" t="str">
        <f>IF(B317&lt;&gt;"",VLOOKUP(MONTH(C317),Sheet2!$F$1:$G$12,2,0),"")</f>
        <v>Fevereiro</v>
      </c>
      <c r="M317" s="200">
        <f t="shared" ca="1" si="60"/>
        <v>0</v>
      </c>
      <c r="N317" s="40">
        <f t="shared" ca="1" si="61"/>
        <v>1220.9752009031802</v>
      </c>
      <c r="O317" s="40">
        <f t="shared" ca="1" si="55"/>
        <v>1291.8487289900988</v>
      </c>
      <c r="P317" s="40"/>
      <c r="Q317" s="20">
        <f t="shared" ca="1" si="62"/>
        <v>834.89136490250701</v>
      </c>
      <c r="R317" s="1">
        <f t="shared" si="56"/>
        <v>8991</v>
      </c>
      <c r="S317" s="243">
        <f>IF(AND($K$2&gt;=DATEVALUE("03/04/2020"),$K$2&lt;=DATEVALUE("31/12/2020")),0,IF(Resumo!$C$19="PF",IF(R317&lt;360,0.0082%*R317,3%),IF(R317&lt;360,0.0041%*R317,1.5%)))</f>
        <v>1.4999999999999999E-2</v>
      </c>
      <c r="T317" s="172">
        <f t="shared" ca="1" si="63"/>
        <v>12.523370473537605</v>
      </c>
      <c r="X317" s="20">
        <f t="shared" ca="1" si="64"/>
        <v>1220.9752009031802</v>
      </c>
    </row>
    <row r="318" spans="2:24">
      <c r="B318" s="41">
        <f t="shared" si="57"/>
        <v>296</v>
      </c>
      <c r="C318" s="164">
        <f t="shared" si="58"/>
        <v>53766</v>
      </c>
      <c r="D318" s="42">
        <f t="shared" ca="1" si="52"/>
        <v>842.74931039701278</v>
      </c>
      <c r="E318" s="42">
        <f t="shared" ca="1" si="59"/>
        <v>372.49519519546766</v>
      </c>
      <c r="F318" s="42">
        <f t="shared" ca="1" si="53"/>
        <v>1215.2445055924804</v>
      </c>
      <c r="G318" s="42">
        <f ca="1">IF(B318&lt;=$D$16,G317*(1+$D$13)^((C318-C317)/_xlfn.DAYS(EDATE(C317,1),C317)),G317-D318)+IF(B318&lt;=$D$16,G317*Resumo!$F$12,0)+IF(B318&lt;=$D$16,$D$15*Resumo!$F$13,0)+IF(B318&lt;=$D$16,25,0)-IF(AND($D$16&gt;3,B318&lt;=$D$16),K318,0)</f>
        <v>53935.955865407057</v>
      </c>
      <c r="H318" s="42">
        <f ca="1">IF(AND(B318&lt;&gt;"",L318&lt;&gt;$D$17,$D$16&gt;3),G318*Resumo!$F$12,IF(AND(B318&lt;&gt;"",L318&lt;&gt;$D$17,B318&gt;$D$16),G318*Resumo!$F$12,0))</f>
        <v>11.326550731735482</v>
      </c>
      <c r="I318" s="42">
        <f>IF(AND(B318&lt;&gt;"",L318&lt;&gt;$D$17,$D$16&gt;3,$B318&lt;=$D$16),$D$15*Resumo!$F$13,IF(AND(B318&lt;&gt;"",L318&lt;&gt;$D$17,B318&gt;$D$16),$D$15*Resumo!$F$13,0))</f>
        <v>34.369999999999997</v>
      </c>
      <c r="J318" s="42">
        <f>IF(AND(B318&lt;&gt;"",L318&lt;&gt;$D$17,$D$16&gt;3,$B318&lt;=$D$16),Resumo!$F$11,IF(AND(B318&lt;&gt;"",L318&lt;&gt;$D$17,B318&gt;$D$16),Resumo!$F$11,0))</f>
        <v>25</v>
      </c>
      <c r="K318" s="42">
        <f t="shared" ca="1" si="54"/>
        <v>1285.9410563242159</v>
      </c>
      <c r="L318" s="39" t="str">
        <f>IF(B318&lt;&gt;"",VLOOKUP(MONTH(C318),Sheet2!$F$1:$G$12,2,0),"")</f>
        <v>Março</v>
      </c>
      <c r="M318" s="200">
        <f t="shared" ca="1" si="60"/>
        <v>0</v>
      </c>
      <c r="N318" s="40">
        <f t="shared" ca="1" si="61"/>
        <v>1215.2445055924804</v>
      </c>
      <c r="O318" s="40">
        <f t="shared" ca="1" si="55"/>
        <v>1285.9410563242159</v>
      </c>
      <c r="P318" s="40"/>
      <c r="Q318" s="20">
        <f t="shared" ca="1" si="62"/>
        <v>834.89136490250701</v>
      </c>
      <c r="R318" s="1">
        <f t="shared" si="56"/>
        <v>9019</v>
      </c>
      <c r="S318" s="243">
        <f>IF(AND($K$2&gt;=DATEVALUE("03/04/2020"),$K$2&lt;=DATEVALUE("31/12/2020")),0,IF(Resumo!$C$19="PF",IF(R318&lt;360,0.0082%*R318,3%),IF(R318&lt;360,0.0041%*R318,1.5%)))</f>
        <v>1.4999999999999999E-2</v>
      </c>
      <c r="T318" s="172">
        <f t="shared" ca="1" si="63"/>
        <v>12.523370473537605</v>
      </c>
      <c r="X318" s="20">
        <f t="shared" ca="1" si="64"/>
        <v>1215.2445055924804</v>
      </c>
    </row>
    <row r="319" spans="2:24">
      <c r="B319" s="37">
        <f t="shared" si="57"/>
        <v>297</v>
      </c>
      <c r="C319" s="163">
        <f t="shared" si="58"/>
        <v>53797</v>
      </c>
      <c r="D319" s="38">
        <f t="shared" ca="1" si="52"/>
        <v>842.74931039701278</v>
      </c>
      <c r="E319" s="38">
        <f t="shared" ca="1" si="59"/>
        <v>366.76449988476799</v>
      </c>
      <c r="F319" s="38">
        <f t="shared" ca="1" si="53"/>
        <v>1209.5138102817807</v>
      </c>
      <c r="G319" s="38">
        <f ca="1">IF(B319&lt;=$D$16,G318*(1+$D$13)^((C319-C318)/_xlfn.DAYS(EDATE(C318,1),C318)),G318-D319)+IF(B319&lt;=$D$16,G318*Resumo!$F$12,0)+IF(B319&lt;=$D$16,$D$15*Resumo!$F$13,0)+IF(B319&lt;=$D$16,25,0)-IF(AND($D$16&gt;3,B319&lt;=$D$16),K319,0)</f>
        <v>53093.206555010045</v>
      </c>
      <c r="H319" s="38">
        <f ca="1">IF(AND(B319&lt;&gt;"",L319&lt;&gt;$D$17,$D$16&gt;3),G319*Resumo!$F$12,IF(AND(B319&lt;&gt;"",L319&lt;&gt;$D$17,B319&gt;$D$16),G319*Resumo!$F$12,0))</f>
        <v>11.149573376552111</v>
      </c>
      <c r="I319" s="38">
        <f>IF(AND(B319&lt;&gt;"",L319&lt;&gt;$D$17,$D$16&gt;3,$B319&lt;=$D$16),$D$15*Resumo!$F$13,IF(AND(B319&lt;&gt;"",L319&lt;&gt;$D$17,B319&gt;$D$16),$D$15*Resumo!$F$13,0))</f>
        <v>34.369999999999997</v>
      </c>
      <c r="J319" s="38">
        <f>IF(AND(B319&lt;&gt;"",L319&lt;&gt;$D$17,$D$16&gt;3,$B319&lt;=$D$16),Resumo!$F$11,IF(AND(B319&lt;&gt;"",L319&lt;&gt;$D$17,B319&gt;$D$16),Resumo!$F$11,0))</f>
        <v>25</v>
      </c>
      <c r="K319" s="38">
        <f t="shared" ca="1" si="54"/>
        <v>1280.0333836583327</v>
      </c>
      <c r="L319" s="39" t="str">
        <f>IF(B319&lt;&gt;"",VLOOKUP(MONTH(C319),Sheet2!$F$1:$G$12,2,0),"")</f>
        <v>Abril</v>
      </c>
      <c r="M319" s="200">
        <f t="shared" ca="1" si="60"/>
        <v>0</v>
      </c>
      <c r="N319" s="40">
        <f t="shared" ca="1" si="61"/>
        <v>1209.5138102817807</v>
      </c>
      <c r="O319" s="40">
        <f t="shared" ca="1" si="55"/>
        <v>1280.0333836583327</v>
      </c>
      <c r="P319" s="40"/>
      <c r="Q319" s="20">
        <f t="shared" ca="1" si="62"/>
        <v>834.89136490250701</v>
      </c>
      <c r="R319" s="1">
        <f t="shared" si="56"/>
        <v>9050</v>
      </c>
      <c r="S319" s="243">
        <f>IF(AND($K$2&gt;=DATEVALUE("03/04/2020"),$K$2&lt;=DATEVALUE("31/12/2020")),0,IF(Resumo!$C$19="PF",IF(R319&lt;360,0.0082%*R319,3%),IF(R319&lt;360,0.0041%*R319,1.5%)))</f>
        <v>1.4999999999999999E-2</v>
      </c>
      <c r="T319" s="172">
        <f t="shared" ca="1" si="63"/>
        <v>12.523370473537605</v>
      </c>
      <c r="X319" s="20">
        <f t="shared" ca="1" si="64"/>
        <v>1209.5138102817807</v>
      </c>
    </row>
    <row r="320" spans="2:24">
      <c r="B320" s="41">
        <f t="shared" si="57"/>
        <v>298</v>
      </c>
      <c r="C320" s="164">
        <f t="shared" si="58"/>
        <v>53827</v>
      </c>
      <c r="D320" s="42">
        <f t="shared" ca="1" si="52"/>
        <v>842.74931039701278</v>
      </c>
      <c r="E320" s="42">
        <f t="shared" ca="1" si="59"/>
        <v>361.03380457406831</v>
      </c>
      <c r="F320" s="42">
        <f t="shared" ca="1" si="53"/>
        <v>1203.783114971081</v>
      </c>
      <c r="G320" s="42">
        <f ca="1">IF(B320&lt;=$D$16,G319*(1+$D$13)^((C320-C319)/_xlfn.DAYS(EDATE(C319,1),C319)),G319-D320)+IF(B320&lt;=$D$16,G319*Resumo!$F$12,0)+IF(B320&lt;=$D$16,$D$15*Resumo!$F$13,0)+IF(B320&lt;=$D$16,25,0)-IF(AND($D$16&gt;3,B320&lt;=$D$16),K320,0)</f>
        <v>52250.457244613033</v>
      </c>
      <c r="H320" s="42">
        <f ca="1">IF(AND(B320&lt;&gt;"",L320&lt;&gt;$D$17,$D$16&gt;3),G320*Resumo!$F$12,IF(AND(B320&lt;&gt;"",L320&lt;&gt;$D$17,B320&gt;$D$16),G320*Resumo!$F$12,0))</f>
        <v>10.972596021368737</v>
      </c>
      <c r="I320" s="42">
        <f>IF(AND(B320&lt;&gt;"",L320&lt;&gt;$D$17,$D$16&gt;3,$B320&lt;=$D$16),$D$15*Resumo!$F$13,IF(AND(B320&lt;&gt;"",L320&lt;&gt;$D$17,B320&gt;$D$16),$D$15*Resumo!$F$13,0))</f>
        <v>34.369999999999997</v>
      </c>
      <c r="J320" s="42">
        <f>IF(AND(B320&lt;&gt;"",L320&lt;&gt;$D$17,$D$16&gt;3,$B320&lt;=$D$16),Resumo!$F$11,IF(AND(B320&lt;&gt;"",L320&lt;&gt;$D$17,B320&gt;$D$16),Resumo!$F$11,0))</f>
        <v>25</v>
      </c>
      <c r="K320" s="42">
        <f t="shared" ca="1" si="54"/>
        <v>1274.1257109924495</v>
      </c>
      <c r="L320" s="39" t="str">
        <f>IF(B320&lt;&gt;"",VLOOKUP(MONTH(C320),Sheet2!$F$1:$G$12,2,0),"")</f>
        <v>Maio</v>
      </c>
      <c r="M320" s="200">
        <f t="shared" ca="1" si="60"/>
        <v>0</v>
      </c>
      <c r="N320" s="40">
        <f t="shared" ca="1" si="61"/>
        <v>1203.783114971081</v>
      </c>
      <c r="O320" s="40">
        <f t="shared" ca="1" si="55"/>
        <v>1274.1257109924495</v>
      </c>
      <c r="P320" s="40"/>
      <c r="Q320" s="20">
        <f t="shared" ca="1" si="62"/>
        <v>834.89136490250701</v>
      </c>
      <c r="R320" s="1">
        <f t="shared" si="56"/>
        <v>9080</v>
      </c>
      <c r="S320" s="243">
        <f>IF(AND($K$2&gt;=DATEVALUE("03/04/2020"),$K$2&lt;=DATEVALUE("31/12/2020")),0,IF(Resumo!$C$19="PF",IF(R320&lt;360,0.0082%*R320,3%),IF(R320&lt;360,0.0041%*R320,1.5%)))</f>
        <v>1.4999999999999999E-2</v>
      </c>
      <c r="T320" s="172">
        <f t="shared" ca="1" si="63"/>
        <v>12.523370473537605</v>
      </c>
      <c r="X320" s="20">
        <f t="shared" ca="1" si="64"/>
        <v>1203.783114971081</v>
      </c>
    </row>
    <row r="321" spans="2:24">
      <c r="B321" s="37">
        <f t="shared" si="57"/>
        <v>299</v>
      </c>
      <c r="C321" s="163">
        <f t="shared" si="58"/>
        <v>53858</v>
      </c>
      <c r="D321" s="38">
        <f t="shared" ca="1" si="52"/>
        <v>842.74931039701278</v>
      </c>
      <c r="E321" s="38">
        <f t="shared" ca="1" si="59"/>
        <v>355.30310926336858</v>
      </c>
      <c r="F321" s="38">
        <f t="shared" ca="1" si="53"/>
        <v>1198.0524196603815</v>
      </c>
      <c r="G321" s="38">
        <f ca="1">IF(B321&lt;=$D$16,G320*(1+$D$13)^((C321-C320)/_xlfn.DAYS(EDATE(C320,1),C320)),G320-D321)+IF(B321&lt;=$D$16,G320*Resumo!$F$12,0)+IF(B321&lt;=$D$16,$D$15*Resumo!$F$13,0)+IF(B321&lt;=$D$16,25,0)-IF(AND($D$16&gt;3,B321&lt;=$D$16),K321,0)</f>
        <v>51407.707934216021</v>
      </c>
      <c r="H321" s="38">
        <f ca="1">IF(AND(B321&lt;&gt;"",L321&lt;&gt;$D$17,$D$16&gt;3),G321*Resumo!$F$12,IF(AND(B321&lt;&gt;"",L321&lt;&gt;$D$17,B321&gt;$D$16),G321*Resumo!$F$12,0))</f>
        <v>10.795618666185366</v>
      </c>
      <c r="I321" s="38">
        <f>IF(AND(B321&lt;&gt;"",L321&lt;&gt;$D$17,$D$16&gt;3,$B321&lt;=$D$16),$D$15*Resumo!$F$13,IF(AND(B321&lt;&gt;"",L321&lt;&gt;$D$17,B321&gt;$D$16),$D$15*Resumo!$F$13,0))</f>
        <v>34.369999999999997</v>
      </c>
      <c r="J321" s="38">
        <f>IF(AND(B321&lt;&gt;"",L321&lt;&gt;$D$17,$D$16&gt;3,$B321&lt;=$D$16),Resumo!$F$11,IF(AND(B321&lt;&gt;"",L321&lt;&gt;$D$17,B321&gt;$D$16),Resumo!$F$11,0))</f>
        <v>25</v>
      </c>
      <c r="K321" s="38">
        <f t="shared" ca="1" si="54"/>
        <v>1268.2180383265668</v>
      </c>
      <c r="L321" s="39" t="str">
        <f>IF(B321&lt;&gt;"",VLOOKUP(MONTH(C321),Sheet2!$F$1:$G$12,2,0),"")</f>
        <v>Junho</v>
      </c>
      <c r="M321" s="200">
        <f t="shared" ca="1" si="60"/>
        <v>0</v>
      </c>
      <c r="N321" s="40">
        <f t="shared" ca="1" si="61"/>
        <v>1198.0524196603815</v>
      </c>
      <c r="O321" s="40">
        <f t="shared" ca="1" si="55"/>
        <v>1268.2180383265668</v>
      </c>
      <c r="P321" s="40"/>
      <c r="Q321" s="20">
        <f t="shared" ca="1" si="62"/>
        <v>834.89136490250701</v>
      </c>
      <c r="R321" s="1">
        <f t="shared" si="56"/>
        <v>9111</v>
      </c>
      <c r="S321" s="243">
        <f>IF(AND($K$2&gt;=DATEVALUE("03/04/2020"),$K$2&lt;=DATEVALUE("31/12/2020")),0,IF(Resumo!$C$19="PF",IF(R321&lt;360,0.0082%*R321,3%),IF(R321&lt;360,0.0041%*R321,1.5%)))</f>
        <v>1.4999999999999999E-2</v>
      </c>
      <c r="T321" s="172">
        <f t="shared" ca="1" si="63"/>
        <v>12.523370473537605</v>
      </c>
      <c r="X321" s="20">
        <f t="shared" ca="1" si="64"/>
        <v>1198.0524196603815</v>
      </c>
    </row>
    <row r="322" spans="2:24">
      <c r="B322" s="41">
        <f t="shared" si="57"/>
        <v>300</v>
      </c>
      <c r="C322" s="164">
        <f t="shared" si="58"/>
        <v>53888</v>
      </c>
      <c r="D322" s="42">
        <f t="shared" ca="1" si="52"/>
        <v>842.74931039701278</v>
      </c>
      <c r="E322" s="42">
        <f t="shared" ca="1" si="59"/>
        <v>349.57241395266891</v>
      </c>
      <c r="F322" s="42">
        <f t="shared" ca="1" si="53"/>
        <v>1192.3217243496817</v>
      </c>
      <c r="G322" s="42">
        <f ca="1">IF(B322&lt;=$D$16,G321*(1+$D$13)^((C322-C321)/_xlfn.DAYS(EDATE(C321,1),C321)),G321-D322)+IF(B322&lt;=$D$16,G321*Resumo!$F$12,0)+IF(B322&lt;=$D$16,$D$15*Resumo!$F$13,0)+IF(B322&lt;=$D$16,25,0)-IF(AND($D$16&gt;3,B322&lt;=$D$16),K322,0)</f>
        <v>50564.95862381901</v>
      </c>
      <c r="H322" s="42">
        <f ca="1">IF(AND(B322&lt;&gt;"",L322&lt;&gt;$D$17,$D$16&gt;3),G322*Resumo!$F$12,IF(AND(B322&lt;&gt;"",L322&lt;&gt;$D$17,B322&gt;$D$16),G322*Resumo!$F$12,0))</f>
        <v>10.618641311001992</v>
      </c>
      <c r="I322" s="42">
        <f>IF(AND(B322&lt;&gt;"",L322&lt;&gt;$D$17,$D$16&gt;3,$B322&lt;=$D$16),$D$15*Resumo!$F$13,IF(AND(B322&lt;&gt;"",L322&lt;&gt;$D$17,B322&gt;$D$16),$D$15*Resumo!$F$13,0))</f>
        <v>34.369999999999997</v>
      </c>
      <c r="J322" s="42">
        <f>IF(AND(B322&lt;&gt;"",L322&lt;&gt;$D$17,$D$16&gt;3,$B322&lt;=$D$16),Resumo!$F$11,IF(AND(B322&lt;&gt;"",L322&lt;&gt;$D$17,B322&gt;$D$16),Resumo!$F$11,0))</f>
        <v>25</v>
      </c>
      <c r="K322" s="42">
        <f t="shared" ca="1" si="54"/>
        <v>1262.3103656606836</v>
      </c>
      <c r="L322" s="39" t="str">
        <f>IF(B322&lt;&gt;"",VLOOKUP(MONTH(C322),Sheet2!$F$1:$G$12,2,0),"")</f>
        <v>Julho</v>
      </c>
      <c r="M322" s="200">
        <f t="shared" ca="1" si="60"/>
        <v>0</v>
      </c>
      <c r="N322" s="40">
        <f t="shared" ca="1" si="61"/>
        <v>1192.3217243496817</v>
      </c>
      <c r="O322" s="40">
        <f t="shared" ca="1" si="55"/>
        <v>1262.3103656606836</v>
      </c>
      <c r="P322" s="40"/>
      <c r="Q322" s="20">
        <f t="shared" ca="1" si="62"/>
        <v>834.89136490250701</v>
      </c>
      <c r="R322" s="1">
        <f t="shared" si="56"/>
        <v>9141</v>
      </c>
      <c r="S322" s="243">
        <f>IF(AND($K$2&gt;=DATEVALUE("03/04/2020"),$K$2&lt;=DATEVALUE("31/12/2020")),0,IF(Resumo!$C$19="PF",IF(R322&lt;360,0.0082%*R322,3%),IF(R322&lt;360,0.0041%*R322,1.5%)))</f>
        <v>1.4999999999999999E-2</v>
      </c>
      <c r="T322" s="172">
        <f t="shared" ca="1" si="63"/>
        <v>12.523370473537605</v>
      </c>
      <c r="X322" s="20">
        <f t="shared" ca="1" si="64"/>
        <v>1192.3217243496817</v>
      </c>
    </row>
    <row r="323" spans="2:24">
      <c r="B323" s="37">
        <f t="shared" si="57"/>
        <v>301</v>
      </c>
      <c r="C323" s="163">
        <f t="shared" si="58"/>
        <v>53919</v>
      </c>
      <c r="D323" s="38">
        <f t="shared" ca="1" si="52"/>
        <v>842.74931039701278</v>
      </c>
      <c r="E323" s="38">
        <f t="shared" ca="1" si="59"/>
        <v>343.84171864196924</v>
      </c>
      <c r="F323" s="38">
        <f t="shared" ca="1" si="53"/>
        <v>1186.591029038982</v>
      </c>
      <c r="G323" s="38">
        <f ca="1">IF(B323&lt;=$D$16,G322*(1+$D$13)^((C323-C322)/_xlfn.DAYS(EDATE(C322,1),C322)),G322-D323)+IF(B323&lt;=$D$16,G322*Resumo!$F$12,0)+IF(B323&lt;=$D$16,$D$15*Resumo!$F$13,0)+IF(B323&lt;=$D$16,25,0)-IF(AND($D$16&gt;3,B323&lt;=$D$16),K323,0)</f>
        <v>49722.209313421998</v>
      </c>
      <c r="H323" s="38">
        <f ca="1">IF(AND(B323&lt;&gt;"",L323&lt;&gt;$D$17,$D$16&gt;3),G323*Resumo!$F$12,IF(AND(B323&lt;&gt;"",L323&lt;&gt;$D$17,B323&gt;$D$16),G323*Resumo!$F$12,0))</f>
        <v>10.441663955818619</v>
      </c>
      <c r="I323" s="38">
        <f>IF(AND(B323&lt;&gt;"",L323&lt;&gt;$D$17,$D$16&gt;3,$B323&lt;=$D$16),$D$15*Resumo!$F$13,IF(AND(B323&lt;&gt;"",L323&lt;&gt;$D$17,B323&gt;$D$16),$D$15*Resumo!$F$13,0))</f>
        <v>34.369999999999997</v>
      </c>
      <c r="J323" s="38">
        <f>IF(AND(B323&lt;&gt;"",L323&lt;&gt;$D$17,$D$16&gt;3,$B323&lt;=$D$16),Resumo!$F$11,IF(AND(B323&lt;&gt;"",L323&lt;&gt;$D$17,B323&gt;$D$16),Resumo!$F$11,0))</f>
        <v>25</v>
      </c>
      <c r="K323" s="38">
        <f t="shared" ca="1" si="54"/>
        <v>1256.4026929948004</v>
      </c>
      <c r="L323" s="39" t="str">
        <f>IF(B323&lt;&gt;"",VLOOKUP(MONTH(C323),Sheet2!$F$1:$G$12,2,0),"")</f>
        <v>Agosto</v>
      </c>
      <c r="M323" s="200">
        <f t="shared" ca="1" si="60"/>
        <v>0</v>
      </c>
      <c r="N323" s="40">
        <f t="shared" ca="1" si="61"/>
        <v>1186.591029038982</v>
      </c>
      <c r="O323" s="40">
        <f t="shared" ca="1" si="55"/>
        <v>1256.4026929948004</v>
      </c>
      <c r="P323" s="40"/>
      <c r="Q323" s="20">
        <f t="shared" ca="1" si="62"/>
        <v>834.89136490250701</v>
      </c>
      <c r="R323" s="1">
        <f t="shared" si="56"/>
        <v>9172</v>
      </c>
      <c r="S323" s="243">
        <f>IF(AND($K$2&gt;=DATEVALUE("03/04/2020"),$K$2&lt;=DATEVALUE("31/12/2020")),0,IF(Resumo!$C$19="PF",IF(R323&lt;360,0.0082%*R323,3%),IF(R323&lt;360,0.0041%*R323,1.5%)))</f>
        <v>1.4999999999999999E-2</v>
      </c>
      <c r="T323" s="172">
        <f t="shared" ca="1" si="63"/>
        <v>12.523370473537605</v>
      </c>
      <c r="X323" s="20">
        <f t="shared" ca="1" si="64"/>
        <v>1186.591029038982</v>
      </c>
    </row>
    <row r="324" spans="2:24">
      <c r="B324" s="41">
        <f t="shared" si="57"/>
        <v>302</v>
      </c>
      <c r="C324" s="164">
        <f t="shared" si="58"/>
        <v>53950</v>
      </c>
      <c r="D324" s="42">
        <f t="shared" ca="1" si="52"/>
        <v>842.74931039701278</v>
      </c>
      <c r="E324" s="42">
        <f t="shared" ca="1" si="59"/>
        <v>338.11102333126956</v>
      </c>
      <c r="F324" s="42">
        <f t="shared" ca="1" si="53"/>
        <v>1180.8603337282823</v>
      </c>
      <c r="G324" s="42">
        <f ca="1">IF(B324&lt;=$D$16,G323*(1+$D$13)^((C324-C323)/_xlfn.DAYS(EDATE(C323,1),C323)),G323-D324)+IF(B324&lt;=$D$16,G323*Resumo!$F$12,0)+IF(B324&lt;=$D$16,$D$15*Resumo!$F$13,0)+IF(B324&lt;=$D$16,25,0)-IF(AND($D$16&gt;3,B324&lt;=$D$16),K324,0)</f>
        <v>48879.460003024986</v>
      </c>
      <c r="H324" s="42">
        <f ca="1">IF(AND(B324&lt;&gt;"",L324&lt;&gt;$D$17,$D$16&gt;3),G324*Resumo!$F$12,IF(AND(B324&lt;&gt;"",L324&lt;&gt;$D$17,B324&gt;$D$16),G324*Resumo!$F$12,0))</f>
        <v>10.264686600635248</v>
      </c>
      <c r="I324" s="42">
        <f>IF(AND(B324&lt;&gt;"",L324&lt;&gt;$D$17,$D$16&gt;3,$B324&lt;=$D$16),$D$15*Resumo!$F$13,IF(AND(B324&lt;&gt;"",L324&lt;&gt;$D$17,B324&gt;$D$16),$D$15*Resumo!$F$13,0))</f>
        <v>34.369999999999997</v>
      </c>
      <c r="J324" s="42">
        <f>IF(AND(B324&lt;&gt;"",L324&lt;&gt;$D$17,$D$16&gt;3,$B324&lt;=$D$16),Resumo!$F$11,IF(AND(B324&lt;&gt;"",L324&lt;&gt;$D$17,B324&gt;$D$16),Resumo!$F$11,0))</f>
        <v>25</v>
      </c>
      <c r="K324" s="42">
        <f t="shared" ca="1" si="54"/>
        <v>1250.4950203289175</v>
      </c>
      <c r="L324" s="39" t="str">
        <f>IF(B324&lt;&gt;"",VLOOKUP(MONTH(C324),Sheet2!$F$1:$G$12,2,0),"")</f>
        <v>Setembro</v>
      </c>
      <c r="M324" s="200">
        <f t="shared" ca="1" si="60"/>
        <v>0</v>
      </c>
      <c r="N324" s="40">
        <f t="shared" ca="1" si="61"/>
        <v>1180.8603337282823</v>
      </c>
      <c r="O324" s="40">
        <f t="shared" ca="1" si="55"/>
        <v>1250.4950203289175</v>
      </c>
      <c r="P324" s="40"/>
      <c r="Q324" s="20">
        <f t="shared" ca="1" si="62"/>
        <v>834.89136490250701</v>
      </c>
      <c r="R324" s="1">
        <f t="shared" si="56"/>
        <v>9203</v>
      </c>
      <c r="S324" s="243">
        <f>IF(AND($K$2&gt;=DATEVALUE("03/04/2020"),$K$2&lt;=DATEVALUE("31/12/2020")),0,IF(Resumo!$C$19="PF",IF(R324&lt;360,0.0082%*R324,3%),IF(R324&lt;360,0.0041%*R324,1.5%)))</f>
        <v>1.4999999999999999E-2</v>
      </c>
      <c r="T324" s="172">
        <f t="shared" ca="1" si="63"/>
        <v>12.523370473537605</v>
      </c>
      <c r="X324" s="20">
        <f t="shared" ca="1" si="64"/>
        <v>1180.8603337282823</v>
      </c>
    </row>
    <row r="325" spans="2:24">
      <c r="B325" s="37">
        <f t="shared" si="57"/>
        <v>303</v>
      </c>
      <c r="C325" s="163">
        <f t="shared" si="58"/>
        <v>53980</v>
      </c>
      <c r="D325" s="38">
        <f t="shared" ca="1" si="52"/>
        <v>842.74931039701278</v>
      </c>
      <c r="E325" s="38">
        <f t="shared" ca="1" si="59"/>
        <v>332.38032802056989</v>
      </c>
      <c r="F325" s="38">
        <f t="shared" ca="1" si="53"/>
        <v>1175.1296384175826</v>
      </c>
      <c r="G325" s="38">
        <f ca="1">IF(B325&lt;=$D$16,G324*(1+$D$13)^((C325-C324)/_xlfn.DAYS(EDATE(C324,1),C324)),G324-D325)+IF(B325&lt;=$D$16,G324*Resumo!$F$12,0)+IF(B325&lt;=$D$16,$D$15*Resumo!$F$13,0)+IF(B325&lt;=$D$16,25,0)-IF(AND($D$16&gt;3,B325&lt;=$D$16),K325,0)</f>
        <v>48036.710692627974</v>
      </c>
      <c r="H325" s="38">
        <f ca="1">IF(AND(B325&lt;&gt;"",L325&lt;&gt;$D$17,$D$16&gt;3),G325*Resumo!$F$12,IF(AND(B325&lt;&gt;"",L325&lt;&gt;$D$17,B325&gt;$D$16),G325*Resumo!$F$12,0))</f>
        <v>10.087709245451874</v>
      </c>
      <c r="I325" s="38">
        <f>IF(AND(B325&lt;&gt;"",L325&lt;&gt;$D$17,$D$16&gt;3,$B325&lt;=$D$16),$D$15*Resumo!$F$13,IF(AND(B325&lt;&gt;"",L325&lt;&gt;$D$17,B325&gt;$D$16),$D$15*Resumo!$F$13,0))</f>
        <v>34.369999999999997</v>
      </c>
      <c r="J325" s="38">
        <f>IF(AND(B325&lt;&gt;"",L325&lt;&gt;$D$17,$D$16&gt;3,$B325&lt;=$D$16),Resumo!$F$11,IF(AND(B325&lt;&gt;"",L325&lt;&gt;$D$17,B325&gt;$D$16),Resumo!$F$11,0))</f>
        <v>25</v>
      </c>
      <c r="K325" s="38">
        <f t="shared" ca="1" si="54"/>
        <v>1244.5873476630343</v>
      </c>
      <c r="L325" s="39" t="str">
        <f>IF(B325&lt;&gt;"",VLOOKUP(MONTH(C325),Sheet2!$F$1:$G$12,2,0),"")</f>
        <v>Outubro</v>
      </c>
      <c r="M325" s="200">
        <f t="shared" ca="1" si="60"/>
        <v>0</v>
      </c>
      <c r="N325" s="40">
        <f t="shared" ca="1" si="61"/>
        <v>1175.1296384175826</v>
      </c>
      <c r="O325" s="40">
        <f t="shared" ca="1" si="55"/>
        <v>1244.5873476630343</v>
      </c>
      <c r="P325" s="40"/>
      <c r="Q325" s="20">
        <f t="shared" ca="1" si="62"/>
        <v>834.89136490250701</v>
      </c>
      <c r="R325" s="1">
        <f t="shared" si="56"/>
        <v>9233</v>
      </c>
      <c r="S325" s="243">
        <f>IF(AND($K$2&gt;=DATEVALUE("03/04/2020"),$K$2&lt;=DATEVALUE("31/12/2020")),0,IF(Resumo!$C$19="PF",IF(R325&lt;360,0.0082%*R325,3%),IF(R325&lt;360,0.0041%*R325,1.5%)))</f>
        <v>1.4999999999999999E-2</v>
      </c>
      <c r="T325" s="172">
        <f t="shared" ca="1" si="63"/>
        <v>12.523370473537605</v>
      </c>
      <c r="X325" s="20">
        <f t="shared" ca="1" si="64"/>
        <v>1175.1296384175826</v>
      </c>
    </row>
    <row r="326" spans="2:24">
      <c r="B326" s="41">
        <f t="shared" si="57"/>
        <v>304</v>
      </c>
      <c r="C326" s="164">
        <f t="shared" si="58"/>
        <v>54011</v>
      </c>
      <c r="D326" s="42">
        <f t="shared" ca="1" si="52"/>
        <v>842.74931039701278</v>
      </c>
      <c r="E326" s="42">
        <f t="shared" ca="1" si="59"/>
        <v>326.64963270987022</v>
      </c>
      <c r="F326" s="42">
        <f t="shared" ca="1" si="53"/>
        <v>1169.3989431068831</v>
      </c>
      <c r="G326" s="42">
        <f ca="1">IF(B326&lt;=$D$16,G325*(1+$D$13)^((C326-C325)/_xlfn.DAYS(EDATE(C325,1),C325)),G325-D326)+IF(B326&lt;=$D$16,G325*Resumo!$F$12,0)+IF(B326&lt;=$D$16,$D$15*Resumo!$F$13,0)+IF(B326&lt;=$D$16,25,0)-IF(AND($D$16&gt;3,B326&lt;=$D$16),K326,0)</f>
        <v>47193.961382230962</v>
      </c>
      <c r="H326" s="42">
        <f ca="1">IF(AND(B326&lt;&gt;"",L326&lt;&gt;$D$17,$D$16&gt;3),G326*Resumo!$F$12,IF(AND(B326&lt;&gt;"",L326&lt;&gt;$D$17,B326&gt;$D$16),G326*Resumo!$F$12,0))</f>
        <v>9.9107318902685027</v>
      </c>
      <c r="I326" s="42">
        <f>IF(AND(B326&lt;&gt;"",L326&lt;&gt;$D$17,$D$16&gt;3,$B326&lt;=$D$16),$D$15*Resumo!$F$13,IF(AND(B326&lt;&gt;"",L326&lt;&gt;$D$17,B326&gt;$D$16),$D$15*Resumo!$F$13,0))</f>
        <v>34.369999999999997</v>
      </c>
      <c r="J326" s="42">
        <f>IF(AND(B326&lt;&gt;"",L326&lt;&gt;$D$17,$D$16&gt;3,$B326&lt;=$D$16),Resumo!$F$11,IF(AND(B326&lt;&gt;"",L326&lt;&gt;$D$17,B326&gt;$D$16),Resumo!$F$11,0))</f>
        <v>25</v>
      </c>
      <c r="K326" s="42">
        <f t="shared" ca="1" si="54"/>
        <v>1238.6796749971516</v>
      </c>
      <c r="L326" s="39" t="str">
        <f>IF(B326&lt;&gt;"",VLOOKUP(MONTH(C326),Sheet2!$F$1:$G$12,2,0),"")</f>
        <v>Novembro</v>
      </c>
      <c r="M326" s="200">
        <f t="shared" ca="1" si="60"/>
        <v>0</v>
      </c>
      <c r="N326" s="40">
        <f t="shared" ca="1" si="61"/>
        <v>1169.3989431068831</v>
      </c>
      <c r="O326" s="40">
        <f t="shared" ca="1" si="55"/>
        <v>1238.6796749971516</v>
      </c>
      <c r="P326" s="40"/>
      <c r="Q326" s="20">
        <f t="shared" ca="1" si="62"/>
        <v>834.89136490250701</v>
      </c>
      <c r="R326" s="1">
        <f t="shared" si="56"/>
        <v>9264</v>
      </c>
      <c r="S326" s="243">
        <f>IF(AND($K$2&gt;=DATEVALUE("03/04/2020"),$K$2&lt;=DATEVALUE("31/12/2020")),0,IF(Resumo!$C$19="PF",IF(R326&lt;360,0.0082%*R326,3%),IF(R326&lt;360,0.0041%*R326,1.5%)))</f>
        <v>1.4999999999999999E-2</v>
      </c>
      <c r="T326" s="172">
        <f t="shared" ca="1" si="63"/>
        <v>12.523370473537605</v>
      </c>
      <c r="X326" s="20">
        <f t="shared" ca="1" si="64"/>
        <v>1169.3989431068831</v>
      </c>
    </row>
    <row r="327" spans="2:24">
      <c r="B327" s="37">
        <f t="shared" si="57"/>
        <v>305</v>
      </c>
      <c r="C327" s="163">
        <f t="shared" si="58"/>
        <v>54041</v>
      </c>
      <c r="D327" s="38">
        <f t="shared" ca="1" si="52"/>
        <v>842.74931039701278</v>
      </c>
      <c r="E327" s="38">
        <f t="shared" ca="1" si="59"/>
        <v>320.91893739917055</v>
      </c>
      <c r="F327" s="38">
        <f t="shared" ca="1" si="53"/>
        <v>1163.6682477961833</v>
      </c>
      <c r="G327" s="38">
        <f ca="1">IF(B327&lt;=$D$16,G326*(1+$D$13)^((C327-C326)/_xlfn.DAYS(EDATE(C326,1),C326)),G326-D327)+IF(B327&lt;=$D$16,G326*Resumo!$F$12,0)+IF(B327&lt;=$D$16,$D$15*Resumo!$F$13,0)+IF(B327&lt;=$D$16,25,0)-IF(AND($D$16&gt;3,B327&lt;=$D$16),K327,0)</f>
        <v>46351.21207183395</v>
      </c>
      <c r="H327" s="38">
        <f ca="1">IF(AND(B327&lt;&gt;"",L327&lt;&gt;$D$17,$D$16&gt;3),G327*Resumo!$F$12,IF(AND(B327&lt;&gt;"",L327&lt;&gt;$D$17,B327&gt;$D$16),G327*Resumo!$F$12,0))</f>
        <v>9.7337545350851293</v>
      </c>
      <c r="I327" s="38">
        <f>IF(AND(B327&lt;&gt;"",L327&lt;&gt;$D$17,$D$16&gt;3,$B327&lt;=$D$16),$D$15*Resumo!$F$13,IF(AND(B327&lt;&gt;"",L327&lt;&gt;$D$17,B327&gt;$D$16),$D$15*Resumo!$F$13,0))</f>
        <v>34.369999999999997</v>
      </c>
      <c r="J327" s="38">
        <f>IF(AND(B327&lt;&gt;"",L327&lt;&gt;$D$17,$D$16&gt;3,$B327&lt;=$D$16),Resumo!$F$11,IF(AND(B327&lt;&gt;"",L327&lt;&gt;$D$17,B327&gt;$D$16),Resumo!$F$11,0))</f>
        <v>25</v>
      </c>
      <c r="K327" s="38">
        <f t="shared" ca="1" si="54"/>
        <v>1232.7720023312684</v>
      </c>
      <c r="L327" s="39" t="str">
        <f>IF(B327&lt;&gt;"",VLOOKUP(MONTH(C327),Sheet2!$F$1:$G$12,2,0),"")</f>
        <v>Dezembro</v>
      </c>
      <c r="M327" s="200">
        <f t="shared" ca="1" si="60"/>
        <v>0</v>
      </c>
      <c r="N327" s="40">
        <f t="shared" ca="1" si="61"/>
        <v>1163.6682477961833</v>
      </c>
      <c r="O327" s="40">
        <f t="shared" ca="1" si="55"/>
        <v>1232.7720023312684</v>
      </c>
      <c r="P327" s="40"/>
      <c r="Q327" s="20">
        <f t="shared" ca="1" si="62"/>
        <v>834.89136490250701</v>
      </c>
      <c r="R327" s="1">
        <f t="shared" si="56"/>
        <v>9294</v>
      </c>
      <c r="S327" s="243">
        <f>IF(AND($K$2&gt;=DATEVALUE("03/04/2020"),$K$2&lt;=DATEVALUE("31/12/2020")),0,IF(Resumo!$C$19="PF",IF(R327&lt;360,0.0082%*R327,3%),IF(R327&lt;360,0.0041%*R327,1.5%)))</f>
        <v>1.4999999999999999E-2</v>
      </c>
      <c r="T327" s="172">
        <f t="shared" ca="1" si="63"/>
        <v>12.523370473537605</v>
      </c>
      <c r="X327" s="20">
        <f t="shared" ca="1" si="64"/>
        <v>1163.6682477961833</v>
      </c>
    </row>
    <row r="328" spans="2:24">
      <c r="B328" s="41">
        <f t="shared" si="57"/>
        <v>306</v>
      </c>
      <c r="C328" s="164">
        <f t="shared" si="58"/>
        <v>54072</v>
      </c>
      <c r="D328" s="42">
        <f t="shared" ca="1" si="52"/>
        <v>842.74931039701278</v>
      </c>
      <c r="E328" s="42">
        <f t="shared" ca="1" si="59"/>
        <v>315.18824208847082</v>
      </c>
      <c r="F328" s="42">
        <f t="shared" ca="1" si="53"/>
        <v>1157.9375524854836</v>
      </c>
      <c r="G328" s="42">
        <f ca="1">IF(B328&lt;=$D$16,G327*(1+$D$13)^((C328-C327)/_xlfn.DAYS(EDATE(C327,1),C327)),G327-D328)+IF(B328&lt;=$D$16,G327*Resumo!$F$12,0)+IF(B328&lt;=$D$16,$D$15*Resumo!$F$13,0)+IF(B328&lt;=$D$16,25,0)-IF(AND($D$16&gt;3,B328&lt;=$D$16),K328,0)</f>
        <v>45508.462761436938</v>
      </c>
      <c r="H328" s="42">
        <f ca="1">IF(AND(B328&lt;&gt;"",L328&lt;&gt;$D$17,$D$16&gt;3),G328*Resumo!$F$12,IF(AND(B328&lt;&gt;"",L328&lt;&gt;$D$17,B328&gt;$D$16),G328*Resumo!$F$12,0))</f>
        <v>9.5567771799017578</v>
      </c>
      <c r="I328" s="42">
        <f>IF(AND(B328&lt;&gt;"",L328&lt;&gt;$D$17,$D$16&gt;3,$B328&lt;=$D$16),$D$15*Resumo!$F$13,IF(AND(B328&lt;&gt;"",L328&lt;&gt;$D$17,B328&gt;$D$16),$D$15*Resumo!$F$13,0))</f>
        <v>34.369999999999997</v>
      </c>
      <c r="J328" s="42">
        <f>IF(AND(B328&lt;&gt;"",L328&lt;&gt;$D$17,$D$16&gt;3,$B328&lt;=$D$16),Resumo!$F$11,IF(AND(B328&lt;&gt;"",L328&lt;&gt;$D$17,B328&gt;$D$16),Resumo!$F$11,0))</f>
        <v>25</v>
      </c>
      <c r="K328" s="42">
        <f t="shared" ca="1" si="54"/>
        <v>1226.8643296653852</v>
      </c>
      <c r="L328" s="39" t="str">
        <f>IF(B328&lt;&gt;"",VLOOKUP(MONTH(C328),Sheet2!$F$1:$G$12,2,0),"")</f>
        <v>Janeiro</v>
      </c>
      <c r="M328" s="200">
        <f t="shared" ca="1" si="60"/>
        <v>0</v>
      </c>
      <c r="N328" s="40">
        <f t="shared" ca="1" si="61"/>
        <v>1157.9375524854836</v>
      </c>
      <c r="O328" s="40">
        <f t="shared" ca="1" si="55"/>
        <v>1226.8643296653852</v>
      </c>
      <c r="P328" s="40"/>
      <c r="Q328" s="20">
        <f t="shared" ca="1" si="62"/>
        <v>834.89136490250701</v>
      </c>
      <c r="R328" s="1">
        <f t="shared" si="56"/>
        <v>9325</v>
      </c>
      <c r="S328" s="243">
        <f>IF(AND($K$2&gt;=DATEVALUE("03/04/2020"),$K$2&lt;=DATEVALUE("31/12/2020")),0,IF(Resumo!$C$19="PF",IF(R328&lt;360,0.0082%*R328,3%),IF(R328&lt;360,0.0041%*R328,1.5%)))</f>
        <v>1.4999999999999999E-2</v>
      </c>
      <c r="T328" s="172">
        <f t="shared" ca="1" si="63"/>
        <v>12.523370473537605</v>
      </c>
      <c r="X328" s="20">
        <f t="shared" ca="1" si="64"/>
        <v>1157.9375524854836</v>
      </c>
    </row>
    <row r="329" spans="2:24">
      <c r="B329" s="37">
        <f t="shared" si="57"/>
        <v>307</v>
      </c>
      <c r="C329" s="163">
        <f t="shared" si="58"/>
        <v>54103</v>
      </c>
      <c r="D329" s="38">
        <f t="shared" ca="1" si="52"/>
        <v>842.74931039701278</v>
      </c>
      <c r="E329" s="38">
        <f t="shared" ca="1" si="59"/>
        <v>309.45754677777114</v>
      </c>
      <c r="F329" s="38">
        <f t="shared" ca="1" si="53"/>
        <v>1152.2068571747839</v>
      </c>
      <c r="G329" s="38">
        <f ca="1">IF(B329&lt;=$D$16,G328*(1+$D$13)^((C329-C328)/_xlfn.DAYS(EDATE(C328,1),C328)),G328-D329)+IF(B329&lt;=$D$16,G328*Resumo!$F$12,0)+IF(B329&lt;=$D$16,$D$15*Resumo!$F$13,0)+IF(B329&lt;=$D$16,25,0)-IF(AND($D$16&gt;3,B329&lt;=$D$16),K329,0)</f>
        <v>44665.713451039926</v>
      </c>
      <c r="H329" s="38">
        <f ca="1">IF(AND(B329&lt;&gt;"",L329&lt;&gt;$D$17,$D$16&gt;3),G329*Resumo!$F$12,IF(AND(B329&lt;&gt;"",L329&lt;&gt;$D$17,B329&gt;$D$16),G329*Resumo!$F$12,0))</f>
        <v>9.3797998247183845</v>
      </c>
      <c r="I329" s="38">
        <f>IF(AND(B329&lt;&gt;"",L329&lt;&gt;$D$17,$D$16&gt;3,$B329&lt;=$D$16),$D$15*Resumo!$F$13,IF(AND(B329&lt;&gt;"",L329&lt;&gt;$D$17,B329&gt;$D$16),$D$15*Resumo!$F$13,0))</f>
        <v>34.369999999999997</v>
      </c>
      <c r="J329" s="38">
        <f>IF(AND(B329&lt;&gt;"",L329&lt;&gt;$D$17,$D$16&gt;3,$B329&lt;=$D$16),Resumo!$F$11,IF(AND(B329&lt;&gt;"",L329&lt;&gt;$D$17,B329&gt;$D$16),Resumo!$F$11,0))</f>
        <v>25</v>
      </c>
      <c r="K329" s="38">
        <f t="shared" ca="1" si="54"/>
        <v>1220.9566569995022</v>
      </c>
      <c r="L329" s="39" t="str">
        <f>IF(B329&lt;&gt;"",VLOOKUP(MONTH(C329),Sheet2!$F$1:$G$12,2,0),"")</f>
        <v>Fevereiro</v>
      </c>
      <c r="M329" s="200">
        <f t="shared" ca="1" si="60"/>
        <v>0</v>
      </c>
      <c r="N329" s="40">
        <f t="shared" ca="1" si="61"/>
        <v>1152.2068571747839</v>
      </c>
      <c r="O329" s="40">
        <f t="shared" ca="1" si="55"/>
        <v>1220.9566569995022</v>
      </c>
      <c r="P329" s="40"/>
      <c r="Q329" s="20">
        <f t="shared" ca="1" si="62"/>
        <v>834.89136490250701</v>
      </c>
      <c r="R329" s="1">
        <f t="shared" si="56"/>
        <v>9356</v>
      </c>
      <c r="S329" s="243">
        <f>IF(AND($K$2&gt;=DATEVALUE("03/04/2020"),$K$2&lt;=DATEVALUE("31/12/2020")),0,IF(Resumo!$C$19="PF",IF(R329&lt;360,0.0082%*R329,3%),IF(R329&lt;360,0.0041%*R329,1.5%)))</f>
        <v>1.4999999999999999E-2</v>
      </c>
      <c r="T329" s="172">
        <f t="shared" ca="1" si="63"/>
        <v>12.523370473537605</v>
      </c>
      <c r="X329" s="20">
        <f t="shared" ca="1" si="64"/>
        <v>1152.2068571747839</v>
      </c>
    </row>
    <row r="330" spans="2:24">
      <c r="B330" s="41">
        <f t="shared" si="57"/>
        <v>308</v>
      </c>
      <c r="C330" s="164">
        <f t="shared" si="58"/>
        <v>54132</v>
      </c>
      <c r="D330" s="42">
        <f t="shared" ca="1" si="52"/>
        <v>842.74931039701278</v>
      </c>
      <c r="E330" s="42">
        <f t="shared" ca="1" si="59"/>
        <v>303.72685146707147</v>
      </c>
      <c r="F330" s="42">
        <f t="shared" ca="1" si="53"/>
        <v>1146.4761618640841</v>
      </c>
      <c r="G330" s="42">
        <f ca="1">IF(B330&lt;=$D$16,G329*(1+$D$13)^((C330-C329)/_xlfn.DAYS(EDATE(C329,1),C329)),G329-D330)+IF(B330&lt;=$D$16,G329*Resumo!$F$12,0)+IF(B330&lt;=$D$16,$D$15*Resumo!$F$13,0)+IF(B330&lt;=$D$16,25,0)-IF(AND($D$16&gt;3,B330&lt;=$D$16),K330,0)</f>
        <v>43822.964140642915</v>
      </c>
      <c r="H330" s="42">
        <f ca="1">IF(AND(B330&lt;&gt;"",L330&lt;&gt;$D$17,$D$16&gt;3),G330*Resumo!$F$12,IF(AND(B330&lt;&gt;"",L330&lt;&gt;$D$17,B330&gt;$D$16),G330*Resumo!$F$12,0))</f>
        <v>9.2028224695350129</v>
      </c>
      <c r="I330" s="42">
        <f>IF(AND(B330&lt;&gt;"",L330&lt;&gt;$D$17,$D$16&gt;3,$B330&lt;=$D$16),$D$15*Resumo!$F$13,IF(AND(B330&lt;&gt;"",L330&lt;&gt;$D$17,B330&gt;$D$16),$D$15*Resumo!$F$13,0))</f>
        <v>34.369999999999997</v>
      </c>
      <c r="J330" s="42">
        <f>IF(AND(B330&lt;&gt;"",L330&lt;&gt;$D$17,$D$16&gt;3,$B330&lt;=$D$16),Resumo!$F$11,IF(AND(B330&lt;&gt;"",L330&lt;&gt;$D$17,B330&gt;$D$16),Resumo!$F$11,0))</f>
        <v>25</v>
      </c>
      <c r="K330" s="42">
        <f t="shared" ca="1" si="54"/>
        <v>1215.048984333619</v>
      </c>
      <c r="L330" s="39" t="str">
        <f>IF(B330&lt;&gt;"",VLOOKUP(MONTH(C330),Sheet2!$F$1:$G$12,2,0),"")</f>
        <v>Março</v>
      </c>
      <c r="M330" s="200">
        <f t="shared" ca="1" si="60"/>
        <v>0</v>
      </c>
      <c r="N330" s="40">
        <f t="shared" ca="1" si="61"/>
        <v>1146.4761618640841</v>
      </c>
      <c r="O330" s="40">
        <f t="shared" ca="1" si="55"/>
        <v>1215.048984333619</v>
      </c>
      <c r="P330" s="40"/>
      <c r="Q330" s="20">
        <f t="shared" ca="1" si="62"/>
        <v>834.89136490250701</v>
      </c>
      <c r="R330" s="1">
        <f t="shared" si="56"/>
        <v>9385</v>
      </c>
      <c r="S330" s="243">
        <f>IF(AND($K$2&gt;=DATEVALUE("03/04/2020"),$K$2&lt;=DATEVALUE("31/12/2020")),0,IF(Resumo!$C$19="PF",IF(R330&lt;360,0.0082%*R330,3%),IF(R330&lt;360,0.0041%*R330,1.5%)))</f>
        <v>1.4999999999999999E-2</v>
      </c>
      <c r="T330" s="172">
        <f t="shared" ca="1" si="63"/>
        <v>12.523370473537605</v>
      </c>
      <c r="X330" s="20">
        <f t="shared" ca="1" si="64"/>
        <v>1146.4761618640841</v>
      </c>
    </row>
    <row r="331" spans="2:24">
      <c r="B331" s="37">
        <f t="shared" si="57"/>
        <v>309</v>
      </c>
      <c r="C331" s="163">
        <f t="shared" si="58"/>
        <v>54163</v>
      </c>
      <c r="D331" s="38">
        <f t="shared" ca="1" si="52"/>
        <v>842.74931039701278</v>
      </c>
      <c r="E331" s="38">
        <f t="shared" ca="1" si="59"/>
        <v>297.9961561563718</v>
      </c>
      <c r="F331" s="38">
        <f t="shared" ca="1" si="53"/>
        <v>1140.7454665533846</v>
      </c>
      <c r="G331" s="38">
        <f ca="1">IF(B331&lt;=$D$16,G330*(1+$D$13)^((C331-C330)/_xlfn.DAYS(EDATE(C330,1),C330)),G330-D331)+IF(B331&lt;=$D$16,G330*Resumo!$F$12,0)+IF(B331&lt;=$D$16,$D$15*Resumo!$F$13,0)+IF(B331&lt;=$D$16,25,0)-IF(AND($D$16&gt;3,B331&lt;=$D$16),K331,0)</f>
        <v>42980.214830245903</v>
      </c>
      <c r="H331" s="38">
        <f ca="1">IF(AND(B331&lt;&gt;"",L331&lt;&gt;$D$17,$D$16&gt;3),G331*Resumo!$F$12,IF(AND(B331&lt;&gt;"",L331&lt;&gt;$D$17,B331&gt;$D$16),G331*Resumo!$F$12,0))</f>
        <v>9.0258451143516396</v>
      </c>
      <c r="I331" s="38">
        <f>IF(AND(B331&lt;&gt;"",L331&lt;&gt;$D$17,$D$16&gt;3,$B331&lt;=$D$16),$D$15*Resumo!$F$13,IF(AND(B331&lt;&gt;"",L331&lt;&gt;$D$17,B331&gt;$D$16),$D$15*Resumo!$F$13,0))</f>
        <v>34.369999999999997</v>
      </c>
      <c r="J331" s="38">
        <f>IF(AND(B331&lt;&gt;"",L331&lt;&gt;$D$17,$D$16&gt;3,$B331&lt;=$D$16),Resumo!$F$11,IF(AND(B331&lt;&gt;"",L331&lt;&gt;$D$17,B331&gt;$D$16),Resumo!$F$11,0))</f>
        <v>25</v>
      </c>
      <c r="K331" s="38">
        <f t="shared" ca="1" si="54"/>
        <v>1209.1413116677361</v>
      </c>
      <c r="L331" s="39" t="str">
        <f>IF(B331&lt;&gt;"",VLOOKUP(MONTH(C331),Sheet2!$F$1:$G$12,2,0),"")</f>
        <v>Abril</v>
      </c>
      <c r="M331" s="200">
        <f t="shared" ca="1" si="60"/>
        <v>0</v>
      </c>
      <c r="N331" s="40">
        <f t="shared" ca="1" si="61"/>
        <v>1140.7454665533846</v>
      </c>
      <c r="O331" s="40">
        <f t="shared" ca="1" si="55"/>
        <v>1209.1413116677361</v>
      </c>
      <c r="P331" s="40"/>
      <c r="Q331" s="20">
        <f t="shared" ca="1" si="62"/>
        <v>834.89136490250701</v>
      </c>
      <c r="R331" s="1">
        <f t="shared" si="56"/>
        <v>9416</v>
      </c>
      <c r="S331" s="243">
        <f>IF(AND($K$2&gt;=DATEVALUE("03/04/2020"),$K$2&lt;=DATEVALUE("31/12/2020")),0,IF(Resumo!$C$19="PF",IF(R331&lt;360,0.0082%*R331,3%),IF(R331&lt;360,0.0041%*R331,1.5%)))</f>
        <v>1.4999999999999999E-2</v>
      </c>
      <c r="T331" s="172">
        <f t="shared" ca="1" si="63"/>
        <v>12.523370473537605</v>
      </c>
      <c r="X331" s="20">
        <f t="shared" ca="1" si="64"/>
        <v>1140.7454665533846</v>
      </c>
    </row>
    <row r="332" spans="2:24">
      <c r="B332" s="41">
        <f t="shared" si="57"/>
        <v>310</v>
      </c>
      <c r="C332" s="164">
        <f t="shared" si="58"/>
        <v>54193</v>
      </c>
      <c r="D332" s="42">
        <f t="shared" ca="1" si="52"/>
        <v>842.74931039701278</v>
      </c>
      <c r="E332" s="42">
        <f t="shared" ca="1" si="59"/>
        <v>292.26546084567212</v>
      </c>
      <c r="F332" s="42">
        <f t="shared" ca="1" si="53"/>
        <v>1135.0147712426849</v>
      </c>
      <c r="G332" s="42">
        <f ca="1">IF(B332&lt;=$D$16,G331*(1+$D$13)^((C332-C331)/_xlfn.DAYS(EDATE(C331,1),C331)),G331-D332)+IF(B332&lt;=$D$16,G331*Resumo!$F$12,0)+IF(B332&lt;=$D$16,$D$15*Resumo!$F$13,0)+IF(B332&lt;=$D$16,25,0)-IF(AND($D$16&gt;3,B332&lt;=$D$16),K332,0)</f>
        <v>42137.465519848891</v>
      </c>
      <c r="H332" s="42">
        <f ca="1">IF(AND(B332&lt;&gt;"",L332&lt;&gt;$D$17,$D$16&gt;3),G332*Resumo!$F$12,IF(AND(B332&lt;&gt;"",L332&lt;&gt;$D$17,B332&gt;$D$16),G332*Resumo!$F$12,0))</f>
        <v>8.8488677591682681</v>
      </c>
      <c r="I332" s="42">
        <f>IF(AND(B332&lt;&gt;"",L332&lt;&gt;$D$17,$D$16&gt;3,$B332&lt;=$D$16),$D$15*Resumo!$F$13,IF(AND(B332&lt;&gt;"",L332&lt;&gt;$D$17,B332&gt;$D$16),$D$15*Resumo!$F$13,0))</f>
        <v>34.369999999999997</v>
      </c>
      <c r="J332" s="42">
        <f>IF(AND(B332&lt;&gt;"",L332&lt;&gt;$D$17,$D$16&gt;3,$B332&lt;=$D$16),Resumo!$F$11,IF(AND(B332&lt;&gt;"",L332&lt;&gt;$D$17,B332&gt;$D$16),Resumo!$F$11,0))</f>
        <v>25</v>
      </c>
      <c r="K332" s="42">
        <f t="shared" ca="1" si="54"/>
        <v>1203.2336390018531</v>
      </c>
      <c r="L332" s="39" t="str">
        <f>IF(B332&lt;&gt;"",VLOOKUP(MONTH(C332),Sheet2!$F$1:$G$12,2,0),"")</f>
        <v>Maio</v>
      </c>
      <c r="M332" s="200">
        <f t="shared" ca="1" si="60"/>
        <v>0</v>
      </c>
      <c r="N332" s="40">
        <f t="shared" ca="1" si="61"/>
        <v>1135.0147712426849</v>
      </c>
      <c r="O332" s="40">
        <f t="shared" ca="1" si="55"/>
        <v>1203.2336390018531</v>
      </c>
      <c r="P332" s="40"/>
      <c r="Q332" s="20">
        <f t="shared" ca="1" si="62"/>
        <v>834.89136490250701</v>
      </c>
      <c r="R332" s="1">
        <f t="shared" si="56"/>
        <v>9446</v>
      </c>
      <c r="S332" s="243">
        <f>IF(AND($K$2&gt;=DATEVALUE("03/04/2020"),$K$2&lt;=DATEVALUE("31/12/2020")),0,IF(Resumo!$C$19="PF",IF(R332&lt;360,0.0082%*R332,3%),IF(R332&lt;360,0.0041%*R332,1.5%)))</f>
        <v>1.4999999999999999E-2</v>
      </c>
      <c r="T332" s="172">
        <f t="shared" ca="1" si="63"/>
        <v>12.523370473537605</v>
      </c>
      <c r="X332" s="20">
        <f t="shared" ca="1" si="64"/>
        <v>1135.0147712426849</v>
      </c>
    </row>
    <row r="333" spans="2:24">
      <c r="B333" s="37">
        <f t="shared" si="57"/>
        <v>311</v>
      </c>
      <c r="C333" s="163">
        <f t="shared" si="58"/>
        <v>54224</v>
      </c>
      <c r="D333" s="38">
        <f t="shared" ca="1" si="52"/>
        <v>842.74931039701278</v>
      </c>
      <c r="E333" s="38">
        <f t="shared" ca="1" si="59"/>
        <v>286.53476553497245</v>
      </c>
      <c r="F333" s="38">
        <f t="shared" ca="1" si="53"/>
        <v>1129.2840759319852</v>
      </c>
      <c r="G333" s="38">
        <f ca="1">IF(B333&lt;=$D$16,G332*(1+$D$13)^((C333-C332)/_xlfn.DAYS(EDATE(C332,1),C332)),G332-D333)+IF(B333&lt;=$D$16,G332*Resumo!$F$12,0)+IF(B333&lt;=$D$16,$D$15*Resumo!$F$13,0)+IF(B333&lt;=$D$16,25,0)-IF(AND($D$16&gt;3,B333&lt;=$D$16),K333,0)</f>
        <v>41294.716209451879</v>
      </c>
      <c r="H333" s="38">
        <f ca="1">IF(AND(B333&lt;&gt;"",L333&lt;&gt;$D$17,$D$16&gt;3),G333*Resumo!$F$12,IF(AND(B333&lt;&gt;"",L333&lt;&gt;$D$17,B333&gt;$D$16),G333*Resumo!$F$12,0))</f>
        <v>8.6718904039848947</v>
      </c>
      <c r="I333" s="38">
        <f>IF(AND(B333&lt;&gt;"",L333&lt;&gt;$D$17,$D$16&gt;3,$B333&lt;=$D$16),$D$15*Resumo!$F$13,IF(AND(B333&lt;&gt;"",L333&lt;&gt;$D$17,B333&gt;$D$16),$D$15*Resumo!$F$13,0))</f>
        <v>34.369999999999997</v>
      </c>
      <c r="J333" s="38">
        <f>IF(AND(B333&lt;&gt;"",L333&lt;&gt;$D$17,$D$16&gt;3,$B333&lt;=$D$16),Resumo!$F$11,IF(AND(B333&lt;&gt;"",L333&lt;&gt;$D$17,B333&gt;$D$16),Resumo!$F$11,0))</f>
        <v>25</v>
      </c>
      <c r="K333" s="38">
        <f t="shared" ca="1" si="54"/>
        <v>1197.32596633597</v>
      </c>
      <c r="L333" s="39" t="str">
        <f>IF(B333&lt;&gt;"",VLOOKUP(MONTH(C333),Sheet2!$F$1:$G$12,2,0),"")</f>
        <v>Junho</v>
      </c>
      <c r="M333" s="200">
        <f t="shared" ca="1" si="60"/>
        <v>0</v>
      </c>
      <c r="N333" s="40">
        <f t="shared" ca="1" si="61"/>
        <v>1129.2840759319852</v>
      </c>
      <c r="O333" s="40">
        <f t="shared" ca="1" si="55"/>
        <v>1197.32596633597</v>
      </c>
      <c r="P333" s="40"/>
      <c r="Q333" s="20">
        <f t="shared" ca="1" si="62"/>
        <v>834.89136490250701</v>
      </c>
      <c r="R333" s="1">
        <f t="shared" si="56"/>
        <v>9477</v>
      </c>
      <c r="S333" s="243">
        <f>IF(AND($K$2&gt;=DATEVALUE("03/04/2020"),$K$2&lt;=DATEVALUE("31/12/2020")),0,IF(Resumo!$C$19="PF",IF(R333&lt;360,0.0082%*R333,3%),IF(R333&lt;360,0.0041%*R333,1.5%)))</f>
        <v>1.4999999999999999E-2</v>
      </c>
      <c r="T333" s="172">
        <f t="shared" ca="1" si="63"/>
        <v>12.523370473537605</v>
      </c>
      <c r="X333" s="20">
        <f t="shared" ca="1" si="64"/>
        <v>1129.2840759319852</v>
      </c>
    </row>
    <row r="334" spans="2:24">
      <c r="B334" s="41">
        <f t="shared" si="57"/>
        <v>312</v>
      </c>
      <c r="C334" s="164">
        <f t="shared" si="58"/>
        <v>54254</v>
      </c>
      <c r="D334" s="42">
        <f t="shared" ca="1" si="52"/>
        <v>842.74931039701278</v>
      </c>
      <c r="E334" s="42">
        <f t="shared" ca="1" si="59"/>
        <v>280.80407022427278</v>
      </c>
      <c r="F334" s="42">
        <f t="shared" ca="1" si="53"/>
        <v>1123.5533806212857</v>
      </c>
      <c r="G334" s="42">
        <f ca="1">IF(B334&lt;=$D$16,G333*(1+$D$13)^((C334-C333)/_xlfn.DAYS(EDATE(C333,1),C333)),G333-D334)+IF(B334&lt;=$D$16,G333*Resumo!$F$12,0)+IF(B334&lt;=$D$16,$D$15*Resumo!$F$13,0)+IF(B334&lt;=$D$16,25,0)-IF(AND($D$16&gt;3,B334&lt;=$D$16),K334,0)</f>
        <v>40451.966899054867</v>
      </c>
      <c r="H334" s="42">
        <f ca="1">IF(AND(B334&lt;&gt;"",L334&lt;&gt;$D$17,$D$16&gt;3),G334*Resumo!$F$12,IF(AND(B334&lt;&gt;"",L334&lt;&gt;$D$17,B334&gt;$D$16),G334*Resumo!$F$12,0))</f>
        <v>8.4949130488015232</v>
      </c>
      <c r="I334" s="42">
        <f>IF(AND(B334&lt;&gt;"",L334&lt;&gt;$D$17,$D$16&gt;3,$B334&lt;=$D$16),$D$15*Resumo!$F$13,IF(AND(B334&lt;&gt;"",L334&lt;&gt;$D$17,B334&gt;$D$16),$D$15*Resumo!$F$13,0))</f>
        <v>34.369999999999997</v>
      </c>
      <c r="J334" s="42">
        <f>IF(AND(B334&lt;&gt;"",L334&lt;&gt;$D$17,$D$16&gt;3,$B334&lt;=$D$16),Resumo!$F$11,IF(AND(B334&lt;&gt;"",L334&lt;&gt;$D$17,B334&gt;$D$16),Resumo!$F$11,0))</f>
        <v>25</v>
      </c>
      <c r="K334" s="42">
        <f t="shared" ca="1" si="54"/>
        <v>1191.418293670087</v>
      </c>
      <c r="L334" s="39" t="str">
        <f>IF(B334&lt;&gt;"",VLOOKUP(MONTH(C334),Sheet2!$F$1:$G$12,2,0),"")</f>
        <v>Julho</v>
      </c>
      <c r="M334" s="200">
        <f t="shared" ca="1" si="60"/>
        <v>0</v>
      </c>
      <c r="N334" s="40">
        <f t="shared" ca="1" si="61"/>
        <v>1123.5533806212857</v>
      </c>
      <c r="O334" s="40">
        <f t="shared" ca="1" si="55"/>
        <v>1191.418293670087</v>
      </c>
      <c r="P334" s="40"/>
      <c r="Q334" s="20">
        <f t="shared" ca="1" si="62"/>
        <v>834.89136490250701</v>
      </c>
      <c r="R334" s="1">
        <f t="shared" si="56"/>
        <v>9507</v>
      </c>
      <c r="S334" s="243">
        <f>IF(AND($K$2&gt;=DATEVALUE("03/04/2020"),$K$2&lt;=DATEVALUE("31/12/2020")),0,IF(Resumo!$C$19="PF",IF(R334&lt;360,0.0082%*R334,3%),IF(R334&lt;360,0.0041%*R334,1.5%)))</f>
        <v>1.4999999999999999E-2</v>
      </c>
      <c r="T334" s="172">
        <f t="shared" ca="1" si="63"/>
        <v>12.523370473537605</v>
      </c>
      <c r="X334" s="20">
        <f t="shared" ca="1" si="64"/>
        <v>1123.5533806212857</v>
      </c>
    </row>
    <row r="335" spans="2:24">
      <c r="B335" s="37">
        <f t="shared" si="57"/>
        <v>313</v>
      </c>
      <c r="C335" s="163">
        <f t="shared" si="58"/>
        <v>54285</v>
      </c>
      <c r="D335" s="38">
        <f t="shared" ca="1" si="52"/>
        <v>842.74931039701278</v>
      </c>
      <c r="E335" s="38">
        <f t="shared" ca="1" si="59"/>
        <v>275.0733749135731</v>
      </c>
      <c r="F335" s="38">
        <f t="shared" ca="1" si="53"/>
        <v>1117.8226853105859</v>
      </c>
      <c r="G335" s="38">
        <f ca="1">IF(B335&lt;=$D$16,G334*(1+$D$13)^((C335-C334)/_xlfn.DAYS(EDATE(C334,1),C334)),G334-D335)+IF(B335&lt;=$D$16,G334*Resumo!$F$12,0)+IF(B335&lt;=$D$16,$D$15*Resumo!$F$13,0)+IF(B335&lt;=$D$16,25,0)-IF(AND($D$16&gt;3,B335&lt;=$D$16),K335,0)</f>
        <v>39609.217588657855</v>
      </c>
      <c r="H335" s="38">
        <f ca="1">IF(AND(B335&lt;&gt;"",L335&lt;&gt;$D$17,$D$16&gt;3),G335*Resumo!$F$12,IF(AND(B335&lt;&gt;"",L335&lt;&gt;$D$17,B335&gt;$D$16),G335*Resumo!$F$12,0))</f>
        <v>8.3179356936181499</v>
      </c>
      <c r="I335" s="38">
        <f>IF(AND(B335&lt;&gt;"",L335&lt;&gt;$D$17,$D$16&gt;3,$B335&lt;=$D$16),$D$15*Resumo!$F$13,IF(AND(B335&lt;&gt;"",L335&lt;&gt;$D$17,B335&gt;$D$16),$D$15*Resumo!$F$13,0))</f>
        <v>34.369999999999997</v>
      </c>
      <c r="J335" s="38">
        <f>IF(AND(B335&lt;&gt;"",L335&lt;&gt;$D$17,$D$16&gt;3,$B335&lt;=$D$16),Resumo!$F$11,IF(AND(B335&lt;&gt;"",L335&lt;&gt;$D$17,B335&gt;$D$16),Resumo!$F$11,0))</f>
        <v>25</v>
      </c>
      <c r="K335" s="38">
        <f t="shared" ca="1" si="54"/>
        <v>1185.510621004204</v>
      </c>
      <c r="L335" s="39" t="str">
        <f>IF(B335&lt;&gt;"",VLOOKUP(MONTH(C335),Sheet2!$F$1:$G$12,2,0),"")</f>
        <v>Agosto</v>
      </c>
      <c r="M335" s="200">
        <f t="shared" ca="1" si="60"/>
        <v>0</v>
      </c>
      <c r="N335" s="40">
        <f t="shared" ca="1" si="61"/>
        <v>1117.8226853105859</v>
      </c>
      <c r="O335" s="40">
        <f t="shared" ca="1" si="55"/>
        <v>1185.510621004204</v>
      </c>
      <c r="P335" s="40"/>
      <c r="Q335" s="20">
        <f t="shared" ca="1" si="62"/>
        <v>834.89136490250701</v>
      </c>
      <c r="R335" s="1">
        <f t="shared" si="56"/>
        <v>9538</v>
      </c>
      <c r="S335" s="243">
        <f>IF(AND($K$2&gt;=DATEVALUE("03/04/2020"),$K$2&lt;=DATEVALUE("31/12/2020")),0,IF(Resumo!$C$19="PF",IF(R335&lt;360,0.0082%*R335,3%),IF(R335&lt;360,0.0041%*R335,1.5%)))</f>
        <v>1.4999999999999999E-2</v>
      </c>
      <c r="T335" s="172">
        <f t="shared" ca="1" si="63"/>
        <v>12.523370473537605</v>
      </c>
      <c r="X335" s="20">
        <f t="shared" ca="1" si="64"/>
        <v>1117.8226853105859</v>
      </c>
    </row>
    <row r="336" spans="2:24">
      <c r="B336" s="41">
        <f t="shared" si="57"/>
        <v>314</v>
      </c>
      <c r="C336" s="164">
        <f t="shared" si="58"/>
        <v>54316</v>
      </c>
      <c r="D336" s="42">
        <f t="shared" ca="1" si="52"/>
        <v>842.74931039701278</v>
      </c>
      <c r="E336" s="42">
        <f t="shared" ca="1" si="59"/>
        <v>269.34267960287337</v>
      </c>
      <c r="F336" s="42">
        <f t="shared" ca="1" si="53"/>
        <v>1112.0919899998862</v>
      </c>
      <c r="G336" s="42">
        <f ca="1">IF(B336&lt;=$D$16,G335*(1+$D$13)^((C336-C335)/_xlfn.DAYS(EDATE(C335,1),C335)),G335-D336)+IF(B336&lt;=$D$16,G335*Resumo!$F$12,0)+IF(B336&lt;=$D$16,$D$15*Resumo!$F$13,0)+IF(B336&lt;=$D$16,25,0)-IF(AND($D$16&gt;3,B336&lt;=$D$16),K336,0)</f>
        <v>38766.468278260843</v>
      </c>
      <c r="H336" s="42">
        <f ca="1">IF(AND(B336&lt;&gt;"",L336&lt;&gt;$D$17,$D$16&gt;3),G336*Resumo!$F$12,IF(AND(B336&lt;&gt;"",L336&lt;&gt;$D$17,B336&gt;$D$16),G336*Resumo!$F$12,0))</f>
        <v>8.1409583384347766</v>
      </c>
      <c r="I336" s="42">
        <f>IF(AND(B336&lt;&gt;"",L336&lt;&gt;$D$17,$D$16&gt;3,$B336&lt;=$D$16),$D$15*Resumo!$F$13,IF(AND(B336&lt;&gt;"",L336&lt;&gt;$D$17,B336&gt;$D$16),$D$15*Resumo!$F$13,0))</f>
        <v>34.369999999999997</v>
      </c>
      <c r="J336" s="42">
        <f>IF(AND(B336&lt;&gt;"",L336&lt;&gt;$D$17,$D$16&gt;3,$B336&lt;=$D$16),Resumo!$F$11,IF(AND(B336&lt;&gt;"",L336&lt;&gt;$D$17,B336&gt;$D$16),Resumo!$F$11,0))</f>
        <v>25</v>
      </c>
      <c r="K336" s="42">
        <f t="shared" ca="1" si="54"/>
        <v>1179.6029483383209</v>
      </c>
      <c r="L336" s="39" t="str">
        <f>IF(B336&lt;&gt;"",VLOOKUP(MONTH(C336),Sheet2!$F$1:$G$12,2,0),"")</f>
        <v>Setembro</v>
      </c>
      <c r="M336" s="200">
        <f t="shared" ca="1" si="60"/>
        <v>0</v>
      </c>
      <c r="N336" s="40">
        <f t="shared" ca="1" si="61"/>
        <v>1112.0919899998862</v>
      </c>
      <c r="O336" s="40">
        <f t="shared" ca="1" si="55"/>
        <v>1179.6029483383209</v>
      </c>
      <c r="P336" s="40"/>
      <c r="Q336" s="20">
        <f t="shared" ca="1" si="62"/>
        <v>834.89136490250701</v>
      </c>
      <c r="R336" s="1">
        <f t="shared" si="56"/>
        <v>9569</v>
      </c>
      <c r="S336" s="243">
        <f>IF(AND($K$2&gt;=DATEVALUE("03/04/2020"),$K$2&lt;=DATEVALUE("31/12/2020")),0,IF(Resumo!$C$19="PF",IF(R336&lt;360,0.0082%*R336,3%),IF(R336&lt;360,0.0041%*R336,1.5%)))</f>
        <v>1.4999999999999999E-2</v>
      </c>
      <c r="T336" s="172">
        <f t="shared" ca="1" si="63"/>
        <v>12.523370473537605</v>
      </c>
      <c r="X336" s="20">
        <f t="shared" ca="1" si="64"/>
        <v>1112.0919899998862</v>
      </c>
    </row>
    <row r="337" spans="2:24">
      <c r="B337" s="37">
        <f t="shared" si="57"/>
        <v>315</v>
      </c>
      <c r="C337" s="163">
        <f t="shared" si="58"/>
        <v>54346</v>
      </c>
      <c r="D337" s="38">
        <f t="shared" ca="1" si="52"/>
        <v>842.74931039701278</v>
      </c>
      <c r="E337" s="38">
        <f t="shared" ca="1" si="59"/>
        <v>263.6119842921737</v>
      </c>
      <c r="F337" s="38">
        <f t="shared" ca="1" si="53"/>
        <v>1106.3612946891865</v>
      </c>
      <c r="G337" s="38">
        <f ca="1">IF(B337&lt;=$D$16,G336*(1+$D$13)^((C337-C336)/_xlfn.DAYS(EDATE(C336,1),C336)),G336-D337)+IF(B337&lt;=$D$16,G336*Resumo!$F$12,0)+IF(B337&lt;=$D$16,$D$15*Resumo!$F$13,0)+IF(B337&lt;=$D$16,25,0)-IF(AND($D$16&gt;3,B337&lt;=$D$16),K337,0)</f>
        <v>37923.718967863831</v>
      </c>
      <c r="H337" s="38">
        <f ca="1">IF(AND(B337&lt;&gt;"",L337&lt;&gt;$D$17,$D$16&gt;3),G337*Resumo!$F$12,IF(AND(B337&lt;&gt;"",L337&lt;&gt;$D$17,B337&gt;$D$16),G337*Resumo!$F$12,0))</f>
        <v>7.963980983251405</v>
      </c>
      <c r="I337" s="38">
        <f>IF(AND(B337&lt;&gt;"",L337&lt;&gt;$D$17,$D$16&gt;3,$B337&lt;=$D$16),$D$15*Resumo!$F$13,IF(AND(B337&lt;&gt;"",L337&lt;&gt;$D$17,B337&gt;$D$16),$D$15*Resumo!$F$13,0))</f>
        <v>34.369999999999997</v>
      </c>
      <c r="J337" s="38">
        <f>IF(AND(B337&lt;&gt;"",L337&lt;&gt;$D$17,$D$16&gt;3,$B337&lt;=$D$16),Resumo!$F$11,IF(AND(B337&lt;&gt;"",L337&lt;&gt;$D$17,B337&gt;$D$16),Resumo!$F$11,0))</f>
        <v>25</v>
      </c>
      <c r="K337" s="38">
        <f t="shared" ca="1" si="54"/>
        <v>1173.6952756724377</v>
      </c>
      <c r="L337" s="39" t="str">
        <f>IF(B337&lt;&gt;"",VLOOKUP(MONTH(C337),Sheet2!$F$1:$G$12,2,0),"")</f>
        <v>Outubro</v>
      </c>
      <c r="M337" s="200">
        <f t="shared" ca="1" si="60"/>
        <v>0</v>
      </c>
      <c r="N337" s="40">
        <f t="shared" ca="1" si="61"/>
        <v>1106.3612946891865</v>
      </c>
      <c r="O337" s="40">
        <f t="shared" ca="1" si="55"/>
        <v>1173.6952756724377</v>
      </c>
      <c r="P337" s="40"/>
      <c r="Q337" s="20">
        <f t="shared" ca="1" si="62"/>
        <v>834.89136490250701</v>
      </c>
      <c r="R337" s="1">
        <f t="shared" si="56"/>
        <v>9599</v>
      </c>
      <c r="S337" s="243">
        <f>IF(AND($K$2&gt;=DATEVALUE("03/04/2020"),$K$2&lt;=DATEVALUE("31/12/2020")),0,IF(Resumo!$C$19="PF",IF(R337&lt;360,0.0082%*R337,3%),IF(R337&lt;360,0.0041%*R337,1.5%)))</f>
        <v>1.4999999999999999E-2</v>
      </c>
      <c r="T337" s="172">
        <f t="shared" ca="1" si="63"/>
        <v>12.523370473537605</v>
      </c>
      <c r="X337" s="20">
        <f t="shared" ca="1" si="64"/>
        <v>1106.3612946891865</v>
      </c>
    </row>
    <row r="338" spans="2:24">
      <c r="B338" s="41">
        <f t="shared" si="57"/>
        <v>316</v>
      </c>
      <c r="C338" s="164">
        <f t="shared" si="58"/>
        <v>54377</v>
      </c>
      <c r="D338" s="42">
        <f t="shared" ca="1" si="52"/>
        <v>842.74931039701278</v>
      </c>
      <c r="E338" s="42">
        <f t="shared" ca="1" si="59"/>
        <v>257.88128898147403</v>
      </c>
      <c r="F338" s="42">
        <f t="shared" ca="1" si="53"/>
        <v>1100.6305993784867</v>
      </c>
      <c r="G338" s="42">
        <f ca="1">IF(B338&lt;=$D$16,G337*(1+$D$13)^((C338-C337)/_xlfn.DAYS(EDATE(C337,1),C337)),G337-D338)+IF(B338&lt;=$D$16,G337*Resumo!$F$12,0)+IF(B338&lt;=$D$16,$D$15*Resumo!$F$13,0)+IF(B338&lt;=$D$16,25,0)-IF(AND($D$16&gt;3,B338&lt;=$D$16),K338,0)</f>
        <v>37080.96965746682</v>
      </c>
      <c r="H338" s="42">
        <f ca="1">IF(AND(B338&lt;&gt;"",L338&lt;&gt;$D$17,$D$16&gt;3),G338*Resumo!$F$12,IF(AND(B338&lt;&gt;"",L338&lt;&gt;$D$17,B338&gt;$D$16),G338*Resumo!$F$12,0))</f>
        <v>7.7870036280680326</v>
      </c>
      <c r="I338" s="42">
        <f>IF(AND(B338&lt;&gt;"",L338&lt;&gt;$D$17,$D$16&gt;3,$B338&lt;=$D$16),$D$15*Resumo!$F$13,IF(AND(B338&lt;&gt;"",L338&lt;&gt;$D$17,B338&gt;$D$16),$D$15*Resumo!$F$13,0))</f>
        <v>34.369999999999997</v>
      </c>
      <c r="J338" s="42">
        <f>IF(AND(B338&lt;&gt;"",L338&lt;&gt;$D$17,$D$16&gt;3,$B338&lt;=$D$16),Resumo!$F$11,IF(AND(B338&lt;&gt;"",L338&lt;&gt;$D$17,B338&gt;$D$16),Resumo!$F$11,0))</f>
        <v>25</v>
      </c>
      <c r="K338" s="42">
        <f t="shared" ca="1" si="54"/>
        <v>1167.7876030065547</v>
      </c>
      <c r="L338" s="39" t="str">
        <f>IF(B338&lt;&gt;"",VLOOKUP(MONTH(C338),Sheet2!$F$1:$G$12,2,0),"")</f>
        <v>Novembro</v>
      </c>
      <c r="M338" s="200">
        <f t="shared" ca="1" si="60"/>
        <v>0</v>
      </c>
      <c r="N338" s="40">
        <f t="shared" ca="1" si="61"/>
        <v>1100.6305993784867</v>
      </c>
      <c r="O338" s="40">
        <f t="shared" ca="1" si="55"/>
        <v>1167.7876030065547</v>
      </c>
      <c r="P338" s="40"/>
      <c r="Q338" s="20">
        <f t="shared" ca="1" si="62"/>
        <v>834.89136490250701</v>
      </c>
      <c r="R338" s="1">
        <f t="shared" si="56"/>
        <v>9630</v>
      </c>
      <c r="S338" s="243">
        <f>IF(AND($K$2&gt;=DATEVALUE("03/04/2020"),$K$2&lt;=DATEVALUE("31/12/2020")),0,IF(Resumo!$C$19="PF",IF(R338&lt;360,0.0082%*R338,3%),IF(R338&lt;360,0.0041%*R338,1.5%)))</f>
        <v>1.4999999999999999E-2</v>
      </c>
      <c r="T338" s="172">
        <f t="shared" ca="1" si="63"/>
        <v>12.523370473537605</v>
      </c>
      <c r="X338" s="20">
        <f t="shared" ca="1" si="64"/>
        <v>1100.6305993784867</v>
      </c>
    </row>
    <row r="339" spans="2:24">
      <c r="B339" s="37">
        <f t="shared" si="57"/>
        <v>317</v>
      </c>
      <c r="C339" s="163">
        <f t="shared" si="58"/>
        <v>54407</v>
      </c>
      <c r="D339" s="38">
        <f t="shared" ca="1" si="52"/>
        <v>842.74931039701278</v>
      </c>
      <c r="E339" s="38">
        <f t="shared" ca="1" si="59"/>
        <v>252.15059367077436</v>
      </c>
      <c r="F339" s="38">
        <f t="shared" ca="1" si="53"/>
        <v>1094.8999040677872</v>
      </c>
      <c r="G339" s="38">
        <f ca="1">IF(B339&lt;=$D$16,G338*(1+$D$13)^((C339-C338)/_xlfn.DAYS(EDATE(C338,1),C338)),G338-D339)+IF(B339&lt;=$D$16,G338*Resumo!$F$12,0)+IF(B339&lt;=$D$16,$D$15*Resumo!$F$13,0)+IF(B339&lt;=$D$16,25,0)-IF(AND($D$16&gt;3,B339&lt;=$D$16),K339,0)</f>
        <v>36238.220347069808</v>
      </c>
      <c r="H339" s="38">
        <f ca="1">IF(AND(B339&lt;&gt;"",L339&lt;&gt;$D$17,$D$16&gt;3),G339*Resumo!$F$12,IF(AND(B339&lt;&gt;"",L339&lt;&gt;$D$17,B339&gt;$D$16),G339*Resumo!$F$12,0))</f>
        <v>7.6100262728846602</v>
      </c>
      <c r="I339" s="38">
        <f>IF(AND(B339&lt;&gt;"",L339&lt;&gt;$D$17,$D$16&gt;3,$B339&lt;=$D$16),$D$15*Resumo!$F$13,IF(AND(B339&lt;&gt;"",L339&lt;&gt;$D$17,B339&gt;$D$16),$D$15*Resumo!$F$13,0))</f>
        <v>34.369999999999997</v>
      </c>
      <c r="J339" s="38">
        <f>IF(AND(B339&lt;&gt;"",L339&lt;&gt;$D$17,$D$16&gt;3,$B339&lt;=$D$16),Resumo!$F$11,IF(AND(B339&lt;&gt;"",L339&lt;&gt;$D$17,B339&gt;$D$16),Resumo!$F$11,0))</f>
        <v>25</v>
      </c>
      <c r="K339" s="38">
        <f t="shared" ca="1" si="54"/>
        <v>1161.8799303406718</v>
      </c>
      <c r="L339" s="39" t="str">
        <f>IF(B339&lt;&gt;"",VLOOKUP(MONTH(C339),Sheet2!$F$1:$G$12,2,0),"")</f>
        <v>Dezembro</v>
      </c>
      <c r="M339" s="200">
        <f t="shared" ca="1" si="60"/>
        <v>0</v>
      </c>
      <c r="N339" s="40">
        <f t="shared" ca="1" si="61"/>
        <v>1094.8999040677872</v>
      </c>
      <c r="O339" s="40">
        <f t="shared" ca="1" si="55"/>
        <v>1161.8799303406718</v>
      </c>
      <c r="P339" s="40"/>
      <c r="Q339" s="20">
        <f t="shared" ca="1" si="62"/>
        <v>834.89136490250701</v>
      </c>
      <c r="R339" s="1">
        <f t="shared" si="56"/>
        <v>9660</v>
      </c>
      <c r="S339" s="243">
        <f>IF(AND($K$2&gt;=DATEVALUE("03/04/2020"),$K$2&lt;=DATEVALUE("31/12/2020")),0,IF(Resumo!$C$19="PF",IF(R339&lt;360,0.0082%*R339,3%),IF(R339&lt;360,0.0041%*R339,1.5%)))</f>
        <v>1.4999999999999999E-2</v>
      </c>
      <c r="T339" s="172">
        <f t="shared" ca="1" si="63"/>
        <v>12.523370473537605</v>
      </c>
      <c r="X339" s="20">
        <f t="shared" ca="1" si="64"/>
        <v>1094.8999040677872</v>
      </c>
    </row>
    <row r="340" spans="2:24">
      <c r="B340" s="41">
        <f t="shared" si="57"/>
        <v>318</v>
      </c>
      <c r="C340" s="164">
        <f t="shared" si="58"/>
        <v>54438</v>
      </c>
      <c r="D340" s="42">
        <f t="shared" ca="1" si="52"/>
        <v>842.74931039701278</v>
      </c>
      <c r="E340" s="42">
        <f t="shared" ca="1" si="59"/>
        <v>246.41989836007468</v>
      </c>
      <c r="F340" s="42">
        <f t="shared" ca="1" si="53"/>
        <v>1089.1692087570875</v>
      </c>
      <c r="G340" s="42">
        <f ca="1">IF(B340&lt;=$D$16,G339*(1+$D$13)^((C340-C339)/_xlfn.DAYS(EDATE(C339,1),C339)),G339-D340)+IF(B340&lt;=$D$16,G339*Resumo!$F$12,0)+IF(B340&lt;=$D$16,$D$15*Resumo!$F$13,0)+IF(B340&lt;=$D$16,25,0)-IF(AND($D$16&gt;3,B340&lt;=$D$16),K340,0)</f>
        <v>35395.471036672796</v>
      </c>
      <c r="H340" s="42">
        <f ca="1">IF(AND(B340&lt;&gt;"",L340&lt;&gt;$D$17,$D$16&gt;3),G340*Resumo!$F$12,IF(AND(B340&lt;&gt;"",L340&lt;&gt;$D$17,B340&gt;$D$16),G340*Resumo!$F$12,0))</f>
        <v>7.4330489177012877</v>
      </c>
      <c r="I340" s="42">
        <f>IF(AND(B340&lt;&gt;"",L340&lt;&gt;$D$17,$D$16&gt;3,$B340&lt;=$D$16),$D$15*Resumo!$F$13,IF(AND(B340&lt;&gt;"",L340&lt;&gt;$D$17,B340&gt;$D$16),$D$15*Resumo!$F$13,0))</f>
        <v>34.369999999999997</v>
      </c>
      <c r="J340" s="42">
        <f>IF(AND(B340&lt;&gt;"",L340&lt;&gt;$D$17,$D$16&gt;3,$B340&lt;=$D$16),Resumo!$F$11,IF(AND(B340&lt;&gt;"",L340&lt;&gt;$D$17,B340&gt;$D$16),Resumo!$F$11,0))</f>
        <v>25</v>
      </c>
      <c r="K340" s="42">
        <f t="shared" ca="1" si="54"/>
        <v>1155.9722576747888</v>
      </c>
      <c r="L340" s="39" t="str">
        <f>IF(B340&lt;&gt;"",VLOOKUP(MONTH(C340),Sheet2!$F$1:$G$12,2,0),"")</f>
        <v>Janeiro</v>
      </c>
      <c r="M340" s="200">
        <f t="shared" ca="1" si="60"/>
        <v>0</v>
      </c>
      <c r="N340" s="40">
        <f t="shared" ca="1" si="61"/>
        <v>1089.1692087570875</v>
      </c>
      <c r="O340" s="40">
        <f t="shared" ca="1" si="55"/>
        <v>1155.9722576747888</v>
      </c>
      <c r="P340" s="40"/>
      <c r="Q340" s="20">
        <f t="shared" ca="1" si="62"/>
        <v>834.89136490250701</v>
      </c>
      <c r="R340" s="1">
        <f t="shared" si="56"/>
        <v>9691</v>
      </c>
      <c r="S340" s="243">
        <f>IF(AND($K$2&gt;=DATEVALUE("03/04/2020"),$K$2&lt;=DATEVALUE("31/12/2020")),0,IF(Resumo!$C$19="PF",IF(R340&lt;360,0.0082%*R340,3%),IF(R340&lt;360,0.0041%*R340,1.5%)))</f>
        <v>1.4999999999999999E-2</v>
      </c>
      <c r="T340" s="172">
        <f t="shared" ca="1" si="63"/>
        <v>12.523370473537605</v>
      </c>
      <c r="X340" s="20">
        <f t="shared" ca="1" si="64"/>
        <v>1089.1692087570875</v>
      </c>
    </row>
    <row r="341" spans="2:24">
      <c r="B341" s="37">
        <f t="shared" si="57"/>
        <v>319</v>
      </c>
      <c r="C341" s="163">
        <f t="shared" si="58"/>
        <v>54469</v>
      </c>
      <c r="D341" s="38">
        <f t="shared" ca="1" si="52"/>
        <v>842.74931039701278</v>
      </c>
      <c r="E341" s="38">
        <f t="shared" ca="1" si="59"/>
        <v>240.68920304937501</v>
      </c>
      <c r="F341" s="38">
        <f t="shared" ca="1" si="53"/>
        <v>1083.4385134463878</v>
      </c>
      <c r="G341" s="38">
        <f ca="1">IF(B341&lt;=$D$16,G340*(1+$D$13)^((C341-C340)/_xlfn.DAYS(EDATE(C340,1),C340)),G340-D341)+IF(B341&lt;=$D$16,G340*Resumo!$F$12,0)+IF(B341&lt;=$D$16,$D$15*Resumo!$F$13,0)+IF(B341&lt;=$D$16,25,0)-IF(AND($D$16&gt;3,B341&lt;=$D$16),K341,0)</f>
        <v>34552.721726275784</v>
      </c>
      <c r="H341" s="38">
        <f ca="1">IF(AND(B341&lt;&gt;"",L341&lt;&gt;$D$17,$D$16&gt;3),G341*Resumo!$F$12,IF(AND(B341&lt;&gt;"",L341&lt;&gt;$D$17,B341&gt;$D$16),G341*Resumo!$F$12,0))</f>
        <v>7.2560715625179153</v>
      </c>
      <c r="I341" s="38">
        <f>IF(AND(B341&lt;&gt;"",L341&lt;&gt;$D$17,$D$16&gt;3,$B341&lt;=$D$16),$D$15*Resumo!$F$13,IF(AND(B341&lt;&gt;"",L341&lt;&gt;$D$17,B341&gt;$D$16),$D$15*Resumo!$F$13,0))</f>
        <v>34.369999999999997</v>
      </c>
      <c r="J341" s="38">
        <f>IF(AND(B341&lt;&gt;"",L341&lt;&gt;$D$17,$D$16&gt;3,$B341&lt;=$D$16),Resumo!$F$11,IF(AND(B341&lt;&gt;"",L341&lt;&gt;$D$17,B341&gt;$D$16),Resumo!$F$11,0))</f>
        <v>25</v>
      </c>
      <c r="K341" s="38">
        <f t="shared" ca="1" si="54"/>
        <v>1150.0645850089056</v>
      </c>
      <c r="L341" s="39" t="str">
        <f>IF(B341&lt;&gt;"",VLOOKUP(MONTH(C341),Sheet2!$F$1:$G$12,2,0),"")</f>
        <v>Fevereiro</v>
      </c>
      <c r="M341" s="200">
        <f t="shared" ca="1" si="60"/>
        <v>0</v>
      </c>
      <c r="N341" s="40">
        <f t="shared" ca="1" si="61"/>
        <v>1083.4385134463878</v>
      </c>
      <c r="O341" s="40">
        <f t="shared" ca="1" si="55"/>
        <v>1150.0645850089056</v>
      </c>
      <c r="P341" s="40"/>
      <c r="Q341" s="20">
        <f t="shared" ca="1" si="62"/>
        <v>834.89136490250701</v>
      </c>
      <c r="R341" s="1">
        <f t="shared" si="56"/>
        <v>9722</v>
      </c>
      <c r="S341" s="243">
        <f>IF(AND($K$2&gt;=DATEVALUE("03/04/2020"),$K$2&lt;=DATEVALUE("31/12/2020")),0,IF(Resumo!$C$19="PF",IF(R341&lt;360,0.0082%*R341,3%),IF(R341&lt;360,0.0041%*R341,1.5%)))</f>
        <v>1.4999999999999999E-2</v>
      </c>
      <c r="T341" s="172">
        <f t="shared" ca="1" si="63"/>
        <v>12.523370473537605</v>
      </c>
      <c r="X341" s="20">
        <f t="shared" ca="1" si="64"/>
        <v>1083.4385134463878</v>
      </c>
    </row>
    <row r="342" spans="2:24">
      <c r="B342" s="41">
        <f t="shared" si="57"/>
        <v>320</v>
      </c>
      <c r="C342" s="164">
        <f t="shared" si="58"/>
        <v>54497</v>
      </c>
      <c r="D342" s="42">
        <f t="shared" ca="1" si="52"/>
        <v>842.74931039701278</v>
      </c>
      <c r="E342" s="42">
        <f t="shared" ca="1" si="59"/>
        <v>234.95850773867531</v>
      </c>
      <c r="F342" s="42">
        <f t="shared" ca="1" si="53"/>
        <v>1077.7078181356881</v>
      </c>
      <c r="G342" s="42">
        <f ca="1">IF(B342&lt;=$D$16,G341*(1+$D$13)^((C342-C341)/_xlfn.DAYS(EDATE(C341,1),C341)),G341-D342)+IF(B342&lt;=$D$16,G341*Resumo!$F$12,0)+IF(B342&lt;=$D$16,$D$15*Resumo!$F$13,0)+IF(B342&lt;=$D$16,25,0)-IF(AND($D$16&gt;3,B342&lt;=$D$16),K342,0)</f>
        <v>33709.972415878772</v>
      </c>
      <c r="H342" s="42">
        <f ca="1">IF(AND(B342&lt;&gt;"",L342&lt;&gt;$D$17,$D$16&gt;3),G342*Resumo!$F$12,IF(AND(B342&lt;&gt;"",L342&lt;&gt;$D$17,B342&gt;$D$16),G342*Resumo!$F$12,0))</f>
        <v>7.0790942073345429</v>
      </c>
      <c r="I342" s="42">
        <f>IF(AND(B342&lt;&gt;"",L342&lt;&gt;$D$17,$D$16&gt;3,$B342&lt;=$D$16),$D$15*Resumo!$F$13,IF(AND(B342&lt;&gt;"",L342&lt;&gt;$D$17,B342&gt;$D$16),$D$15*Resumo!$F$13,0))</f>
        <v>34.369999999999997</v>
      </c>
      <c r="J342" s="42">
        <f>IF(AND(B342&lt;&gt;"",L342&lt;&gt;$D$17,$D$16&gt;3,$B342&lt;=$D$16),Resumo!$F$11,IF(AND(B342&lt;&gt;"",L342&lt;&gt;$D$17,B342&gt;$D$16),Resumo!$F$11,0))</f>
        <v>25</v>
      </c>
      <c r="K342" s="42">
        <f t="shared" ca="1" si="54"/>
        <v>1144.1569123430224</v>
      </c>
      <c r="L342" s="39" t="str">
        <f>IF(B342&lt;&gt;"",VLOOKUP(MONTH(C342),Sheet2!$F$1:$G$12,2,0),"")</f>
        <v>Março</v>
      </c>
      <c r="M342" s="200">
        <f t="shared" ca="1" si="60"/>
        <v>0</v>
      </c>
      <c r="N342" s="40">
        <f t="shared" ca="1" si="61"/>
        <v>1077.7078181356881</v>
      </c>
      <c r="O342" s="40">
        <f t="shared" ca="1" si="55"/>
        <v>1144.1569123430224</v>
      </c>
      <c r="P342" s="40"/>
      <c r="Q342" s="20">
        <f t="shared" ca="1" si="62"/>
        <v>834.89136490250701</v>
      </c>
      <c r="R342" s="1">
        <f t="shared" si="56"/>
        <v>9750</v>
      </c>
      <c r="S342" s="243">
        <f>IF(AND($K$2&gt;=DATEVALUE("03/04/2020"),$K$2&lt;=DATEVALUE("31/12/2020")),0,IF(Resumo!$C$19="PF",IF(R342&lt;360,0.0082%*R342,3%),IF(R342&lt;360,0.0041%*R342,1.5%)))</f>
        <v>1.4999999999999999E-2</v>
      </c>
      <c r="T342" s="172">
        <f t="shared" ca="1" si="63"/>
        <v>12.523370473537605</v>
      </c>
      <c r="X342" s="20">
        <f t="shared" ca="1" si="64"/>
        <v>1077.7078181356881</v>
      </c>
    </row>
    <row r="343" spans="2:24">
      <c r="B343" s="41">
        <f t="shared" si="57"/>
        <v>321</v>
      </c>
      <c r="C343" s="164">
        <f t="shared" ref="C343:C382" si="65">IF(B343&lt;&gt;"",EDATE($C$22,B343),"")</f>
        <v>54528</v>
      </c>
      <c r="D343" s="42">
        <f t="shared" ref="D343:D382" ca="1" si="66">IF(AND(B343&lt;&gt;"",L343&lt;&gt;$D$17,B343&gt;$D$16),VLOOKUP(IF($D$16=0,"I",$D$16),B:G,6,0)/($D$12-$E$17-$D$16),0)</f>
        <v>842.74931039701278</v>
      </c>
      <c r="E343" s="42">
        <f t="shared" ca="1" si="59"/>
        <v>229.22781242797564</v>
      </c>
      <c r="F343" s="42">
        <f t="shared" ref="F343:F382" ca="1" si="67">D343+E343</f>
        <v>1071.9771228249883</v>
      </c>
      <c r="G343" s="42">
        <f ca="1">IF(B343&lt;=$D$16,G342*(1+$D$13)^((C343-C342)/_xlfn.DAYS(EDATE(C342,1),C342)),G342-D343)+IF(B343&lt;=$D$16,G342*Resumo!$F$12,0)+IF(B343&lt;=$D$16,$D$15*Resumo!$F$13,0)+IF(B343&lt;=$D$16,25,0)-IF(AND($D$16&gt;3,B343&lt;=$D$16),K343,0)</f>
        <v>32867.22310548176</v>
      </c>
      <c r="H343" s="42">
        <f ca="1">IF(AND(B343&lt;&gt;"",L343&lt;&gt;$D$17,$D$16&gt;3),G343*Resumo!$F$12,IF(AND(B343&lt;&gt;"",L343&lt;&gt;$D$17,B343&gt;$D$16),G343*Resumo!$F$12,0))</f>
        <v>6.9021168521511695</v>
      </c>
      <c r="I343" s="42">
        <f>IF(AND(B343&lt;&gt;"",L343&lt;&gt;$D$17,$D$16&gt;3,$B343&lt;=$D$16),$D$15*Resumo!$F$13,IF(AND(B343&lt;&gt;"",L343&lt;&gt;$D$17,B343&gt;$D$16),$D$15*Resumo!$F$13,0))</f>
        <v>34.369999999999997</v>
      </c>
      <c r="J343" s="42">
        <f>IF(AND(B343&lt;&gt;"",L343&lt;&gt;$D$17,$D$16&gt;3,$B343&lt;=$D$16),Resumo!$F$11,IF(AND(B343&lt;&gt;"",L343&lt;&gt;$D$17,B343&gt;$D$16),Resumo!$F$11,0))</f>
        <v>25</v>
      </c>
      <c r="K343" s="42">
        <f t="shared" ref="K343:K382" ca="1" si="68">IF(B343&lt;&gt;"",D343+E343+H343+I343+J343,"")</f>
        <v>1138.2492396771395</v>
      </c>
      <c r="L343" s="39" t="str">
        <f>IF(B343&lt;&gt;"",VLOOKUP(MONTH(C343),Sheet2!$F$1:$G$12,2,0),"")</f>
        <v>Abril</v>
      </c>
      <c r="M343" s="200">
        <f t="shared" ref="M343:M382" ca="1" si="69">IF(AND(M342=0,K343&gt;K342),C343,0)</f>
        <v>0</v>
      </c>
      <c r="N343" s="40">
        <f t="shared" ref="N343:N382" ca="1" si="70">D343+E343</f>
        <v>1071.9771228249883</v>
      </c>
      <c r="O343" s="40">
        <f t="shared" ref="O343:O382" ca="1" si="71">K343</f>
        <v>1138.2492396771395</v>
      </c>
      <c r="P343" s="40"/>
      <c r="Q343" s="20">
        <f t="shared" ref="Q343:Q382" ca="1" si="72">IF(D343=0,0,$G$21/($D$12-$E$17-$D$16))</f>
        <v>834.89136490250701</v>
      </c>
      <c r="R343" s="1">
        <f t="shared" ref="R343:R382" si="73">IFERROR(C343-$K$2,0)</f>
        <v>9781</v>
      </c>
      <c r="S343" s="243">
        <f>IF(AND($K$2&gt;=DATEVALUE("03/04/2020"),$K$2&lt;=DATEVALUE("31/12/2020")),0,IF(Resumo!$C$19="PF",IF(R343&lt;360,0.0082%*R343,3%),IF(R343&lt;360,0.0041%*R343,1.5%)))</f>
        <v>1.4999999999999999E-2</v>
      </c>
      <c r="T343" s="172">
        <f t="shared" ref="T343:T382" ca="1" si="74">S343*Q343</f>
        <v>12.523370473537605</v>
      </c>
    </row>
    <row r="344" spans="2:24">
      <c r="B344" s="41">
        <f t="shared" ref="B344:B382" si="75">IF(B343&lt;$D$12,B343+1,"")</f>
        <v>322</v>
      </c>
      <c r="C344" s="164">
        <f t="shared" si="65"/>
        <v>54558</v>
      </c>
      <c r="D344" s="42">
        <f t="shared" ca="1" si="66"/>
        <v>842.74931039701278</v>
      </c>
      <c r="E344" s="42">
        <f t="shared" ref="E344:E382" ca="1" si="76">IF(AND(B344&lt;&gt;"",L344&lt;&gt;$D$17,B344&lt;$D$16,$D$16&lt;4),0,IF(AND(B344&lt;&gt;"",L344&lt;&gt;$D$17,B344&lt;=$D$16,$D$16&gt;3),G343*$D$13,IF(AND(B344&lt;&gt;"",L344&lt;&gt;$D$17,B344&gt;$D$16),G343*$D$13,0)))</f>
        <v>223.49711711727596</v>
      </c>
      <c r="F344" s="42">
        <f t="shared" ca="1" si="67"/>
        <v>1066.2464275142888</v>
      </c>
      <c r="G344" s="42">
        <f ca="1">IF(B344&lt;=$D$16,G343*(1+$D$13)^((C344-C343)/_xlfn.DAYS(EDATE(C343,1),C343)),G343-D344)+IF(B344&lt;=$D$16,G343*Resumo!$F$12,0)+IF(B344&lt;=$D$16,$D$15*Resumo!$F$13,0)+IF(B344&lt;=$D$16,25,0)-IF(AND($D$16&gt;3,B344&lt;=$D$16),K344,0)</f>
        <v>32024.473795084748</v>
      </c>
      <c r="H344" s="42">
        <f ca="1">IF(AND(B344&lt;&gt;"",L344&lt;&gt;$D$17,$D$16&gt;3),G344*Resumo!$F$12,IF(AND(B344&lt;&gt;"",L344&lt;&gt;$D$17,B344&gt;$D$16),G344*Resumo!$F$12,0))</f>
        <v>6.7251394969677971</v>
      </c>
      <c r="I344" s="42">
        <f>IF(AND(B344&lt;&gt;"",L344&lt;&gt;$D$17,$D$16&gt;3,$B344&lt;=$D$16),$D$15*Resumo!$F$13,IF(AND(B344&lt;&gt;"",L344&lt;&gt;$D$17,B344&gt;$D$16),$D$15*Resumo!$F$13,0))</f>
        <v>34.369999999999997</v>
      </c>
      <c r="J344" s="42">
        <f>IF(AND(B344&lt;&gt;"",L344&lt;&gt;$D$17,$D$16&gt;3,$B344&lt;=$D$16),Resumo!$F$11,IF(AND(B344&lt;&gt;"",L344&lt;&gt;$D$17,B344&gt;$D$16),Resumo!$F$11,0))</f>
        <v>25</v>
      </c>
      <c r="K344" s="42">
        <f t="shared" ca="1" si="68"/>
        <v>1132.3415670112565</v>
      </c>
      <c r="L344" s="39" t="str">
        <f>IF(B344&lt;&gt;"",VLOOKUP(MONTH(C344),Sheet2!$F$1:$G$12,2,0),"")</f>
        <v>Maio</v>
      </c>
      <c r="M344" s="200">
        <f t="shared" ca="1" si="69"/>
        <v>0</v>
      </c>
      <c r="N344" s="40">
        <f t="shared" ca="1" si="70"/>
        <v>1066.2464275142888</v>
      </c>
      <c r="O344" s="40">
        <f t="shared" ca="1" si="71"/>
        <v>1132.3415670112565</v>
      </c>
      <c r="P344" s="40"/>
      <c r="Q344" s="20">
        <f t="shared" ca="1" si="72"/>
        <v>834.89136490250701</v>
      </c>
      <c r="R344" s="1">
        <f t="shared" si="73"/>
        <v>9811</v>
      </c>
      <c r="S344" s="243">
        <f>IF(AND($K$2&gt;=DATEVALUE("03/04/2020"),$K$2&lt;=DATEVALUE("31/12/2020")),0,IF(Resumo!$C$19="PF",IF(R344&lt;360,0.0082%*R344,3%),IF(R344&lt;360,0.0041%*R344,1.5%)))</f>
        <v>1.4999999999999999E-2</v>
      </c>
      <c r="T344" s="172">
        <f t="shared" ca="1" si="74"/>
        <v>12.523370473537605</v>
      </c>
    </row>
    <row r="345" spans="2:24">
      <c r="B345" s="41">
        <f t="shared" si="75"/>
        <v>323</v>
      </c>
      <c r="C345" s="164">
        <f t="shared" si="65"/>
        <v>54589</v>
      </c>
      <c r="D345" s="42">
        <f t="shared" ca="1" si="66"/>
        <v>842.74931039701278</v>
      </c>
      <c r="E345" s="42">
        <f t="shared" ca="1" si="76"/>
        <v>217.76642180657629</v>
      </c>
      <c r="F345" s="42">
        <f t="shared" ca="1" si="67"/>
        <v>1060.5157322035891</v>
      </c>
      <c r="G345" s="42">
        <f ca="1">IF(B345&lt;=$D$16,G344*(1+$D$13)^((C345-C344)/_xlfn.DAYS(EDATE(C344,1),C344)),G344-D345)+IF(B345&lt;=$D$16,G344*Resumo!$F$12,0)+IF(B345&lt;=$D$16,$D$15*Resumo!$F$13,0)+IF(B345&lt;=$D$16,25,0)-IF(AND($D$16&gt;3,B345&lt;=$D$16),K345,0)</f>
        <v>31181.724484687737</v>
      </c>
      <c r="H345" s="42">
        <f ca="1">IF(AND(B345&lt;&gt;"",L345&lt;&gt;$D$17,$D$16&gt;3),G345*Resumo!$F$12,IF(AND(B345&lt;&gt;"",L345&lt;&gt;$D$17,B345&gt;$D$16),G345*Resumo!$F$12,0))</f>
        <v>6.5481621417844247</v>
      </c>
      <c r="I345" s="42">
        <f>IF(AND(B345&lt;&gt;"",L345&lt;&gt;$D$17,$D$16&gt;3,$B345&lt;=$D$16),$D$15*Resumo!$F$13,IF(AND(B345&lt;&gt;"",L345&lt;&gt;$D$17,B345&gt;$D$16),$D$15*Resumo!$F$13,0))</f>
        <v>34.369999999999997</v>
      </c>
      <c r="J345" s="42">
        <f>IF(AND(B345&lt;&gt;"",L345&lt;&gt;$D$17,$D$16&gt;3,$B345&lt;=$D$16),Resumo!$F$11,IF(AND(B345&lt;&gt;"",L345&lt;&gt;$D$17,B345&gt;$D$16),Resumo!$F$11,0))</f>
        <v>25</v>
      </c>
      <c r="K345" s="42">
        <f t="shared" ca="1" si="68"/>
        <v>1126.4338943453733</v>
      </c>
      <c r="L345" s="39" t="str">
        <f>IF(B345&lt;&gt;"",VLOOKUP(MONTH(C345),Sheet2!$F$1:$G$12,2,0),"")</f>
        <v>Junho</v>
      </c>
      <c r="M345" s="200">
        <f t="shared" ca="1" si="69"/>
        <v>0</v>
      </c>
      <c r="N345" s="40">
        <f t="shared" ca="1" si="70"/>
        <v>1060.5157322035891</v>
      </c>
      <c r="O345" s="40">
        <f t="shared" ca="1" si="71"/>
        <v>1126.4338943453733</v>
      </c>
      <c r="P345" s="40"/>
      <c r="Q345" s="20">
        <f t="shared" ca="1" si="72"/>
        <v>834.89136490250701</v>
      </c>
      <c r="R345" s="1">
        <f t="shared" si="73"/>
        <v>9842</v>
      </c>
      <c r="S345" s="243">
        <f>IF(AND($K$2&gt;=DATEVALUE("03/04/2020"),$K$2&lt;=DATEVALUE("31/12/2020")),0,IF(Resumo!$C$19="PF",IF(R345&lt;360,0.0082%*R345,3%),IF(R345&lt;360,0.0041%*R345,1.5%)))</f>
        <v>1.4999999999999999E-2</v>
      </c>
      <c r="T345" s="172">
        <f t="shared" ca="1" si="74"/>
        <v>12.523370473537605</v>
      </c>
    </row>
    <row r="346" spans="2:24">
      <c r="B346" s="41">
        <f t="shared" si="75"/>
        <v>324</v>
      </c>
      <c r="C346" s="164">
        <f t="shared" si="65"/>
        <v>54619</v>
      </c>
      <c r="D346" s="42">
        <f t="shared" ca="1" si="66"/>
        <v>842.74931039701278</v>
      </c>
      <c r="E346" s="42">
        <f t="shared" ca="1" si="76"/>
        <v>212.03572649587659</v>
      </c>
      <c r="F346" s="42">
        <f t="shared" ca="1" si="67"/>
        <v>1054.7850368928894</v>
      </c>
      <c r="G346" s="42">
        <f ca="1">IF(B346&lt;=$D$16,G345*(1+$D$13)^((C346-C345)/_xlfn.DAYS(EDATE(C345,1),C345)),G345-D346)+IF(B346&lt;=$D$16,G345*Resumo!$F$12,0)+IF(B346&lt;=$D$16,$D$15*Resumo!$F$13,0)+IF(B346&lt;=$D$16,25,0)-IF(AND($D$16&gt;3,B346&lt;=$D$16),K346,0)</f>
        <v>30338.975174290725</v>
      </c>
      <c r="H346" s="42">
        <f ca="1">IF(AND(B346&lt;&gt;"",L346&lt;&gt;$D$17,$D$16&gt;3),G346*Resumo!$F$12,IF(AND(B346&lt;&gt;"",L346&lt;&gt;$D$17,B346&gt;$D$16),G346*Resumo!$F$12,0))</f>
        <v>6.3711847866010523</v>
      </c>
      <c r="I346" s="42">
        <f>IF(AND(B346&lt;&gt;"",L346&lt;&gt;$D$17,$D$16&gt;3,$B346&lt;=$D$16),$D$15*Resumo!$F$13,IF(AND(B346&lt;&gt;"",L346&lt;&gt;$D$17,B346&gt;$D$16),$D$15*Resumo!$F$13,0))</f>
        <v>34.369999999999997</v>
      </c>
      <c r="J346" s="42">
        <f>IF(AND(B346&lt;&gt;"",L346&lt;&gt;$D$17,$D$16&gt;3,$B346&lt;=$D$16),Resumo!$F$11,IF(AND(B346&lt;&gt;"",L346&lt;&gt;$D$17,B346&gt;$D$16),Resumo!$F$11,0))</f>
        <v>25</v>
      </c>
      <c r="K346" s="42">
        <f t="shared" ca="1" si="68"/>
        <v>1120.5262216794904</v>
      </c>
      <c r="L346" s="39" t="str">
        <f>IF(B346&lt;&gt;"",VLOOKUP(MONTH(C346),Sheet2!$F$1:$G$12,2,0),"")</f>
        <v>Julho</v>
      </c>
      <c r="M346" s="200">
        <f t="shared" ca="1" si="69"/>
        <v>0</v>
      </c>
      <c r="N346" s="40">
        <f t="shared" ca="1" si="70"/>
        <v>1054.7850368928894</v>
      </c>
      <c r="O346" s="40">
        <f t="shared" ca="1" si="71"/>
        <v>1120.5262216794904</v>
      </c>
      <c r="P346" s="40"/>
      <c r="Q346" s="20">
        <f t="shared" ca="1" si="72"/>
        <v>834.89136490250701</v>
      </c>
      <c r="R346" s="1">
        <f t="shared" si="73"/>
        <v>9872</v>
      </c>
      <c r="S346" s="243">
        <f>IF(AND($K$2&gt;=DATEVALUE("03/04/2020"),$K$2&lt;=DATEVALUE("31/12/2020")),0,IF(Resumo!$C$19="PF",IF(R346&lt;360,0.0082%*R346,3%),IF(R346&lt;360,0.0041%*R346,1.5%)))</f>
        <v>1.4999999999999999E-2</v>
      </c>
      <c r="T346" s="172">
        <f t="shared" ca="1" si="74"/>
        <v>12.523370473537605</v>
      </c>
    </row>
    <row r="347" spans="2:24">
      <c r="B347" s="41">
        <f t="shared" si="75"/>
        <v>325</v>
      </c>
      <c r="C347" s="164">
        <f t="shared" si="65"/>
        <v>54650</v>
      </c>
      <c r="D347" s="42">
        <f t="shared" ca="1" si="66"/>
        <v>842.74931039701278</v>
      </c>
      <c r="E347" s="42">
        <f t="shared" ca="1" si="76"/>
        <v>206.30503118517692</v>
      </c>
      <c r="F347" s="42">
        <f t="shared" ca="1" si="67"/>
        <v>1049.0543415821896</v>
      </c>
      <c r="G347" s="42">
        <f ca="1">IF(B347&lt;=$D$16,G346*(1+$D$13)^((C347-C346)/_xlfn.DAYS(EDATE(C346,1),C346)),G346-D347)+IF(B347&lt;=$D$16,G346*Resumo!$F$12,0)+IF(B347&lt;=$D$16,$D$15*Resumo!$F$13,0)+IF(B347&lt;=$D$16,25,0)-IF(AND($D$16&gt;3,B347&lt;=$D$16),K347,0)</f>
        <v>29496.225863893713</v>
      </c>
      <c r="H347" s="42">
        <f ca="1">IF(AND(B347&lt;&gt;"",L347&lt;&gt;$D$17,$D$16&gt;3),G347*Resumo!$F$12,IF(AND(B347&lt;&gt;"",L347&lt;&gt;$D$17,B347&gt;$D$16),G347*Resumo!$F$12,0))</f>
        <v>6.1942074314176798</v>
      </c>
      <c r="I347" s="42">
        <f>IF(AND(B347&lt;&gt;"",L347&lt;&gt;$D$17,$D$16&gt;3,$B347&lt;=$D$16),$D$15*Resumo!$F$13,IF(AND(B347&lt;&gt;"",L347&lt;&gt;$D$17,B347&gt;$D$16),$D$15*Resumo!$F$13,0))</f>
        <v>34.369999999999997</v>
      </c>
      <c r="J347" s="42">
        <f>IF(AND(B347&lt;&gt;"",L347&lt;&gt;$D$17,$D$16&gt;3,$B347&lt;=$D$16),Resumo!$F$11,IF(AND(B347&lt;&gt;"",L347&lt;&gt;$D$17,B347&gt;$D$16),Resumo!$F$11,0))</f>
        <v>25</v>
      </c>
      <c r="K347" s="42">
        <f t="shared" ca="1" si="68"/>
        <v>1114.6185490136072</v>
      </c>
      <c r="L347" s="39" t="str">
        <f>IF(B347&lt;&gt;"",VLOOKUP(MONTH(C347),Sheet2!$F$1:$G$12,2,0),"")</f>
        <v>Agosto</v>
      </c>
      <c r="M347" s="200">
        <f t="shared" ca="1" si="69"/>
        <v>0</v>
      </c>
      <c r="N347" s="40">
        <f t="shared" ca="1" si="70"/>
        <v>1049.0543415821896</v>
      </c>
      <c r="O347" s="40">
        <f t="shared" ca="1" si="71"/>
        <v>1114.6185490136072</v>
      </c>
      <c r="P347" s="40"/>
      <c r="Q347" s="20">
        <f t="shared" ca="1" si="72"/>
        <v>834.89136490250701</v>
      </c>
      <c r="R347" s="1">
        <f t="shared" si="73"/>
        <v>9903</v>
      </c>
      <c r="S347" s="243">
        <f>IF(AND($K$2&gt;=DATEVALUE("03/04/2020"),$K$2&lt;=DATEVALUE("31/12/2020")),0,IF(Resumo!$C$19="PF",IF(R347&lt;360,0.0082%*R347,3%),IF(R347&lt;360,0.0041%*R347,1.5%)))</f>
        <v>1.4999999999999999E-2</v>
      </c>
      <c r="T347" s="172">
        <f t="shared" ca="1" si="74"/>
        <v>12.523370473537605</v>
      </c>
    </row>
    <row r="348" spans="2:24">
      <c r="B348" s="41">
        <f t="shared" si="75"/>
        <v>326</v>
      </c>
      <c r="C348" s="164">
        <f t="shared" si="65"/>
        <v>54681</v>
      </c>
      <c r="D348" s="42">
        <f t="shared" ca="1" si="66"/>
        <v>842.74931039701278</v>
      </c>
      <c r="E348" s="42">
        <f t="shared" ca="1" si="76"/>
        <v>200.57433587447724</v>
      </c>
      <c r="F348" s="42">
        <f t="shared" ca="1" si="67"/>
        <v>1043.3236462714899</v>
      </c>
      <c r="G348" s="42">
        <f ca="1">IF(B348&lt;=$D$16,G347*(1+$D$13)^((C348-C347)/_xlfn.DAYS(EDATE(C347,1),C347)),G347-D348)+IF(B348&lt;=$D$16,G347*Resumo!$F$12,0)+IF(B348&lt;=$D$16,$D$15*Resumo!$F$13,0)+IF(B348&lt;=$D$16,25,0)-IF(AND($D$16&gt;3,B348&lt;=$D$16),K348,0)</f>
        <v>28653.476553496701</v>
      </c>
      <c r="H348" s="42">
        <f ca="1">IF(AND(B348&lt;&gt;"",L348&lt;&gt;$D$17,$D$16&gt;3),G348*Resumo!$F$12,IF(AND(B348&lt;&gt;"",L348&lt;&gt;$D$17,B348&gt;$D$16),G348*Resumo!$F$12,0))</f>
        <v>6.0172300762343074</v>
      </c>
      <c r="I348" s="42">
        <f>IF(AND(B348&lt;&gt;"",L348&lt;&gt;$D$17,$D$16&gt;3,$B348&lt;=$D$16),$D$15*Resumo!$F$13,IF(AND(B348&lt;&gt;"",L348&lt;&gt;$D$17,B348&gt;$D$16),$D$15*Resumo!$F$13,0))</f>
        <v>34.369999999999997</v>
      </c>
      <c r="J348" s="42">
        <f>IF(AND(B348&lt;&gt;"",L348&lt;&gt;$D$17,$D$16&gt;3,$B348&lt;=$D$16),Resumo!$F$11,IF(AND(B348&lt;&gt;"",L348&lt;&gt;$D$17,B348&gt;$D$16),Resumo!$F$11,0))</f>
        <v>25</v>
      </c>
      <c r="K348" s="42">
        <f t="shared" ca="1" si="68"/>
        <v>1108.710876347724</v>
      </c>
      <c r="L348" s="39" t="str">
        <f>IF(B348&lt;&gt;"",VLOOKUP(MONTH(C348),Sheet2!$F$1:$G$12,2,0),"")</f>
        <v>Setembro</v>
      </c>
      <c r="M348" s="200">
        <f t="shared" ca="1" si="69"/>
        <v>0</v>
      </c>
      <c r="N348" s="40">
        <f t="shared" ca="1" si="70"/>
        <v>1043.3236462714899</v>
      </c>
      <c r="O348" s="40">
        <f t="shared" ca="1" si="71"/>
        <v>1108.710876347724</v>
      </c>
      <c r="P348" s="40"/>
      <c r="Q348" s="20">
        <f t="shared" ca="1" si="72"/>
        <v>834.89136490250701</v>
      </c>
      <c r="R348" s="1">
        <f t="shared" si="73"/>
        <v>9934</v>
      </c>
      <c r="S348" s="243">
        <f>IF(AND($K$2&gt;=DATEVALUE("03/04/2020"),$K$2&lt;=DATEVALUE("31/12/2020")),0,IF(Resumo!$C$19="PF",IF(R348&lt;360,0.0082%*R348,3%),IF(R348&lt;360,0.0041%*R348,1.5%)))</f>
        <v>1.4999999999999999E-2</v>
      </c>
      <c r="T348" s="172">
        <f t="shared" ca="1" si="74"/>
        <v>12.523370473537605</v>
      </c>
    </row>
    <row r="349" spans="2:24">
      <c r="B349" s="41">
        <f t="shared" si="75"/>
        <v>327</v>
      </c>
      <c r="C349" s="164">
        <f t="shared" si="65"/>
        <v>54711</v>
      </c>
      <c r="D349" s="42">
        <f t="shared" ca="1" si="66"/>
        <v>842.74931039701278</v>
      </c>
      <c r="E349" s="42">
        <f t="shared" ca="1" si="76"/>
        <v>194.84364056377757</v>
      </c>
      <c r="F349" s="42">
        <f t="shared" ca="1" si="67"/>
        <v>1037.5929509607904</v>
      </c>
      <c r="G349" s="42">
        <f ca="1">IF(B349&lt;=$D$16,G348*(1+$D$13)^((C349-C348)/_xlfn.DAYS(EDATE(C348,1),C348)),G348-D349)+IF(B349&lt;=$D$16,G348*Resumo!$F$12,0)+IF(B349&lt;=$D$16,$D$15*Resumo!$F$13,0)+IF(B349&lt;=$D$16,25,0)-IF(AND($D$16&gt;3,B349&lt;=$D$16),K349,0)</f>
        <v>27810.727243099689</v>
      </c>
      <c r="H349" s="42">
        <f ca="1">IF(AND(B349&lt;&gt;"",L349&lt;&gt;$D$17,$D$16&gt;3),G349*Resumo!$F$12,IF(AND(B349&lt;&gt;"",L349&lt;&gt;$D$17,B349&gt;$D$16),G349*Resumo!$F$12,0))</f>
        <v>5.840252721050935</v>
      </c>
      <c r="I349" s="42">
        <f>IF(AND(B349&lt;&gt;"",L349&lt;&gt;$D$17,$D$16&gt;3,$B349&lt;=$D$16),$D$15*Resumo!$F$13,IF(AND(B349&lt;&gt;"",L349&lt;&gt;$D$17,B349&gt;$D$16),$D$15*Resumo!$F$13,0))</f>
        <v>34.369999999999997</v>
      </c>
      <c r="J349" s="42">
        <f>IF(AND(B349&lt;&gt;"",L349&lt;&gt;$D$17,$D$16&gt;3,$B349&lt;=$D$16),Resumo!$F$11,IF(AND(B349&lt;&gt;"",L349&lt;&gt;$D$17,B349&gt;$D$16),Resumo!$F$11,0))</f>
        <v>25</v>
      </c>
      <c r="K349" s="42">
        <f t="shared" ca="1" si="68"/>
        <v>1102.8032036818413</v>
      </c>
      <c r="L349" s="39" t="str">
        <f>IF(B349&lt;&gt;"",VLOOKUP(MONTH(C349),Sheet2!$F$1:$G$12,2,0),"")</f>
        <v>Outubro</v>
      </c>
      <c r="M349" s="200">
        <f t="shared" ca="1" si="69"/>
        <v>0</v>
      </c>
      <c r="N349" s="40">
        <f t="shared" ca="1" si="70"/>
        <v>1037.5929509607904</v>
      </c>
      <c r="O349" s="40">
        <f t="shared" ca="1" si="71"/>
        <v>1102.8032036818413</v>
      </c>
      <c r="P349" s="40"/>
      <c r="Q349" s="20">
        <f t="shared" ca="1" si="72"/>
        <v>834.89136490250701</v>
      </c>
      <c r="R349" s="1">
        <f t="shared" si="73"/>
        <v>9964</v>
      </c>
      <c r="S349" s="243">
        <f>IF(AND($K$2&gt;=DATEVALUE("03/04/2020"),$K$2&lt;=DATEVALUE("31/12/2020")),0,IF(Resumo!$C$19="PF",IF(R349&lt;360,0.0082%*R349,3%),IF(R349&lt;360,0.0041%*R349,1.5%)))</f>
        <v>1.4999999999999999E-2</v>
      </c>
      <c r="T349" s="172">
        <f t="shared" ca="1" si="74"/>
        <v>12.523370473537605</v>
      </c>
    </row>
    <row r="350" spans="2:24">
      <c r="B350" s="41">
        <f t="shared" si="75"/>
        <v>328</v>
      </c>
      <c r="C350" s="164">
        <f t="shared" si="65"/>
        <v>54742</v>
      </c>
      <c r="D350" s="42">
        <f t="shared" ca="1" si="66"/>
        <v>842.74931039701278</v>
      </c>
      <c r="E350" s="42">
        <f t="shared" ca="1" si="76"/>
        <v>189.11294525307787</v>
      </c>
      <c r="F350" s="42">
        <f t="shared" ca="1" si="67"/>
        <v>1031.8622556500907</v>
      </c>
      <c r="G350" s="42">
        <f ca="1">IF(B350&lt;=$D$16,G349*(1+$D$13)^((C350-C349)/_xlfn.DAYS(EDATE(C349,1),C349)),G349-D350)+IF(B350&lt;=$D$16,G349*Resumo!$F$12,0)+IF(B350&lt;=$D$16,$D$15*Resumo!$F$13,0)+IF(B350&lt;=$D$16,25,0)-IF(AND($D$16&gt;3,B350&lt;=$D$16),K350,0)</f>
        <v>26967.977932702677</v>
      </c>
      <c r="H350" s="42">
        <f ca="1">IF(AND(B350&lt;&gt;"",L350&lt;&gt;$D$17,$D$16&gt;3),G350*Resumo!$F$12,IF(AND(B350&lt;&gt;"",L350&lt;&gt;$D$17,B350&gt;$D$16),G350*Resumo!$F$12,0))</f>
        <v>5.6632753658675625</v>
      </c>
      <c r="I350" s="42">
        <f>IF(AND(B350&lt;&gt;"",L350&lt;&gt;$D$17,$D$16&gt;3,$B350&lt;=$D$16),$D$15*Resumo!$F$13,IF(AND(B350&lt;&gt;"",L350&lt;&gt;$D$17,B350&gt;$D$16),$D$15*Resumo!$F$13,0))</f>
        <v>34.369999999999997</v>
      </c>
      <c r="J350" s="42">
        <f>IF(AND(B350&lt;&gt;"",L350&lt;&gt;$D$17,$D$16&gt;3,$B350&lt;=$D$16),Resumo!$F$11,IF(AND(B350&lt;&gt;"",L350&lt;&gt;$D$17,B350&gt;$D$16),Resumo!$F$11,0))</f>
        <v>25</v>
      </c>
      <c r="K350" s="42">
        <f t="shared" ca="1" si="68"/>
        <v>1096.8955310159581</v>
      </c>
      <c r="L350" s="39" t="str">
        <f>IF(B350&lt;&gt;"",VLOOKUP(MONTH(C350),Sheet2!$F$1:$G$12,2,0),"")</f>
        <v>Novembro</v>
      </c>
      <c r="M350" s="200">
        <f t="shared" ca="1" si="69"/>
        <v>0</v>
      </c>
      <c r="N350" s="40">
        <f t="shared" ca="1" si="70"/>
        <v>1031.8622556500907</v>
      </c>
      <c r="O350" s="40">
        <f t="shared" ca="1" si="71"/>
        <v>1096.8955310159581</v>
      </c>
      <c r="P350" s="40"/>
      <c r="Q350" s="20">
        <f t="shared" ca="1" si="72"/>
        <v>834.89136490250701</v>
      </c>
      <c r="R350" s="1">
        <f t="shared" si="73"/>
        <v>9995</v>
      </c>
      <c r="S350" s="243">
        <f>IF(AND($K$2&gt;=DATEVALUE("03/04/2020"),$K$2&lt;=DATEVALUE("31/12/2020")),0,IF(Resumo!$C$19="PF",IF(R350&lt;360,0.0082%*R350,3%),IF(R350&lt;360,0.0041%*R350,1.5%)))</f>
        <v>1.4999999999999999E-2</v>
      </c>
      <c r="T350" s="172">
        <f t="shared" ca="1" si="74"/>
        <v>12.523370473537605</v>
      </c>
    </row>
    <row r="351" spans="2:24">
      <c r="B351" s="41">
        <f t="shared" si="75"/>
        <v>329</v>
      </c>
      <c r="C351" s="164">
        <f t="shared" si="65"/>
        <v>54772</v>
      </c>
      <c r="D351" s="42">
        <f t="shared" ca="1" si="66"/>
        <v>842.74931039701278</v>
      </c>
      <c r="E351" s="42">
        <f t="shared" ca="1" si="76"/>
        <v>183.38224994237819</v>
      </c>
      <c r="F351" s="42">
        <f t="shared" ca="1" si="67"/>
        <v>1026.1315603393909</v>
      </c>
      <c r="G351" s="42">
        <f ca="1">IF(B351&lt;=$D$16,G350*(1+$D$13)^((C351-C350)/_xlfn.DAYS(EDATE(C350,1),C350)),G350-D351)+IF(B351&lt;=$D$16,G350*Resumo!$F$12,0)+IF(B351&lt;=$D$16,$D$15*Resumo!$F$13,0)+IF(B351&lt;=$D$16,25,0)-IF(AND($D$16&gt;3,B351&lt;=$D$16),K351,0)</f>
        <v>26125.228622305665</v>
      </c>
      <c r="H351" s="42">
        <f ca="1">IF(AND(B351&lt;&gt;"",L351&lt;&gt;$D$17,$D$16&gt;3),G351*Resumo!$F$12,IF(AND(B351&lt;&gt;"",L351&lt;&gt;$D$17,B351&gt;$D$16),G351*Resumo!$F$12,0))</f>
        <v>5.4862980106841901</v>
      </c>
      <c r="I351" s="42">
        <f>IF(AND(B351&lt;&gt;"",L351&lt;&gt;$D$17,$D$16&gt;3,$B351&lt;=$D$16),$D$15*Resumo!$F$13,IF(AND(B351&lt;&gt;"",L351&lt;&gt;$D$17,B351&gt;$D$16),$D$15*Resumo!$F$13,0))</f>
        <v>34.369999999999997</v>
      </c>
      <c r="J351" s="42">
        <f>IF(AND(B351&lt;&gt;"",L351&lt;&gt;$D$17,$D$16&gt;3,$B351&lt;=$D$16),Resumo!$F$11,IF(AND(B351&lt;&gt;"",L351&lt;&gt;$D$17,B351&gt;$D$16),Resumo!$F$11,0))</f>
        <v>25</v>
      </c>
      <c r="K351" s="42">
        <f t="shared" ca="1" si="68"/>
        <v>1090.9878583500749</v>
      </c>
      <c r="L351" s="39" t="str">
        <f>IF(B351&lt;&gt;"",VLOOKUP(MONTH(C351),Sheet2!$F$1:$G$12,2,0),"")</f>
        <v>Dezembro</v>
      </c>
      <c r="M351" s="200">
        <f t="shared" ca="1" si="69"/>
        <v>0</v>
      </c>
      <c r="N351" s="40">
        <f t="shared" ca="1" si="70"/>
        <v>1026.1315603393909</v>
      </c>
      <c r="O351" s="40">
        <f t="shared" ca="1" si="71"/>
        <v>1090.9878583500749</v>
      </c>
      <c r="P351" s="40"/>
      <c r="Q351" s="20">
        <f t="shared" ca="1" si="72"/>
        <v>834.89136490250701</v>
      </c>
      <c r="R351" s="1">
        <f t="shared" si="73"/>
        <v>10025</v>
      </c>
      <c r="S351" s="243">
        <f>IF(AND($K$2&gt;=DATEVALUE("03/04/2020"),$K$2&lt;=DATEVALUE("31/12/2020")),0,IF(Resumo!$C$19="PF",IF(R351&lt;360,0.0082%*R351,3%),IF(R351&lt;360,0.0041%*R351,1.5%)))</f>
        <v>1.4999999999999999E-2</v>
      </c>
      <c r="T351" s="172">
        <f t="shared" ca="1" si="74"/>
        <v>12.523370473537605</v>
      </c>
    </row>
    <row r="352" spans="2:24">
      <c r="B352" s="41">
        <f t="shared" si="75"/>
        <v>330</v>
      </c>
      <c r="C352" s="164">
        <f t="shared" si="65"/>
        <v>54803</v>
      </c>
      <c r="D352" s="42">
        <f t="shared" ca="1" si="66"/>
        <v>842.74931039701278</v>
      </c>
      <c r="E352" s="42">
        <f t="shared" ca="1" si="76"/>
        <v>177.65155463167852</v>
      </c>
      <c r="F352" s="42">
        <f t="shared" ca="1" si="67"/>
        <v>1020.4008650286913</v>
      </c>
      <c r="G352" s="42">
        <f ca="1">IF(B352&lt;=$D$16,G351*(1+$D$13)^((C352-C351)/_xlfn.DAYS(EDATE(C351,1),C351)),G351-D352)+IF(B352&lt;=$D$16,G351*Resumo!$F$12,0)+IF(B352&lt;=$D$16,$D$15*Resumo!$F$13,0)+IF(B352&lt;=$D$16,25,0)-IF(AND($D$16&gt;3,B352&lt;=$D$16),K352,0)</f>
        <v>25282.479311908653</v>
      </c>
      <c r="H352" s="42">
        <f ca="1">IF(AND(B352&lt;&gt;"",L352&lt;&gt;$D$17,$D$16&gt;3),G352*Resumo!$F$12,IF(AND(B352&lt;&gt;"",L352&lt;&gt;$D$17,B352&gt;$D$16),G352*Resumo!$F$12,0))</f>
        <v>5.3093206555008177</v>
      </c>
      <c r="I352" s="42">
        <f>IF(AND(B352&lt;&gt;"",L352&lt;&gt;$D$17,$D$16&gt;3,$B352&lt;=$D$16),$D$15*Resumo!$F$13,IF(AND(B352&lt;&gt;"",L352&lt;&gt;$D$17,B352&gt;$D$16),$D$15*Resumo!$F$13,0))</f>
        <v>34.369999999999997</v>
      </c>
      <c r="J352" s="42">
        <f>IF(AND(B352&lt;&gt;"",L352&lt;&gt;$D$17,$D$16&gt;3,$B352&lt;=$D$16),Resumo!$F$11,IF(AND(B352&lt;&gt;"",L352&lt;&gt;$D$17,B352&gt;$D$16),Resumo!$F$11,0))</f>
        <v>25</v>
      </c>
      <c r="K352" s="42">
        <f t="shared" ca="1" si="68"/>
        <v>1085.080185684192</v>
      </c>
      <c r="L352" s="39" t="str">
        <f>IF(B352&lt;&gt;"",VLOOKUP(MONTH(C352),Sheet2!$F$1:$G$12,2,0),"")</f>
        <v>Janeiro</v>
      </c>
      <c r="M352" s="200">
        <f t="shared" ca="1" si="69"/>
        <v>0</v>
      </c>
      <c r="N352" s="40">
        <f t="shared" ca="1" si="70"/>
        <v>1020.4008650286913</v>
      </c>
      <c r="O352" s="40">
        <f t="shared" ca="1" si="71"/>
        <v>1085.080185684192</v>
      </c>
      <c r="P352" s="40"/>
      <c r="Q352" s="20">
        <f t="shared" ca="1" si="72"/>
        <v>834.89136490250701</v>
      </c>
      <c r="R352" s="1">
        <f t="shared" si="73"/>
        <v>10056</v>
      </c>
      <c r="S352" s="243">
        <f>IF(AND($K$2&gt;=DATEVALUE("03/04/2020"),$K$2&lt;=DATEVALUE("31/12/2020")),0,IF(Resumo!$C$19="PF",IF(R352&lt;360,0.0082%*R352,3%),IF(R352&lt;360,0.0041%*R352,1.5%)))</f>
        <v>1.4999999999999999E-2</v>
      </c>
      <c r="T352" s="172">
        <f t="shared" ca="1" si="74"/>
        <v>12.523370473537605</v>
      </c>
    </row>
    <row r="353" spans="2:20">
      <c r="B353" s="41">
        <f t="shared" si="75"/>
        <v>331</v>
      </c>
      <c r="C353" s="164">
        <f t="shared" si="65"/>
        <v>54834</v>
      </c>
      <c r="D353" s="42">
        <f t="shared" ca="1" si="66"/>
        <v>842.74931039701278</v>
      </c>
      <c r="E353" s="42">
        <f t="shared" ca="1" si="76"/>
        <v>171.92085932097882</v>
      </c>
      <c r="F353" s="42">
        <f t="shared" ca="1" si="67"/>
        <v>1014.6701697179916</v>
      </c>
      <c r="G353" s="42">
        <f ca="1">IF(B353&lt;=$D$16,G352*(1+$D$13)^((C353-C352)/_xlfn.DAYS(EDATE(C352,1),C352)),G352-D353)+IF(B353&lt;=$D$16,G352*Resumo!$F$12,0)+IF(B353&lt;=$D$16,$D$15*Resumo!$F$13,0)+IF(B353&lt;=$D$16,25,0)-IF(AND($D$16&gt;3,B353&lt;=$D$16),K353,0)</f>
        <v>24439.730001511642</v>
      </c>
      <c r="H353" s="42">
        <f ca="1">IF(AND(B353&lt;&gt;"",L353&lt;&gt;$D$17,$D$16&gt;3),G353*Resumo!$F$12,IF(AND(B353&lt;&gt;"",L353&lt;&gt;$D$17,B353&gt;$D$16),G353*Resumo!$F$12,0))</f>
        <v>5.1323433003174452</v>
      </c>
      <c r="I353" s="42">
        <f>IF(AND(B353&lt;&gt;"",L353&lt;&gt;$D$17,$D$16&gt;3,$B353&lt;=$D$16),$D$15*Resumo!$F$13,IF(AND(B353&lt;&gt;"",L353&lt;&gt;$D$17,B353&gt;$D$16),$D$15*Resumo!$F$13,0))</f>
        <v>34.369999999999997</v>
      </c>
      <c r="J353" s="42">
        <f>IF(AND(B353&lt;&gt;"",L353&lt;&gt;$D$17,$D$16&gt;3,$B353&lt;=$D$16),Resumo!$F$11,IF(AND(B353&lt;&gt;"",L353&lt;&gt;$D$17,B353&gt;$D$16),Resumo!$F$11,0))</f>
        <v>25</v>
      </c>
      <c r="K353" s="42">
        <f t="shared" ca="1" si="68"/>
        <v>1079.172513018309</v>
      </c>
      <c r="L353" s="39" t="str">
        <f>IF(B353&lt;&gt;"",VLOOKUP(MONTH(C353),Sheet2!$F$1:$G$12,2,0),"")</f>
        <v>Fevereiro</v>
      </c>
      <c r="M353" s="200">
        <f t="shared" ca="1" si="69"/>
        <v>0</v>
      </c>
      <c r="N353" s="40">
        <f t="shared" ca="1" si="70"/>
        <v>1014.6701697179916</v>
      </c>
      <c r="O353" s="40">
        <f t="shared" ca="1" si="71"/>
        <v>1079.172513018309</v>
      </c>
      <c r="P353" s="40"/>
      <c r="Q353" s="20">
        <f t="shared" ca="1" si="72"/>
        <v>834.89136490250701</v>
      </c>
      <c r="R353" s="1">
        <f t="shared" si="73"/>
        <v>10087</v>
      </c>
      <c r="S353" s="243">
        <f>IF(AND($K$2&gt;=DATEVALUE("03/04/2020"),$K$2&lt;=DATEVALUE("31/12/2020")),0,IF(Resumo!$C$19="PF",IF(R353&lt;360,0.0082%*R353,3%),IF(R353&lt;360,0.0041%*R353,1.5%)))</f>
        <v>1.4999999999999999E-2</v>
      </c>
      <c r="T353" s="172">
        <f t="shared" ca="1" si="74"/>
        <v>12.523370473537605</v>
      </c>
    </row>
    <row r="354" spans="2:20">
      <c r="B354" s="41">
        <f t="shared" si="75"/>
        <v>332</v>
      </c>
      <c r="C354" s="164">
        <f t="shared" si="65"/>
        <v>54862</v>
      </c>
      <c r="D354" s="42">
        <f t="shared" ca="1" si="66"/>
        <v>842.74931039701278</v>
      </c>
      <c r="E354" s="42">
        <f t="shared" ca="1" si="76"/>
        <v>166.19016401027915</v>
      </c>
      <c r="F354" s="42">
        <f t="shared" ca="1" si="67"/>
        <v>1008.939474407292</v>
      </c>
      <c r="G354" s="42">
        <f ca="1">IF(B354&lt;=$D$16,G353*(1+$D$13)^((C354-C353)/_xlfn.DAYS(EDATE(C353,1),C353)),G353-D354)+IF(B354&lt;=$D$16,G353*Resumo!$F$12,0)+IF(B354&lt;=$D$16,$D$15*Resumo!$F$13,0)+IF(B354&lt;=$D$16,25,0)-IF(AND($D$16&gt;3,B354&lt;=$D$16),K354,0)</f>
        <v>23596.98069111463</v>
      </c>
      <c r="H354" s="42">
        <f ca="1">IF(AND(B354&lt;&gt;"",L354&lt;&gt;$D$17,$D$16&gt;3),G354*Resumo!$F$12,IF(AND(B354&lt;&gt;"",L354&lt;&gt;$D$17,B354&gt;$D$16),G354*Resumo!$F$12,0))</f>
        <v>4.9553659451340728</v>
      </c>
      <c r="I354" s="42">
        <f>IF(AND(B354&lt;&gt;"",L354&lt;&gt;$D$17,$D$16&gt;3,$B354&lt;=$D$16),$D$15*Resumo!$F$13,IF(AND(B354&lt;&gt;"",L354&lt;&gt;$D$17,B354&gt;$D$16),$D$15*Resumo!$F$13,0))</f>
        <v>34.369999999999997</v>
      </c>
      <c r="J354" s="42">
        <f>IF(AND(B354&lt;&gt;"",L354&lt;&gt;$D$17,$D$16&gt;3,$B354&lt;=$D$16),Resumo!$F$11,IF(AND(B354&lt;&gt;"",L354&lt;&gt;$D$17,B354&gt;$D$16),Resumo!$F$11,0))</f>
        <v>25</v>
      </c>
      <c r="K354" s="42">
        <f t="shared" ca="1" si="68"/>
        <v>1073.2648403524261</v>
      </c>
      <c r="L354" s="39" t="str">
        <f>IF(B354&lt;&gt;"",VLOOKUP(MONTH(C354),Sheet2!$F$1:$G$12,2,0),"")</f>
        <v>Março</v>
      </c>
      <c r="M354" s="200">
        <f t="shared" ca="1" si="69"/>
        <v>0</v>
      </c>
      <c r="N354" s="40">
        <f t="shared" ca="1" si="70"/>
        <v>1008.939474407292</v>
      </c>
      <c r="O354" s="40">
        <f t="shared" ca="1" si="71"/>
        <v>1073.2648403524261</v>
      </c>
      <c r="P354" s="40"/>
      <c r="Q354" s="20">
        <f t="shared" ca="1" si="72"/>
        <v>834.89136490250701</v>
      </c>
      <c r="R354" s="1">
        <f t="shared" si="73"/>
        <v>10115</v>
      </c>
      <c r="S354" s="243">
        <f>IF(AND($K$2&gt;=DATEVALUE("03/04/2020"),$K$2&lt;=DATEVALUE("31/12/2020")),0,IF(Resumo!$C$19="PF",IF(R354&lt;360,0.0082%*R354,3%),IF(R354&lt;360,0.0041%*R354,1.5%)))</f>
        <v>1.4999999999999999E-2</v>
      </c>
      <c r="T354" s="172">
        <f t="shared" ca="1" si="74"/>
        <v>12.523370473537605</v>
      </c>
    </row>
    <row r="355" spans="2:20">
      <c r="B355" s="41">
        <f t="shared" si="75"/>
        <v>333</v>
      </c>
      <c r="C355" s="164">
        <f t="shared" si="65"/>
        <v>54893</v>
      </c>
      <c r="D355" s="42">
        <f t="shared" ca="1" si="66"/>
        <v>842.74931039701278</v>
      </c>
      <c r="E355" s="42">
        <f t="shared" ca="1" si="76"/>
        <v>160.45946869957947</v>
      </c>
      <c r="F355" s="42">
        <f t="shared" ca="1" si="67"/>
        <v>1003.2087790965923</v>
      </c>
      <c r="G355" s="42">
        <f ca="1">IF(B355&lt;=$D$16,G354*(1+$D$13)^((C355-C354)/_xlfn.DAYS(EDATE(C354,1),C354)),G354-D355)+IF(B355&lt;=$D$16,G354*Resumo!$F$12,0)+IF(B355&lt;=$D$16,$D$15*Resumo!$F$13,0)+IF(B355&lt;=$D$16,25,0)-IF(AND($D$16&gt;3,B355&lt;=$D$16),K355,0)</f>
        <v>22754.231380717618</v>
      </c>
      <c r="H355" s="42">
        <f ca="1">IF(AND(B355&lt;&gt;"",L355&lt;&gt;$D$17,$D$16&gt;3),G355*Resumo!$F$12,IF(AND(B355&lt;&gt;"",L355&lt;&gt;$D$17,B355&gt;$D$16),G355*Resumo!$F$12,0))</f>
        <v>4.7783885899507004</v>
      </c>
      <c r="I355" s="42">
        <f>IF(AND(B355&lt;&gt;"",L355&lt;&gt;$D$17,$D$16&gt;3,$B355&lt;=$D$16),$D$15*Resumo!$F$13,IF(AND(B355&lt;&gt;"",L355&lt;&gt;$D$17,B355&gt;$D$16),$D$15*Resumo!$F$13,0))</f>
        <v>34.369999999999997</v>
      </c>
      <c r="J355" s="42">
        <f>IF(AND(B355&lt;&gt;"",L355&lt;&gt;$D$17,$D$16&gt;3,$B355&lt;=$D$16),Resumo!$F$11,IF(AND(B355&lt;&gt;"",L355&lt;&gt;$D$17,B355&gt;$D$16),Resumo!$F$11,0))</f>
        <v>25</v>
      </c>
      <c r="K355" s="42">
        <f t="shared" ca="1" si="68"/>
        <v>1067.3571676865429</v>
      </c>
      <c r="L355" s="39" t="str">
        <f>IF(B355&lt;&gt;"",VLOOKUP(MONTH(C355),Sheet2!$F$1:$G$12,2,0),"")</f>
        <v>Abril</v>
      </c>
      <c r="M355" s="200">
        <f t="shared" ca="1" si="69"/>
        <v>0</v>
      </c>
      <c r="N355" s="40">
        <f t="shared" ca="1" si="70"/>
        <v>1003.2087790965923</v>
      </c>
      <c r="O355" s="40">
        <f t="shared" ca="1" si="71"/>
        <v>1067.3571676865429</v>
      </c>
      <c r="P355" s="40"/>
      <c r="Q355" s="20">
        <f t="shared" ca="1" si="72"/>
        <v>834.89136490250701</v>
      </c>
      <c r="R355" s="1">
        <f t="shared" si="73"/>
        <v>10146</v>
      </c>
      <c r="S355" s="243">
        <f>IF(AND($K$2&gt;=DATEVALUE("03/04/2020"),$K$2&lt;=DATEVALUE("31/12/2020")),0,IF(Resumo!$C$19="PF",IF(R355&lt;360,0.0082%*R355,3%),IF(R355&lt;360,0.0041%*R355,1.5%)))</f>
        <v>1.4999999999999999E-2</v>
      </c>
      <c r="T355" s="172">
        <f t="shared" ca="1" si="74"/>
        <v>12.523370473537605</v>
      </c>
    </row>
    <row r="356" spans="2:20">
      <c r="B356" s="41">
        <f t="shared" si="75"/>
        <v>334</v>
      </c>
      <c r="C356" s="164">
        <f t="shared" si="65"/>
        <v>54923</v>
      </c>
      <c r="D356" s="42">
        <f t="shared" ca="1" si="66"/>
        <v>842.74931039701278</v>
      </c>
      <c r="E356" s="42">
        <f t="shared" ca="1" si="76"/>
        <v>154.7287733888798</v>
      </c>
      <c r="F356" s="42">
        <f t="shared" ca="1" si="67"/>
        <v>997.47808378589252</v>
      </c>
      <c r="G356" s="42">
        <f ca="1">IF(B356&lt;=$D$16,G355*(1+$D$13)^((C356-C355)/_xlfn.DAYS(EDATE(C355,1),C355)),G355-D356)+IF(B356&lt;=$D$16,G355*Resumo!$F$12,0)+IF(B356&lt;=$D$16,$D$15*Resumo!$F$13,0)+IF(B356&lt;=$D$16,25,0)-IF(AND($D$16&gt;3,B356&lt;=$D$16),K356,0)</f>
        <v>21911.482070320606</v>
      </c>
      <c r="H356" s="42">
        <f ca="1">IF(AND(B356&lt;&gt;"",L356&lt;&gt;$D$17,$D$16&gt;3),G356*Resumo!$F$12,IF(AND(B356&lt;&gt;"",L356&lt;&gt;$D$17,B356&gt;$D$16),G356*Resumo!$F$12,0))</f>
        <v>4.6014112347673271</v>
      </c>
      <c r="I356" s="42">
        <f>IF(AND(B356&lt;&gt;"",L356&lt;&gt;$D$17,$D$16&gt;3,$B356&lt;=$D$16),$D$15*Resumo!$F$13,IF(AND(B356&lt;&gt;"",L356&lt;&gt;$D$17,B356&gt;$D$16),$D$15*Resumo!$F$13,0))</f>
        <v>34.369999999999997</v>
      </c>
      <c r="J356" s="42">
        <f>IF(AND(B356&lt;&gt;"",L356&lt;&gt;$D$17,$D$16&gt;3,$B356&lt;=$D$16),Resumo!$F$11,IF(AND(B356&lt;&gt;"",L356&lt;&gt;$D$17,B356&gt;$D$16),Resumo!$F$11,0))</f>
        <v>25</v>
      </c>
      <c r="K356" s="42">
        <f t="shared" ca="1" si="68"/>
        <v>1061.4494950206597</v>
      </c>
      <c r="L356" s="39" t="str">
        <f>IF(B356&lt;&gt;"",VLOOKUP(MONTH(C356),Sheet2!$F$1:$G$12,2,0),"")</f>
        <v>Maio</v>
      </c>
      <c r="M356" s="200">
        <f t="shared" ca="1" si="69"/>
        <v>0</v>
      </c>
      <c r="N356" s="40">
        <f t="shared" ca="1" si="70"/>
        <v>997.47808378589252</v>
      </c>
      <c r="O356" s="40">
        <f t="shared" ca="1" si="71"/>
        <v>1061.4494950206597</v>
      </c>
      <c r="P356" s="40"/>
      <c r="Q356" s="20">
        <f t="shared" ca="1" si="72"/>
        <v>834.89136490250701</v>
      </c>
      <c r="R356" s="1">
        <f t="shared" si="73"/>
        <v>10176</v>
      </c>
      <c r="S356" s="243">
        <f>IF(AND($K$2&gt;=DATEVALUE("03/04/2020"),$K$2&lt;=DATEVALUE("31/12/2020")),0,IF(Resumo!$C$19="PF",IF(R356&lt;360,0.0082%*R356,3%),IF(R356&lt;360,0.0041%*R356,1.5%)))</f>
        <v>1.4999999999999999E-2</v>
      </c>
      <c r="T356" s="172">
        <f t="shared" ca="1" si="74"/>
        <v>12.523370473537605</v>
      </c>
    </row>
    <row r="357" spans="2:20">
      <c r="B357" s="41">
        <f t="shared" si="75"/>
        <v>335</v>
      </c>
      <c r="C357" s="164">
        <f t="shared" si="65"/>
        <v>54954</v>
      </c>
      <c r="D357" s="42">
        <f t="shared" ca="1" si="66"/>
        <v>842.74931039701278</v>
      </c>
      <c r="E357" s="42">
        <f t="shared" ca="1" si="76"/>
        <v>148.9980780781801</v>
      </c>
      <c r="F357" s="42">
        <f t="shared" ca="1" si="67"/>
        <v>991.74738847519291</v>
      </c>
      <c r="G357" s="42">
        <f ca="1">IF(B357&lt;=$D$16,G356*(1+$D$13)^((C357-C356)/_xlfn.DAYS(EDATE(C356,1),C356)),G356-D357)+IF(B357&lt;=$D$16,G356*Resumo!$F$12,0)+IF(B357&lt;=$D$16,$D$15*Resumo!$F$13,0)+IF(B357&lt;=$D$16,25,0)-IF(AND($D$16&gt;3,B357&lt;=$D$16),K357,0)</f>
        <v>21068.732759923594</v>
      </c>
      <c r="H357" s="42">
        <f ca="1">IF(AND(B357&lt;&gt;"",L357&lt;&gt;$D$17,$D$16&gt;3),G357*Resumo!$F$12,IF(AND(B357&lt;&gt;"",L357&lt;&gt;$D$17,B357&gt;$D$16),G357*Resumo!$F$12,0))</f>
        <v>4.4244338795839546</v>
      </c>
      <c r="I357" s="42">
        <f>IF(AND(B357&lt;&gt;"",L357&lt;&gt;$D$17,$D$16&gt;3,$B357&lt;=$D$16),$D$15*Resumo!$F$13,IF(AND(B357&lt;&gt;"",L357&lt;&gt;$D$17,B357&gt;$D$16),$D$15*Resumo!$F$13,0))</f>
        <v>34.369999999999997</v>
      </c>
      <c r="J357" s="42">
        <f>IF(AND(B357&lt;&gt;"",L357&lt;&gt;$D$17,$D$16&gt;3,$B357&lt;=$D$16),Resumo!$F$11,IF(AND(B357&lt;&gt;"",L357&lt;&gt;$D$17,B357&gt;$D$16),Resumo!$F$11,0))</f>
        <v>25</v>
      </c>
      <c r="K357" s="42">
        <f t="shared" ca="1" si="68"/>
        <v>1055.5418223547767</v>
      </c>
      <c r="L357" s="39" t="str">
        <f>IF(B357&lt;&gt;"",VLOOKUP(MONTH(C357),Sheet2!$F$1:$G$12,2,0),"")</f>
        <v>Junho</v>
      </c>
      <c r="M357" s="200">
        <f t="shared" ca="1" si="69"/>
        <v>0</v>
      </c>
      <c r="N357" s="40">
        <f t="shared" ca="1" si="70"/>
        <v>991.74738847519291</v>
      </c>
      <c r="O357" s="40">
        <f t="shared" ca="1" si="71"/>
        <v>1055.5418223547767</v>
      </c>
      <c r="P357" s="40"/>
      <c r="Q357" s="20">
        <f t="shared" ca="1" si="72"/>
        <v>834.89136490250701</v>
      </c>
      <c r="R357" s="1">
        <f t="shared" si="73"/>
        <v>10207</v>
      </c>
      <c r="S357" s="243">
        <f>IF(AND($K$2&gt;=DATEVALUE("03/04/2020"),$K$2&lt;=DATEVALUE("31/12/2020")),0,IF(Resumo!$C$19="PF",IF(R357&lt;360,0.0082%*R357,3%),IF(R357&lt;360,0.0041%*R357,1.5%)))</f>
        <v>1.4999999999999999E-2</v>
      </c>
      <c r="T357" s="172">
        <f t="shared" ca="1" si="74"/>
        <v>12.523370473537605</v>
      </c>
    </row>
    <row r="358" spans="2:20">
      <c r="B358" s="41">
        <f t="shared" si="75"/>
        <v>336</v>
      </c>
      <c r="C358" s="164">
        <f t="shared" si="65"/>
        <v>54984</v>
      </c>
      <c r="D358" s="42">
        <f t="shared" ca="1" si="66"/>
        <v>842.74931039701278</v>
      </c>
      <c r="E358" s="42">
        <f t="shared" ca="1" si="76"/>
        <v>143.26738276748043</v>
      </c>
      <c r="F358" s="42">
        <f t="shared" ca="1" si="67"/>
        <v>986.01669316449318</v>
      </c>
      <c r="G358" s="42">
        <f ca="1">IF(B358&lt;=$D$16,G357*(1+$D$13)^((C358-C357)/_xlfn.DAYS(EDATE(C357,1),C357)),G357-D358)+IF(B358&lt;=$D$16,G357*Resumo!$F$12,0)+IF(B358&lt;=$D$16,$D$15*Resumo!$F$13,0)+IF(B358&lt;=$D$16,25,0)-IF(AND($D$16&gt;3,B358&lt;=$D$16),K358,0)</f>
        <v>20225.983449526582</v>
      </c>
      <c r="H358" s="42">
        <f ca="1">IF(AND(B358&lt;&gt;"",L358&lt;&gt;$D$17,$D$16&gt;3),G358*Resumo!$F$12,IF(AND(B358&lt;&gt;"",L358&lt;&gt;$D$17,B358&gt;$D$16),G358*Resumo!$F$12,0))</f>
        <v>4.2474565244005822</v>
      </c>
      <c r="I358" s="42">
        <f>IF(AND(B358&lt;&gt;"",L358&lt;&gt;$D$17,$D$16&gt;3,$B358&lt;=$D$16),$D$15*Resumo!$F$13,IF(AND(B358&lt;&gt;"",L358&lt;&gt;$D$17,B358&gt;$D$16),$D$15*Resumo!$F$13,0))</f>
        <v>34.369999999999997</v>
      </c>
      <c r="J358" s="42">
        <f>IF(AND(B358&lt;&gt;"",L358&lt;&gt;$D$17,$D$16&gt;3,$B358&lt;=$D$16),Resumo!$F$11,IF(AND(B358&lt;&gt;"",L358&lt;&gt;$D$17,B358&gt;$D$16),Resumo!$F$11,0))</f>
        <v>25</v>
      </c>
      <c r="K358" s="42">
        <f t="shared" ca="1" si="68"/>
        <v>1049.6341496888938</v>
      </c>
      <c r="L358" s="39" t="str">
        <f>IF(B358&lt;&gt;"",VLOOKUP(MONTH(C358),Sheet2!$F$1:$G$12,2,0),"")</f>
        <v>Julho</v>
      </c>
      <c r="M358" s="200">
        <f t="shared" ca="1" si="69"/>
        <v>0</v>
      </c>
      <c r="N358" s="40">
        <f t="shared" ca="1" si="70"/>
        <v>986.01669316449318</v>
      </c>
      <c r="O358" s="40">
        <f t="shared" ca="1" si="71"/>
        <v>1049.6341496888938</v>
      </c>
      <c r="P358" s="40"/>
      <c r="Q358" s="20">
        <f t="shared" ca="1" si="72"/>
        <v>834.89136490250701</v>
      </c>
      <c r="R358" s="1">
        <f t="shared" si="73"/>
        <v>10237</v>
      </c>
      <c r="S358" s="243">
        <f>IF(AND($K$2&gt;=DATEVALUE("03/04/2020"),$K$2&lt;=DATEVALUE("31/12/2020")),0,IF(Resumo!$C$19="PF",IF(R358&lt;360,0.0082%*R358,3%),IF(R358&lt;360,0.0041%*R358,1.5%)))</f>
        <v>1.4999999999999999E-2</v>
      </c>
      <c r="T358" s="172">
        <f t="shared" ca="1" si="74"/>
        <v>12.523370473537605</v>
      </c>
    </row>
    <row r="359" spans="2:20">
      <c r="B359" s="41">
        <f t="shared" si="75"/>
        <v>337</v>
      </c>
      <c r="C359" s="164">
        <f t="shared" si="65"/>
        <v>55015</v>
      </c>
      <c r="D359" s="42">
        <f t="shared" ca="1" si="66"/>
        <v>842.74931039701278</v>
      </c>
      <c r="E359" s="42">
        <f t="shared" ca="1" si="76"/>
        <v>137.53668745678075</v>
      </c>
      <c r="F359" s="42">
        <f t="shared" ca="1" si="67"/>
        <v>980.28599785379356</v>
      </c>
      <c r="G359" s="42">
        <f ca="1">IF(B359&lt;=$D$16,G358*(1+$D$13)^((C359-C358)/_xlfn.DAYS(EDATE(C358,1),C358)),G358-D359)+IF(B359&lt;=$D$16,G358*Resumo!$F$12,0)+IF(B359&lt;=$D$16,$D$15*Resumo!$F$13,0)+IF(B359&lt;=$D$16,25,0)-IF(AND($D$16&gt;3,B359&lt;=$D$16),K359,0)</f>
        <v>19383.23413912957</v>
      </c>
      <c r="H359" s="42">
        <f ca="1">IF(AND(B359&lt;&gt;"",L359&lt;&gt;$D$17,$D$16&gt;3),G359*Resumo!$F$12,IF(AND(B359&lt;&gt;"",L359&lt;&gt;$D$17,B359&gt;$D$16),G359*Resumo!$F$12,0))</f>
        <v>4.0704791692172098</v>
      </c>
      <c r="I359" s="42">
        <f>IF(AND(B359&lt;&gt;"",L359&lt;&gt;$D$17,$D$16&gt;3,$B359&lt;=$D$16),$D$15*Resumo!$F$13,IF(AND(B359&lt;&gt;"",L359&lt;&gt;$D$17,B359&gt;$D$16),$D$15*Resumo!$F$13,0))</f>
        <v>34.369999999999997</v>
      </c>
      <c r="J359" s="42">
        <f>IF(AND(B359&lt;&gt;"",L359&lt;&gt;$D$17,$D$16&gt;3,$B359&lt;=$D$16),Resumo!$F$11,IF(AND(B359&lt;&gt;"",L359&lt;&gt;$D$17,B359&gt;$D$16),Resumo!$F$11,0))</f>
        <v>25</v>
      </c>
      <c r="K359" s="42">
        <f t="shared" ca="1" si="68"/>
        <v>1043.7264770230108</v>
      </c>
      <c r="L359" s="39" t="str">
        <f>IF(B359&lt;&gt;"",VLOOKUP(MONTH(C359),Sheet2!$F$1:$G$12,2,0),"")</f>
        <v>Agosto</v>
      </c>
      <c r="M359" s="200">
        <f t="shared" ca="1" si="69"/>
        <v>0</v>
      </c>
      <c r="N359" s="40">
        <f t="shared" ca="1" si="70"/>
        <v>980.28599785379356</v>
      </c>
      <c r="O359" s="40">
        <f t="shared" ca="1" si="71"/>
        <v>1043.7264770230108</v>
      </c>
      <c r="P359" s="40"/>
      <c r="Q359" s="20">
        <f t="shared" ca="1" si="72"/>
        <v>834.89136490250701</v>
      </c>
      <c r="R359" s="1">
        <f t="shared" si="73"/>
        <v>10268</v>
      </c>
      <c r="S359" s="243">
        <f>IF(AND($K$2&gt;=DATEVALUE("03/04/2020"),$K$2&lt;=DATEVALUE("31/12/2020")),0,IF(Resumo!$C$19="PF",IF(R359&lt;360,0.0082%*R359,3%),IF(R359&lt;360,0.0041%*R359,1.5%)))</f>
        <v>1.4999999999999999E-2</v>
      </c>
      <c r="T359" s="172">
        <f t="shared" ca="1" si="74"/>
        <v>12.523370473537605</v>
      </c>
    </row>
    <row r="360" spans="2:20">
      <c r="B360" s="41">
        <f t="shared" si="75"/>
        <v>338</v>
      </c>
      <c r="C360" s="164">
        <f t="shared" si="65"/>
        <v>55046</v>
      </c>
      <c r="D360" s="42">
        <f t="shared" ca="1" si="66"/>
        <v>842.74931039701278</v>
      </c>
      <c r="E360" s="42">
        <f t="shared" ca="1" si="76"/>
        <v>131.80599214608108</v>
      </c>
      <c r="F360" s="42">
        <f t="shared" ca="1" si="67"/>
        <v>974.55530254309383</v>
      </c>
      <c r="G360" s="42">
        <f ca="1">IF(B360&lt;=$D$16,G359*(1+$D$13)^((C360-C359)/_xlfn.DAYS(EDATE(C359,1),C359)),G359-D360)+IF(B360&lt;=$D$16,G359*Resumo!$F$12,0)+IF(B360&lt;=$D$16,$D$15*Resumo!$F$13,0)+IF(B360&lt;=$D$16,25,0)-IF(AND($D$16&gt;3,B360&lt;=$D$16),K360,0)</f>
        <v>18540.484828732559</v>
      </c>
      <c r="H360" s="42">
        <f ca="1">IF(AND(B360&lt;&gt;"",L360&lt;&gt;$D$17,$D$16&gt;3),G360*Resumo!$F$12,IF(AND(B360&lt;&gt;"",L360&lt;&gt;$D$17,B360&gt;$D$16),G360*Resumo!$F$12,0))</f>
        <v>3.8935018140338373</v>
      </c>
      <c r="I360" s="42">
        <f>IF(AND(B360&lt;&gt;"",L360&lt;&gt;$D$17,$D$16&gt;3,$B360&lt;=$D$16),$D$15*Resumo!$F$13,IF(AND(B360&lt;&gt;"",L360&lt;&gt;$D$17,B360&gt;$D$16),$D$15*Resumo!$F$13,0))</f>
        <v>34.369999999999997</v>
      </c>
      <c r="J360" s="42">
        <f>IF(AND(B360&lt;&gt;"",L360&lt;&gt;$D$17,$D$16&gt;3,$B360&lt;=$D$16),Resumo!$F$11,IF(AND(B360&lt;&gt;"",L360&lt;&gt;$D$17,B360&gt;$D$16),Resumo!$F$11,0))</f>
        <v>25</v>
      </c>
      <c r="K360" s="42">
        <f t="shared" ca="1" si="68"/>
        <v>1037.8188043571276</v>
      </c>
      <c r="L360" s="39" t="str">
        <f>IF(B360&lt;&gt;"",VLOOKUP(MONTH(C360),Sheet2!$F$1:$G$12,2,0),"")</f>
        <v>Setembro</v>
      </c>
      <c r="M360" s="200">
        <f t="shared" ca="1" si="69"/>
        <v>0</v>
      </c>
      <c r="N360" s="40">
        <f t="shared" ca="1" si="70"/>
        <v>974.55530254309383</v>
      </c>
      <c r="O360" s="40">
        <f t="shared" ca="1" si="71"/>
        <v>1037.8188043571276</v>
      </c>
      <c r="P360" s="40"/>
      <c r="Q360" s="20">
        <f t="shared" ca="1" si="72"/>
        <v>834.89136490250701</v>
      </c>
      <c r="R360" s="1">
        <f t="shared" si="73"/>
        <v>10299</v>
      </c>
      <c r="S360" s="243">
        <f>IF(AND($K$2&gt;=DATEVALUE("03/04/2020"),$K$2&lt;=DATEVALUE("31/12/2020")),0,IF(Resumo!$C$19="PF",IF(R360&lt;360,0.0082%*R360,3%),IF(R360&lt;360,0.0041%*R360,1.5%)))</f>
        <v>1.4999999999999999E-2</v>
      </c>
      <c r="T360" s="172">
        <f t="shared" ca="1" si="74"/>
        <v>12.523370473537605</v>
      </c>
    </row>
    <row r="361" spans="2:20">
      <c r="B361" s="41">
        <f t="shared" si="75"/>
        <v>339</v>
      </c>
      <c r="C361" s="164">
        <f t="shared" si="65"/>
        <v>55076</v>
      </c>
      <c r="D361" s="42">
        <f t="shared" ca="1" si="66"/>
        <v>842.74931039701278</v>
      </c>
      <c r="E361" s="42">
        <f t="shared" ca="1" si="76"/>
        <v>126.07529683538139</v>
      </c>
      <c r="F361" s="42">
        <f t="shared" ca="1" si="67"/>
        <v>968.82460723239421</v>
      </c>
      <c r="G361" s="42">
        <f ca="1">IF(B361&lt;=$D$16,G360*(1+$D$13)^((C361-C360)/_xlfn.DAYS(EDATE(C360,1),C360)),G360-D361)+IF(B361&lt;=$D$16,G360*Resumo!$F$12,0)+IF(B361&lt;=$D$16,$D$15*Resumo!$F$13,0)+IF(B361&lt;=$D$16,25,0)-IF(AND($D$16&gt;3,B361&lt;=$D$16),K361,0)</f>
        <v>17697.735518335547</v>
      </c>
      <c r="H361" s="42">
        <f ca="1">IF(AND(B361&lt;&gt;"",L361&lt;&gt;$D$17,$D$16&gt;3),G361*Resumo!$F$12,IF(AND(B361&lt;&gt;"",L361&lt;&gt;$D$17,B361&gt;$D$16),G361*Resumo!$F$12,0))</f>
        <v>3.7165244588504649</v>
      </c>
      <c r="I361" s="42">
        <f>IF(AND(B361&lt;&gt;"",L361&lt;&gt;$D$17,$D$16&gt;3,$B361&lt;=$D$16),$D$15*Resumo!$F$13,IF(AND(B361&lt;&gt;"",L361&lt;&gt;$D$17,B361&gt;$D$16),$D$15*Resumo!$F$13,0))</f>
        <v>34.369999999999997</v>
      </c>
      <c r="J361" s="42">
        <f>IF(AND(B361&lt;&gt;"",L361&lt;&gt;$D$17,$D$16&gt;3,$B361&lt;=$D$16),Resumo!$F$11,IF(AND(B361&lt;&gt;"",L361&lt;&gt;$D$17,B361&gt;$D$16),Resumo!$F$11,0))</f>
        <v>25</v>
      </c>
      <c r="K361" s="42">
        <f t="shared" ca="1" si="68"/>
        <v>1031.9111316912447</v>
      </c>
      <c r="L361" s="39" t="str">
        <f>IF(B361&lt;&gt;"",VLOOKUP(MONTH(C361),Sheet2!$F$1:$G$12,2,0),"")</f>
        <v>Outubro</v>
      </c>
      <c r="M361" s="200">
        <f t="shared" ca="1" si="69"/>
        <v>0</v>
      </c>
      <c r="N361" s="40">
        <f t="shared" ca="1" si="70"/>
        <v>968.82460723239421</v>
      </c>
      <c r="O361" s="40">
        <f t="shared" ca="1" si="71"/>
        <v>1031.9111316912447</v>
      </c>
      <c r="P361" s="40"/>
      <c r="Q361" s="20">
        <f t="shared" ca="1" si="72"/>
        <v>834.89136490250701</v>
      </c>
      <c r="R361" s="1">
        <f t="shared" si="73"/>
        <v>10329</v>
      </c>
      <c r="S361" s="243">
        <f>IF(AND($K$2&gt;=DATEVALUE("03/04/2020"),$K$2&lt;=DATEVALUE("31/12/2020")),0,IF(Resumo!$C$19="PF",IF(R361&lt;360,0.0082%*R361,3%),IF(R361&lt;360,0.0041%*R361,1.5%)))</f>
        <v>1.4999999999999999E-2</v>
      </c>
      <c r="T361" s="172">
        <f t="shared" ca="1" si="74"/>
        <v>12.523370473537605</v>
      </c>
    </row>
    <row r="362" spans="2:20">
      <c r="B362" s="41">
        <f t="shared" si="75"/>
        <v>340</v>
      </c>
      <c r="C362" s="164">
        <f t="shared" si="65"/>
        <v>55107</v>
      </c>
      <c r="D362" s="42">
        <f t="shared" ca="1" si="66"/>
        <v>842.74931039701278</v>
      </c>
      <c r="E362" s="42">
        <f t="shared" ca="1" si="76"/>
        <v>120.34460152468171</v>
      </c>
      <c r="F362" s="42">
        <f t="shared" ca="1" si="67"/>
        <v>963.09391192169448</v>
      </c>
      <c r="G362" s="42">
        <f ca="1">IF(B362&lt;=$D$16,G361*(1+$D$13)^((C362-C361)/_xlfn.DAYS(EDATE(C361,1),C361)),G361-D362)+IF(B362&lt;=$D$16,G361*Resumo!$F$12,0)+IF(B362&lt;=$D$16,$D$15*Resumo!$F$13,0)+IF(B362&lt;=$D$16,25,0)-IF(AND($D$16&gt;3,B362&lt;=$D$16),K362,0)</f>
        <v>16854.986207938535</v>
      </c>
      <c r="H362" s="42">
        <f ca="1">IF(AND(B362&lt;&gt;"",L362&lt;&gt;$D$17,$D$16&gt;3),G362*Resumo!$F$12,IF(AND(B362&lt;&gt;"",L362&lt;&gt;$D$17,B362&gt;$D$16),G362*Resumo!$F$12,0))</f>
        <v>3.5395471036670925</v>
      </c>
      <c r="I362" s="42">
        <f>IF(AND(B362&lt;&gt;"",L362&lt;&gt;$D$17,$D$16&gt;3,$B362&lt;=$D$16),$D$15*Resumo!$F$13,IF(AND(B362&lt;&gt;"",L362&lt;&gt;$D$17,B362&gt;$D$16),$D$15*Resumo!$F$13,0))</f>
        <v>34.369999999999997</v>
      </c>
      <c r="J362" s="42">
        <f>IF(AND(B362&lt;&gt;"",L362&lt;&gt;$D$17,$D$16&gt;3,$B362&lt;=$D$16),Resumo!$F$11,IF(AND(B362&lt;&gt;"",L362&lt;&gt;$D$17,B362&gt;$D$16),Resumo!$F$11,0))</f>
        <v>25</v>
      </c>
      <c r="K362" s="42">
        <f t="shared" ca="1" si="68"/>
        <v>1026.0034590253617</v>
      </c>
      <c r="L362" s="39" t="str">
        <f>IF(B362&lt;&gt;"",VLOOKUP(MONTH(C362),Sheet2!$F$1:$G$12,2,0),"")</f>
        <v>Novembro</v>
      </c>
      <c r="M362" s="200">
        <f t="shared" ca="1" si="69"/>
        <v>0</v>
      </c>
      <c r="N362" s="40">
        <f t="shared" ca="1" si="70"/>
        <v>963.09391192169448</v>
      </c>
      <c r="O362" s="40">
        <f t="shared" ca="1" si="71"/>
        <v>1026.0034590253617</v>
      </c>
      <c r="P362" s="40"/>
      <c r="Q362" s="20">
        <f t="shared" ca="1" si="72"/>
        <v>834.89136490250701</v>
      </c>
      <c r="R362" s="1">
        <f t="shared" si="73"/>
        <v>10360</v>
      </c>
      <c r="S362" s="243">
        <f>IF(AND($K$2&gt;=DATEVALUE("03/04/2020"),$K$2&lt;=DATEVALUE("31/12/2020")),0,IF(Resumo!$C$19="PF",IF(R362&lt;360,0.0082%*R362,3%),IF(R362&lt;360,0.0041%*R362,1.5%)))</f>
        <v>1.4999999999999999E-2</v>
      </c>
      <c r="T362" s="172">
        <f t="shared" ca="1" si="74"/>
        <v>12.523370473537605</v>
      </c>
    </row>
    <row r="363" spans="2:20">
      <c r="B363" s="41">
        <f t="shared" si="75"/>
        <v>341</v>
      </c>
      <c r="C363" s="164">
        <f t="shared" si="65"/>
        <v>55137</v>
      </c>
      <c r="D363" s="42">
        <f t="shared" ca="1" si="66"/>
        <v>842.74931039701278</v>
      </c>
      <c r="E363" s="42">
        <f t="shared" ca="1" si="76"/>
        <v>114.61390621398203</v>
      </c>
      <c r="F363" s="42">
        <f t="shared" ca="1" si="67"/>
        <v>957.36321661099487</v>
      </c>
      <c r="G363" s="42">
        <f ca="1">IF(B363&lt;=$D$16,G362*(1+$D$13)^((C363-C362)/_xlfn.DAYS(EDATE(C362,1),C362)),G362-D363)+IF(B363&lt;=$D$16,G362*Resumo!$F$12,0)+IF(B363&lt;=$D$16,$D$15*Resumo!$F$13,0)+IF(B363&lt;=$D$16,25,0)-IF(AND($D$16&gt;3,B363&lt;=$D$16),K363,0)</f>
        <v>16012.236897541523</v>
      </c>
      <c r="H363" s="42">
        <f ca="1">IF(AND(B363&lt;&gt;"",L363&lt;&gt;$D$17,$D$16&gt;3),G363*Resumo!$F$12,IF(AND(B363&lt;&gt;"",L363&lt;&gt;$D$17,B363&gt;$D$16),G363*Resumo!$F$12,0))</f>
        <v>3.36256974848372</v>
      </c>
      <c r="I363" s="42">
        <f>IF(AND(B363&lt;&gt;"",L363&lt;&gt;$D$17,$D$16&gt;3,$B363&lt;=$D$16),$D$15*Resumo!$F$13,IF(AND(B363&lt;&gt;"",L363&lt;&gt;$D$17,B363&gt;$D$16),$D$15*Resumo!$F$13,0))</f>
        <v>34.369999999999997</v>
      </c>
      <c r="J363" s="42">
        <f>IF(AND(B363&lt;&gt;"",L363&lt;&gt;$D$17,$D$16&gt;3,$B363&lt;=$D$16),Resumo!$F$11,IF(AND(B363&lt;&gt;"",L363&lt;&gt;$D$17,B363&gt;$D$16),Resumo!$F$11,0))</f>
        <v>25</v>
      </c>
      <c r="K363" s="42">
        <f t="shared" ca="1" si="68"/>
        <v>1020.0957863594786</v>
      </c>
      <c r="L363" s="39" t="str">
        <f>IF(B363&lt;&gt;"",VLOOKUP(MONTH(C363),Sheet2!$F$1:$G$12,2,0),"")</f>
        <v>Dezembro</v>
      </c>
      <c r="M363" s="200">
        <f t="shared" ca="1" si="69"/>
        <v>0</v>
      </c>
      <c r="N363" s="40">
        <f t="shared" ca="1" si="70"/>
        <v>957.36321661099487</v>
      </c>
      <c r="O363" s="40">
        <f t="shared" ca="1" si="71"/>
        <v>1020.0957863594786</v>
      </c>
      <c r="P363" s="40"/>
      <c r="Q363" s="20">
        <f t="shared" ca="1" si="72"/>
        <v>834.89136490250701</v>
      </c>
      <c r="R363" s="1">
        <f t="shared" si="73"/>
        <v>10390</v>
      </c>
      <c r="S363" s="243">
        <f>IF(AND($K$2&gt;=DATEVALUE("03/04/2020"),$K$2&lt;=DATEVALUE("31/12/2020")),0,IF(Resumo!$C$19="PF",IF(R363&lt;360,0.0082%*R363,3%),IF(R363&lt;360,0.0041%*R363,1.5%)))</f>
        <v>1.4999999999999999E-2</v>
      </c>
      <c r="T363" s="172">
        <f t="shared" ca="1" si="74"/>
        <v>12.523370473537605</v>
      </c>
    </row>
    <row r="364" spans="2:20">
      <c r="B364" s="41">
        <f t="shared" si="75"/>
        <v>342</v>
      </c>
      <c r="C364" s="164">
        <f t="shared" si="65"/>
        <v>55168</v>
      </c>
      <c r="D364" s="42">
        <f t="shared" ca="1" si="66"/>
        <v>842.74931039701278</v>
      </c>
      <c r="E364" s="42">
        <f t="shared" ca="1" si="76"/>
        <v>108.88321090328235</v>
      </c>
      <c r="F364" s="42">
        <f t="shared" ca="1" si="67"/>
        <v>951.63252130029514</v>
      </c>
      <c r="G364" s="42">
        <f ca="1">IF(B364&lt;=$D$16,G363*(1+$D$13)^((C364-C363)/_xlfn.DAYS(EDATE(C363,1),C363)),G363-D364)+IF(B364&lt;=$D$16,G363*Resumo!$F$12,0)+IF(B364&lt;=$D$16,$D$15*Resumo!$F$13,0)+IF(B364&lt;=$D$16,25,0)-IF(AND($D$16&gt;3,B364&lt;=$D$16),K364,0)</f>
        <v>15169.487587144511</v>
      </c>
      <c r="H364" s="42">
        <f ca="1">IF(AND(B364&lt;&gt;"",L364&lt;&gt;$D$17,$D$16&gt;3),G364*Resumo!$F$12,IF(AND(B364&lt;&gt;"",L364&lt;&gt;$D$17,B364&gt;$D$16),G364*Resumo!$F$12,0))</f>
        <v>3.1855923933003476</v>
      </c>
      <c r="I364" s="42">
        <f>IF(AND(B364&lt;&gt;"",L364&lt;&gt;$D$17,$D$16&gt;3,$B364&lt;=$D$16),$D$15*Resumo!$F$13,IF(AND(B364&lt;&gt;"",L364&lt;&gt;$D$17,B364&gt;$D$16),$D$15*Resumo!$F$13,0))</f>
        <v>34.369999999999997</v>
      </c>
      <c r="J364" s="42">
        <f>IF(AND(B364&lt;&gt;"",L364&lt;&gt;$D$17,$D$16&gt;3,$B364&lt;=$D$16),Resumo!$F$11,IF(AND(B364&lt;&gt;"",L364&lt;&gt;$D$17,B364&gt;$D$16),Resumo!$F$11,0))</f>
        <v>25</v>
      </c>
      <c r="K364" s="42">
        <f t="shared" ca="1" si="68"/>
        <v>1014.1881136935955</v>
      </c>
      <c r="L364" s="39" t="str">
        <f>IF(B364&lt;&gt;"",VLOOKUP(MONTH(C364),Sheet2!$F$1:$G$12,2,0),"")</f>
        <v>Janeiro</v>
      </c>
      <c r="M364" s="200">
        <f t="shared" ca="1" si="69"/>
        <v>0</v>
      </c>
      <c r="N364" s="40">
        <f t="shared" ca="1" si="70"/>
        <v>951.63252130029514</v>
      </c>
      <c r="O364" s="40">
        <f t="shared" ca="1" si="71"/>
        <v>1014.1881136935955</v>
      </c>
      <c r="P364" s="40"/>
      <c r="Q364" s="20">
        <f t="shared" ca="1" si="72"/>
        <v>834.89136490250701</v>
      </c>
      <c r="R364" s="1">
        <f t="shared" si="73"/>
        <v>10421</v>
      </c>
      <c r="S364" s="243">
        <f>IF(AND($K$2&gt;=DATEVALUE("03/04/2020"),$K$2&lt;=DATEVALUE("31/12/2020")),0,IF(Resumo!$C$19="PF",IF(R364&lt;360,0.0082%*R364,3%),IF(R364&lt;360,0.0041%*R364,1.5%)))</f>
        <v>1.4999999999999999E-2</v>
      </c>
      <c r="T364" s="172">
        <f t="shared" ca="1" si="74"/>
        <v>12.523370473537605</v>
      </c>
    </row>
    <row r="365" spans="2:20">
      <c r="B365" s="41">
        <f t="shared" si="75"/>
        <v>343</v>
      </c>
      <c r="C365" s="164">
        <f t="shared" si="65"/>
        <v>55199</v>
      </c>
      <c r="D365" s="42">
        <f t="shared" ca="1" si="66"/>
        <v>842.74931039701278</v>
      </c>
      <c r="E365" s="42">
        <f t="shared" ca="1" si="76"/>
        <v>103.15251559258267</v>
      </c>
      <c r="F365" s="42">
        <f t="shared" ca="1" si="67"/>
        <v>945.90182598959541</v>
      </c>
      <c r="G365" s="42">
        <f ca="1">IF(B365&lt;=$D$16,G364*(1+$D$13)^((C365-C364)/_xlfn.DAYS(EDATE(C364,1),C364)),G364-D365)+IF(B365&lt;=$D$16,G364*Resumo!$F$12,0)+IF(B365&lt;=$D$16,$D$15*Resumo!$F$13,0)+IF(B365&lt;=$D$16,25,0)-IF(AND($D$16&gt;3,B365&lt;=$D$16),K365,0)</f>
        <v>14326.738276747499</v>
      </c>
      <c r="H365" s="42">
        <f ca="1">IF(AND(B365&lt;&gt;"",L365&lt;&gt;$D$17,$D$16&gt;3),G365*Resumo!$F$12,IF(AND(B365&lt;&gt;"",L365&lt;&gt;$D$17,B365&gt;$D$16),G365*Resumo!$F$12,0))</f>
        <v>3.0086150381169752</v>
      </c>
      <c r="I365" s="42">
        <f>IF(AND(B365&lt;&gt;"",L365&lt;&gt;$D$17,$D$16&gt;3,$B365&lt;=$D$16),$D$15*Resumo!$F$13,IF(AND(B365&lt;&gt;"",L365&lt;&gt;$D$17,B365&gt;$D$16),$D$15*Resumo!$F$13,0))</f>
        <v>34.369999999999997</v>
      </c>
      <c r="J365" s="42">
        <f>IF(AND(B365&lt;&gt;"",L365&lt;&gt;$D$17,$D$16&gt;3,$B365&lt;=$D$16),Resumo!$F$11,IF(AND(B365&lt;&gt;"",L365&lt;&gt;$D$17,B365&gt;$D$16),Resumo!$F$11,0))</f>
        <v>25</v>
      </c>
      <c r="K365" s="42">
        <f t="shared" ca="1" si="68"/>
        <v>1008.2804410277124</v>
      </c>
      <c r="L365" s="39" t="str">
        <f>IF(B365&lt;&gt;"",VLOOKUP(MONTH(C365),Sheet2!$F$1:$G$12,2,0),"")</f>
        <v>Fevereiro</v>
      </c>
      <c r="M365" s="200">
        <f t="shared" ca="1" si="69"/>
        <v>0</v>
      </c>
      <c r="N365" s="40">
        <f t="shared" ca="1" si="70"/>
        <v>945.90182598959541</v>
      </c>
      <c r="O365" s="40">
        <f t="shared" ca="1" si="71"/>
        <v>1008.2804410277124</v>
      </c>
      <c r="P365" s="40"/>
      <c r="Q365" s="20">
        <f t="shared" ca="1" si="72"/>
        <v>834.89136490250701</v>
      </c>
      <c r="R365" s="1">
        <f t="shared" si="73"/>
        <v>10452</v>
      </c>
      <c r="S365" s="243">
        <f>IF(AND($K$2&gt;=DATEVALUE("03/04/2020"),$K$2&lt;=DATEVALUE("31/12/2020")),0,IF(Resumo!$C$19="PF",IF(R365&lt;360,0.0082%*R365,3%),IF(R365&lt;360,0.0041%*R365,1.5%)))</f>
        <v>1.4999999999999999E-2</v>
      </c>
      <c r="T365" s="172">
        <f t="shared" ca="1" si="74"/>
        <v>12.523370473537605</v>
      </c>
    </row>
    <row r="366" spans="2:20">
      <c r="B366" s="41">
        <f t="shared" si="75"/>
        <v>344</v>
      </c>
      <c r="C366" s="164">
        <f t="shared" si="65"/>
        <v>55227</v>
      </c>
      <c r="D366" s="42">
        <f t="shared" ca="1" si="66"/>
        <v>842.74931039701278</v>
      </c>
      <c r="E366" s="42">
        <f t="shared" ca="1" si="76"/>
        <v>97.421820281882987</v>
      </c>
      <c r="F366" s="42">
        <f t="shared" ca="1" si="67"/>
        <v>940.17113067889579</v>
      </c>
      <c r="G366" s="42">
        <f ca="1">IF(B366&lt;=$D$16,G365*(1+$D$13)^((C366-C365)/_xlfn.DAYS(EDATE(C365,1),C365)),G365-D366)+IF(B366&lt;=$D$16,G365*Resumo!$F$12,0)+IF(B366&lt;=$D$16,$D$15*Resumo!$F$13,0)+IF(B366&lt;=$D$16,25,0)-IF(AND($D$16&gt;3,B366&lt;=$D$16),K366,0)</f>
        <v>13483.988966350487</v>
      </c>
      <c r="H366" s="42">
        <f ca="1">IF(AND(B366&lt;&gt;"",L366&lt;&gt;$D$17,$D$16&gt;3),G366*Resumo!$F$12,IF(AND(B366&lt;&gt;"",L366&lt;&gt;$D$17,B366&gt;$D$16),G366*Resumo!$F$12,0))</f>
        <v>2.8316376829336023</v>
      </c>
      <c r="I366" s="42">
        <f>IF(AND(B366&lt;&gt;"",L366&lt;&gt;$D$17,$D$16&gt;3,$B366&lt;=$D$16),$D$15*Resumo!$F$13,IF(AND(B366&lt;&gt;"",L366&lt;&gt;$D$17,B366&gt;$D$16),$D$15*Resumo!$F$13,0))</f>
        <v>34.369999999999997</v>
      </c>
      <c r="J366" s="42">
        <f>IF(AND(B366&lt;&gt;"",L366&lt;&gt;$D$17,$D$16&gt;3,$B366&lt;=$D$16),Resumo!$F$11,IF(AND(B366&lt;&gt;"",L366&lt;&gt;$D$17,B366&gt;$D$16),Resumo!$F$11,0))</f>
        <v>25</v>
      </c>
      <c r="K366" s="42">
        <f t="shared" ca="1" si="68"/>
        <v>1002.3727683618293</v>
      </c>
      <c r="L366" s="39" t="str">
        <f>IF(B366&lt;&gt;"",VLOOKUP(MONTH(C366),Sheet2!$F$1:$G$12,2,0),"")</f>
        <v>Março</v>
      </c>
      <c r="M366" s="200">
        <f t="shared" ca="1" si="69"/>
        <v>0</v>
      </c>
      <c r="N366" s="40">
        <f t="shared" ca="1" si="70"/>
        <v>940.17113067889579</v>
      </c>
      <c r="O366" s="40">
        <f t="shared" ca="1" si="71"/>
        <v>1002.3727683618293</v>
      </c>
      <c r="P366" s="40"/>
      <c r="Q366" s="20">
        <f t="shared" ca="1" si="72"/>
        <v>834.89136490250701</v>
      </c>
      <c r="R366" s="1">
        <f t="shared" si="73"/>
        <v>10480</v>
      </c>
      <c r="S366" s="243">
        <f>IF(AND($K$2&gt;=DATEVALUE("03/04/2020"),$K$2&lt;=DATEVALUE("31/12/2020")),0,IF(Resumo!$C$19="PF",IF(R366&lt;360,0.0082%*R366,3%),IF(R366&lt;360,0.0041%*R366,1.5%)))</f>
        <v>1.4999999999999999E-2</v>
      </c>
      <c r="T366" s="172">
        <f t="shared" ca="1" si="74"/>
        <v>12.523370473537605</v>
      </c>
    </row>
    <row r="367" spans="2:20">
      <c r="B367" s="41">
        <f t="shared" si="75"/>
        <v>345</v>
      </c>
      <c r="C367" s="164">
        <f t="shared" si="65"/>
        <v>55258</v>
      </c>
      <c r="D367" s="42">
        <f t="shared" ca="1" si="66"/>
        <v>842.74931039701278</v>
      </c>
      <c r="E367" s="42">
        <f t="shared" ca="1" si="76"/>
        <v>91.691124971183314</v>
      </c>
      <c r="F367" s="42">
        <f t="shared" ca="1" si="67"/>
        <v>934.44043536819606</v>
      </c>
      <c r="G367" s="42">
        <f ca="1">IF(B367&lt;=$D$16,G366*(1+$D$13)^((C367-C366)/_xlfn.DAYS(EDATE(C366,1),C366)),G366-D367)+IF(B367&lt;=$D$16,G366*Resumo!$F$12,0)+IF(B367&lt;=$D$16,$D$15*Resumo!$F$13,0)+IF(B367&lt;=$D$16,25,0)-IF(AND($D$16&gt;3,B367&lt;=$D$16),K367,0)</f>
        <v>12641.239655953475</v>
      </c>
      <c r="H367" s="42">
        <f ca="1">IF(AND(B367&lt;&gt;"",L367&lt;&gt;$D$17,$D$16&gt;3),G367*Resumo!$F$12,IF(AND(B367&lt;&gt;"",L367&lt;&gt;$D$17,B367&gt;$D$16),G367*Resumo!$F$12,0))</f>
        <v>2.6546603277502299</v>
      </c>
      <c r="I367" s="42">
        <f>IF(AND(B367&lt;&gt;"",L367&lt;&gt;$D$17,$D$16&gt;3,$B367&lt;=$D$16),$D$15*Resumo!$F$13,IF(AND(B367&lt;&gt;"",L367&lt;&gt;$D$17,B367&gt;$D$16),$D$15*Resumo!$F$13,0))</f>
        <v>34.369999999999997</v>
      </c>
      <c r="J367" s="42">
        <f>IF(AND(B367&lt;&gt;"",L367&lt;&gt;$D$17,$D$16&gt;3,$B367&lt;=$D$16),Resumo!$F$11,IF(AND(B367&lt;&gt;"",L367&lt;&gt;$D$17,B367&gt;$D$16),Resumo!$F$11,0))</f>
        <v>25</v>
      </c>
      <c r="K367" s="42">
        <f t="shared" ca="1" si="68"/>
        <v>996.46509569594627</v>
      </c>
      <c r="L367" s="39" t="str">
        <f>IF(B367&lt;&gt;"",VLOOKUP(MONTH(C367),Sheet2!$F$1:$G$12,2,0),"")</f>
        <v>Abril</v>
      </c>
      <c r="M367" s="200">
        <f t="shared" ca="1" si="69"/>
        <v>0</v>
      </c>
      <c r="N367" s="40">
        <f t="shared" ca="1" si="70"/>
        <v>934.44043536819606</v>
      </c>
      <c r="O367" s="40">
        <f t="shared" ca="1" si="71"/>
        <v>996.46509569594627</v>
      </c>
      <c r="P367" s="40"/>
      <c r="Q367" s="20">
        <f t="shared" ca="1" si="72"/>
        <v>834.89136490250701</v>
      </c>
      <c r="R367" s="1">
        <f t="shared" si="73"/>
        <v>10511</v>
      </c>
      <c r="S367" s="243">
        <f>IF(AND($K$2&gt;=DATEVALUE("03/04/2020"),$K$2&lt;=DATEVALUE("31/12/2020")),0,IF(Resumo!$C$19="PF",IF(R367&lt;360,0.0082%*R367,3%),IF(R367&lt;360,0.0041%*R367,1.5%)))</f>
        <v>1.4999999999999999E-2</v>
      </c>
      <c r="T367" s="172">
        <f t="shared" ca="1" si="74"/>
        <v>12.523370473537605</v>
      </c>
    </row>
    <row r="368" spans="2:20">
      <c r="B368" s="41">
        <f t="shared" si="75"/>
        <v>346</v>
      </c>
      <c r="C368" s="164">
        <f t="shared" si="65"/>
        <v>55288</v>
      </c>
      <c r="D368" s="42">
        <f t="shared" ca="1" si="66"/>
        <v>842.74931039701278</v>
      </c>
      <c r="E368" s="42">
        <f t="shared" ca="1" si="76"/>
        <v>85.960429660483626</v>
      </c>
      <c r="F368" s="42">
        <f t="shared" ca="1" si="67"/>
        <v>928.70974005749645</v>
      </c>
      <c r="G368" s="42">
        <f ca="1">IF(B368&lt;=$D$16,G367*(1+$D$13)^((C368-C367)/_xlfn.DAYS(EDATE(C367,1),C367)),G367-D368)+IF(B368&lt;=$D$16,G367*Resumo!$F$12,0)+IF(B368&lt;=$D$16,$D$15*Resumo!$F$13,0)+IF(B368&lt;=$D$16,25,0)-IF(AND($D$16&gt;3,B368&lt;=$D$16),K368,0)</f>
        <v>11798.490345556464</v>
      </c>
      <c r="H368" s="42">
        <f ca="1">IF(AND(B368&lt;&gt;"",L368&lt;&gt;$D$17,$D$16&gt;3),G368*Resumo!$F$12,IF(AND(B368&lt;&gt;"",L368&lt;&gt;$D$17,B368&gt;$D$16),G368*Resumo!$F$12,0))</f>
        <v>2.4776829725668574</v>
      </c>
      <c r="I368" s="42">
        <f>IF(AND(B368&lt;&gt;"",L368&lt;&gt;$D$17,$D$16&gt;3,$B368&lt;=$D$16),$D$15*Resumo!$F$13,IF(AND(B368&lt;&gt;"",L368&lt;&gt;$D$17,B368&gt;$D$16),$D$15*Resumo!$F$13,0))</f>
        <v>34.369999999999997</v>
      </c>
      <c r="J368" s="42">
        <f>IF(AND(B368&lt;&gt;"",L368&lt;&gt;$D$17,$D$16&gt;3,$B368&lt;=$D$16),Resumo!$F$11,IF(AND(B368&lt;&gt;"",L368&lt;&gt;$D$17,B368&gt;$D$16),Resumo!$F$11,0))</f>
        <v>25</v>
      </c>
      <c r="K368" s="42">
        <f t="shared" ca="1" si="68"/>
        <v>990.55742303006332</v>
      </c>
      <c r="L368" s="39" t="str">
        <f>IF(B368&lt;&gt;"",VLOOKUP(MONTH(C368),Sheet2!$F$1:$G$12,2,0),"")</f>
        <v>Maio</v>
      </c>
      <c r="M368" s="200">
        <f t="shared" ca="1" si="69"/>
        <v>0</v>
      </c>
      <c r="N368" s="40">
        <f t="shared" ca="1" si="70"/>
        <v>928.70974005749645</v>
      </c>
      <c r="O368" s="40">
        <f t="shared" ca="1" si="71"/>
        <v>990.55742303006332</v>
      </c>
      <c r="P368" s="40"/>
      <c r="Q368" s="20">
        <f t="shared" ca="1" si="72"/>
        <v>834.89136490250701</v>
      </c>
      <c r="R368" s="1">
        <f t="shared" si="73"/>
        <v>10541</v>
      </c>
      <c r="S368" s="243">
        <f>IF(AND($K$2&gt;=DATEVALUE("03/04/2020"),$K$2&lt;=DATEVALUE("31/12/2020")),0,IF(Resumo!$C$19="PF",IF(R368&lt;360,0.0082%*R368,3%),IF(R368&lt;360,0.0041%*R368,1.5%)))</f>
        <v>1.4999999999999999E-2</v>
      </c>
      <c r="T368" s="172">
        <f t="shared" ca="1" si="74"/>
        <v>12.523370473537605</v>
      </c>
    </row>
    <row r="369" spans="2:20">
      <c r="B369" s="41">
        <f t="shared" si="75"/>
        <v>347</v>
      </c>
      <c r="C369" s="164">
        <f t="shared" si="65"/>
        <v>55319</v>
      </c>
      <c r="D369" s="42">
        <f t="shared" ca="1" si="66"/>
        <v>842.74931039701278</v>
      </c>
      <c r="E369" s="42">
        <f t="shared" ca="1" si="76"/>
        <v>80.229734349783953</v>
      </c>
      <c r="F369" s="42">
        <f t="shared" ca="1" si="67"/>
        <v>922.97904474679672</v>
      </c>
      <c r="G369" s="42">
        <f ca="1">IF(B369&lt;=$D$16,G368*(1+$D$13)^((C369-C368)/_xlfn.DAYS(EDATE(C368,1),C368)),G368-D369)+IF(B369&lt;=$D$16,G368*Resumo!$F$12,0)+IF(B369&lt;=$D$16,$D$15*Resumo!$F$13,0)+IF(B369&lt;=$D$16,25,0)-IF(AND($D$16&gt;3,B369&lt;=$D$16),K369,0)</f>
        <v>10955.741035159452</v>
      </c>
      <c r="H369" s="42">
        <f ca="1">IF(AND(B369&lt;&gt;"",L369&lt;&gt;$D$17,$D$16&gt;3),G369*Resumo!$F$12,IF(AND(B369&lt;&gt;"",L369&lt;&gt;$D$17,B369&gt;$D$16),G369*Resumo!$F$12,0))</f>
        <v>2.300705617383485</v>
      </c>
      <c r="I369" s="42">
        <f>IF(AND(B369&lt;&gt;"",L369&lt;&gt;$D$17,$D$16&gt;3,$B369&lt;=$D$16),$D$15*Resumo!$F$13,IF(AND(B369&lt;&gt;"",L369&lt;&gt;$D$17,B369&gt;$D$16),$D$15*Resumo!$F$13,0))</f>
        <v>34.369999999999997</v>
      </c>
      <c r="J369" s="42">
        <f>IF(AND(B369&lt;&gt;"",L369&lt;&gt;$D$17,$D$16&gt;3,$B369&lt;=$D$16),Resumo!$F$11,IF(AND(B369&lt;&gt;"",L369&lt;&gt;$D$17,B369&gt;$D$16),Resumo!$F$11,0))</f>
        <v>25</v>
      </c>
      <c r="K369" s="42">
        <f t="shared" ca="1" si="68"/>
        <v>984.64975036418025</v>
      </c>
      <c r="L369" s="39" t="str">
        <f>IF(B369&lt;&gt;"",VLOOKUP(MONTH(C369),Sheet2!$F$1:$G$12,2,0),"")</f>
        <v>Junho</v>
      </c>
      <c r="M369" s="200">
        <f t="shared" ca="1" si="69"/>
        <v>0</v>
      </c>
      <c r="N369" s="40">
        <f t="shared" ca="1" si="70"/>
        <v>922.97904474679672</v>
      </c>
      <c r="O369" s="40">
        <f t="shared" ca="1" si="71"/>
        <v>984.64975036418025</v>
      </c>
      <c r="P369" s="40"/>
      <c r="Q369" s="20">
        <f t="shared" ca="1" si="72"/>
        <v>834.89136490250701</v>
      </c>
      <c r="R369" s="1">
        <f t="shared" si="73"/>
        <v>10572</v>
      </c>
      <c r="S369" s="243">
        <f>IF(AND($K$2&gt;=DATEVALUE("03/04/2020"),$K$2&lt;=DATEVALUE("31/12/2020")),0,IF(Resumo!$C$19="PF",IF(R369&lt;360,0.0082%*R369,3%),IF(R369&lt;360,0.0041%*R369,1.5%)))</f>
        <v>1.4999999999999999E-2</v>
      </c>
      <c r="T369" s="172">
        <f t="shared" ca="1" si="74"/>
        <v>12.523370473537605</v>
      </c>
    </row>
    <row r="370" spans="2:20">
      <c r="B370" s="41">
        <f t="shared" si="75"/>
        <v>348</v>
      </c>
      <c r="C370" s="164">
        <f t="shared" si="65"/>
        <v>55349</v>
      </c>
      <c r="D370" s="42">
        <f t="shared" ca="1" si="66"/>
        <v>842.74931039701278</v>
      </c>
      <c r="E370" s="42">
        <f t="shared" ca="1" si="76"/>
        <v>74.499039039084266</v>
      </c>
      <c r="F370" s="42">
        <f t="shared" ca="1" si="67"/>
        <v>917.24834943609699</v>
      </c>
      <c r="G370" s="42">
        <f ca="1">IF(B370&lt;=$D$16,G369*(1+$D$13)^((C370-C369)/_xlfn.DAYS(EDATE(C369,1),C369)),G369-D370)+IF(B370&lt;=$D$16,G369*Resumo!$F$12,0)+IF(B370&lt;=$D$16,$D$15*Resumo!$F$13,0)+IF(B370&lt;=$D$16,25,0)-IF(AND($D$16&gt;3,B370&lt;=$D$16),K370,0)</f>
        <v>10112.99172476244</v>
      </c>
      <c r="H370" s="42">
        <f ca="1">IF(AND(B370&lt;&gt;"",L370&lt;&gt;$D$17,$D$16&gt;3),G370*Resumo!$F$12,IF(AND(B370&lt;&gt;"",L370&lt;&gt;$D$17,B370&gt;$D$16),G370*Resumo!$F$12,0))</f>
        <v>2.1237282622001126</v>
      </c>
      <c r="I370" s="42">
        <f>IF(AND(B370&lt;&gt;"",L370&lt;&gt;$D$17,$D$16&gt;3,$B370&lt;=$D$16),$D$15*Resumo!$F$13,IF(AND(B370&lt;&gt;"",L370&lt;&gt;$D$17,B370&gt;$D$16),$D$15*Resumo!$F$13,0))</f>
        <v>34.369999999999997</v>
      </c>
      <c r="J370" s="42">
        <f>IF(AND(B370&lt;&gt;"",L370&lt;&gt;$D$17,$D$16&gt;3,$B370&lt;=$D$16),Resumo!$F$11,IF(AND(B370&lt;&gt;"",L370&lt;&gt;$D$17,B370&gt;$D$16),Resumo!$F$11,0))</f>
        <v>25</v>
      </c>
      <c r="K370" s="42">
        <f t="shared" ca="1" si="68"/>
        <v>978.74207769829707</v>
      </c>
      <c r="L370" s="39" t="str">
        <f>IF(B370&lt;&gt;"",VLOOKUP(MONTH(C370),Sheet2!$F$1:$G$12,2,0),"")</f>
        <v>Julho</v>
      </c>
      <c r="M370" s="200">
        <f t="shared" ca="1" si="69"/>
        <v>0</v>
      </c>
      <c r="N370" s="40">
        <f t="shared" ca="1" si="70"/>
        <v>917.24834943609699</v>
      </c>
      <c r="O370" s="40">
        <f t="shared" ca="1" si="71"/>
        <v>978.74207769829707</v>
      </c>
      <c r="P370" s="40"/>
      <c r="Q370" s="20">
        <f t="shared" ca="1" si="72"/>
        <v>834.89136490250701</v>
      </c>
      <c r="R370" s="1">
        <f t="shared" si="73"/>
        <v>10602</v>
      </c>
      <c r="S370" s="243">
        <f>IF(AND($K$2&gt;=DATEVALUE("03/04/2020"),$K$2&lt;=DATEVALUE("31/12/2020")),0,IF(Resumo!$C$19="PF",IF(R370&lt;360,0.0082%*R370,3%),IF(R370&lt;360,0.0041%*R370,1.5%)))</f>
        <v>1.4999999999999999E-2</v>
      </c>
      <c r="T370" s="172">
        <f t="shared" ca="1" si="74"/>
        <v>12.523370473537605</v>
      </c>
    </row>
    <row r="371" spans="2:20">
      <c r="B371" s="41">
        <f t="shared" si="75"/>
        <v>349</v>
      </c>
      <c r="C371" s="164">
        <f t="shared" si="65"/>
        <v>55380</v>
      </c>
      <c r="D371" s="42">
        <f t="shared" ca="1" si="66"/>
        <v>842.74931039701278</v>
      </c>
      <c r="E371" s="42">
        <f t="shared" ca="1" si="76"/>
        <v>68.768343728384593</v>
      </c>
      <c r="F371" s="42">
        <f t="shared" ca="1" si="67"/>
        <v>911.51765412539737</v>
      </c>
      <c r="G371" s="42">
        <f ca="1">IF(B371&lt;=$D$16,G370*(1+$D$13)^((C371-C370)/_xlfn.DAYS(EDATE(C370,1),C370)),G370-D371)+IF(B371&lt;=$D$16,G370*Resumo!$F$12,0)+IF(B371&lt;=$D$16,$D$15*Resumo!$F$13,0)+IF(B371&lt;=$D$16,25,0)-IF(AND($D$16&gt;3,B371&lt;=$D$16),K371,0)</f>
        <v>9270.242414365428</v>
      </c>
      <c r="H371" s="42">
        <f ca="1">IF(AND(B371&lt;&gt;"",L371&lt;&gt;$D$17,$D$16&gt;3),G371*Resumo!$F$12,IF(AND(B371&lt;&gt;"",L371&lt;&gt;$D$17,B371&gt;$D$16),G371*Resumo!$F$12,0))</f>
        <v>1.9467509070167399</v>
      </c>
      <c r="I371" s="42">
        <f>IF(AND(B371&lt;&gt;"",L371&lt;&gt;$D$17,$D$16&gt;3,$B371&lt;=$D$16),$D$15*Resumo!$F$13,IF(AND(B371&lt;&gt;"",L371&lt;&gt;$D$17,B371&gt;$D$16),$D$15*Resumo!$F$13,0))</f>
        <v>34.369999999999997</v>
      </c>
      <c r="J371" s="42">
        <f>IF(AND(B371&lt;&gt;"",L371&lt;&gt;$D$17,$D$16&gt;3,$B371&lt;=$D$16),Resumo!$F$11,IF(AND(B371&lt;&gt;"",L371&lt;&gt;$D$17,B371&gt;$D$16),Resumo!$F$11,0))</f>
        <v>25</v>
      </c>
      <c r="K371" s="42">
        <f t="shared" ca="1" si="68"/>
        <v>972.83440503241411</v>
      </c>
      <c r="L371" s="39" t="str">
        <f>IF(B371&lt;&gt;"",VLOOKUP(MONTH(C371),Sheet2!$F$1:$G$12,2,0),"")</f>
        <v>Agosto</v>
      </c>
      <c r="M371" s="200">
        <f t="shared" ca="1" si="69"/>
        <v>0</v>
      </c>
      <c r="N371" s="40">
        <f t="shared" ca="1" si="70"/>
        <v>911.51765412539737</v>
      </c>
      <c r="O371" s="40">
        <f t="shared" ca="1" si="71"/>
        <v>972.83440503241411</v>
      </c>
      <c r="P371" s="40"/>
      <c r="Q371" s="20">
        <f t="shared" ca="1" si="72"/>
        <v>834.89136490250701</v>
      </c>
      <c r="R371" s="1">
        <f t="shared" si="73"/>
        <v>10633</v>
      </c>
      <c r="S371" s="243">
        <f>IF(AND($K$2&gt;=DATEVALUE("03/04/2020"),$K$2&lt;=DATEVALUE("31/12/2020")),0,IF(Resumo!$C$19="PF",IF(R371&lt;360,0.0082%*R371,3%),IF(R371&lt;360,0.0041%*R371,1.5%)))</f>
        <v>1.4999999999999999E-2</v>
      </c>
      <c r="T371" s="172">
        <f t="shared" ca="1" si="74"/>
        <v>12.523370473537605</v>
      </c>
    </row>
    <row r="372" spans="2:20">
      <c r="B372" s="41">
        <f t="shared" si="75"/>
        <v>350</v>
      </c>
      <c r="C372" s="164">
        <f t="shared" si="65"/>
        <v>55411</v>
      </c>
      <c r="D372" s="42">
        <f t="shared" ca="1" si="66"/>
        <v>842.74931039701278</v>
      </c>
      <c r="E372" s="42">
        <f t="shared" ca="1" si="76"/>
        <v>63.037648417684906</v>
      </c>
      <c r="F372" s="42">
        <f t="shared" ca="1" si="67"/>
        <v>905.78695881469764</v>
      </c>
      <c r="G372" s="42">
        <f ca="1">IF(B372&lt;=$D$16,G371*(1+$D$13)^((C372-C371)/_xlfn.DAYS(EDATE(C371,1),C371)),G371-D372)+IF(B372&lt;=$D$16,G371*Resumo!$F$12,0)+IF(B372&lt;=$D$16,$D$15*Resumo!$F$13,0)+IF(B372&lt;=$D$16,25,0)-IF(AND($D$16&gt;3,B372&lt;=$D$16),K372,0)</f>
        <v>8427.4931039684161</v>
      </c>
      <c r="H372" s="42">
        <f ca="1">IF(AND(B372&lt;&gt;"",L372&lt;&gt;$D$17,$D$16&gt;3),G372*Resumo!$F$12,IF(AND(B372&lt;&gt;"",L372&lt;&gt;$D$17,B372&gt;$D$16),G372*Resumo!$F$12,0))</f>
        <v>1.7697735518333675</v>
      </c>
      <c r="I372" s="42">
        <f>IF(AND(B372&lt;&gt;"",L372&lt;&gt;$D$17,$D$16&gt;3,$B372&lt;=$D$16),$D$15*Resumo!$F$13,IF(AND(B372&lt;&gt;"",L372&lt;&gt;$D$17,B372&gt;$D$16),$D$15*Resumo!$F$13,0))</f>
        <v>34.369999999999997</v>
      </c>
      <c r="J372" s="42">
        <f>IF(AND(B372&lt;&gt;"",L372&lt;&gt;$D$17,$D$16&gt;3,$B372&lt;=$D$16),Resumo!$F$11,IF(AND(B372&lt;&gt;"",L372&lt;&gt;$D$17,B372&gt;$D$16),Resumo!$F$11,0))</f>
        <v>25</v>
      </c>
      <c r="K372" s="42">
        <f t="shared" ca="1" si="68"/>
        <v>966.92673236653104</v>
      </c>
      <c r="L372" s="39" t="str">
        <f>IF(B372&lt;&gt;"",VLOOKUP(MONTH(C372),Sheet2!$F$1:$G$12,2,0),"")</f>
        <v>Setembro</v>
      </c>
      <c r="M372" s="200">
        <f t="shared" ca="1" si="69"/>
        <v>0</v>
      </c>
      <c r="N372" s="40">
        <f t="shared" ca="1" si="70"/>
        <v>905.78695881469764</v>
      </c>
      <c r="O372" s="40">
        <f t="shared" ca="1" si="71"/>
        <v>966.92673236653104</v>
      </c>
      <c r="P372" s="40"/>
      <c r="Q372" s="20">
        <f t="shared" ca="1" si="72"/>
        <v>834.89136490250701</v>
      </c>
      <c r="R372" s="1">
        <f t="shared" si="73"/>
        <v>10664</v>
      </c>
      <c r="S372" s="243">
        <f>IF(AND($K$2&gt;=DATEVALUE("03/04/2020"),$K$2&lt;=DATEVALUE("31/12/2020")),0,IF(Resumo!$C$19="PF",IF(R372&lt;360,0.0082%*R372,3%),IF(R372&lt;360,0.0041%*R372,1.5%)))</f>
        <v>1.4999999999999999E-2</v>
      </c>
      <c r="T372" s="172">
        <f t="shared" ca="1" si="74"/>
        <v>12.523370473537605</v>
      </c>
    </row>
    <row r="373" spans="2:20">
      <c r="B373" s="41">
        <f t="shared" si="75"/>
        <v>351</v>
      </c>
      <c r="C373" s="164">
        <f t="shared" si="65"/>
        <v>55441</v>
      </c>
      <c r="D373" s="42">
        <f t="shared" ca="1" si="66"/>
        <v>842.74931039701278</v>
      </c>
      <c r="E373" s="42">
        <f t="shared" ca="1" si="76"/>
        <v>57.306953106985226</v>
      </c>
      <c r="F373" s="42">
        <f t="shared" ca="1" si="67"/>
        <v>900.05626350399803</v>
      </c>
      <c r="G373" s="42">
        <f ca="1">IF(B373&lt;=$D$16,G372*(1+$D$13)^((C373-C372)/_xlfn.DAYS(EDATE(C372,1),C372)),G372-D373)+IF(B373&lt;=$D$16,G372*Resumo!$F$12,0)+IF(B373&lt;=$D$16,$D$15*Resumo!$F$13,0)+IF(B373&lt;=$D$16,25,0)-IF(AND($D$16&gt;3,B373&lt;=$D$16),K373,0)</f>
        <v>7584.7437935714033</v>
      </c>
      <c r="H373" s="42">
        <f ca="1">IF(AND(B373&lt;&gt;"",L373&lt;&gt;$D$17,$D$16&gt;3),G373*Resumo!$F$12,IF(AND(B373&lt;&gt;"",L373&lt;&gt;$D$17,B373&gt;$D$16),G373*Resumo!$F$12,0))</f>
        <v>1.5927961966499948</v>
      </c>
      <c r="I373" s="42">
        <f>IF(AND(B373&lt;&gt;"",L373&lt;&gt;$D$17,$D$16&gt;3,$B373&lt;=$D$16),$D$15*Resumo!$F$13,IF(AND(B373&lt;&gt;"",L373&lt;&gt;$D$17,B373&gt;$D$16),$D$15*Resumo!$F$13,0))</f>
        <v>34.369999999999997</v>
      </c>
      <c r="J373" s="42">
        <f>IF(AND(B373&lt;&gt;"",L373&lt;&gt;$D$17,$D$16&gt;3,$B373&lt;=$D$16),Resumo!$F$11,IF(AND(B373&lt;&gt;"",L373&lt;&gt;$D$17,B373&gt;$D$16),Resumo!$F$11,0))</f>
        <v>25</v>
      </c>
      <c r="K373" s="42">
        <f t="shared" ca="1" si="68"/>
        <v>961.01905970064797</v>
      </c>
      <c r="L373" s="39" t="str">
        <f>IF(B373&lt;&gt;"",VLOOKUP(MONTH(C373),Sheet2!$F$1:$G$12,2,0),"")</f>
        <v>Outubro</v>
      </c>
      <c r="M373" s="200">
        <f t="shared" ca="1" si="69"/>
        <v>0</v>
      </c>
      <c r="N373" s="40">
        <f t="shared" ca="1" si="70"/>
        <v>900.05626350399803</v>
      </c>
      <c r="O373" s="40">
        <f t="shared" ca="1" si="71"/>
        <v>961.01905970064797</v>
      </c>
      <c r="P373" s="40"/>
      <c r="Q373" s="20">
        <f t="shared" ca="1" si="72"/>
        <v>834.89136490250701</v>
      </c>
      <c r="R373" s="1">
        <f t="shared" si="73"/>
        <v>10694</v>
      </c>
      <c r="S373" s="243">
        <f>IF(AND($K$2&gt;=DATEVALUE("03/04/2020"),$K$2&lt;=DATEVALUE("31/12/2020")),0,IF(Resumo!$C$19="PF",IF(R373&lt;360,0.0082%*R373,3%),IF(R373&lt;360,0.0041%*R373,1.5%)))</f>
        <v>1.4999999999999999E-2</v>
      </c>
      <c r="T373" s="172">
        <f t="shared" ca="1" si="74"/>
        <v>12.523370473537605</v>
      </c>
    </row>
    <row r="374" spans="2:20">
      <c r="B374" s="41">
        <f t="shared" si="75"/>
        <v>352</v>
      </c>
      <c r="C374" s="164">
        <f t="shared" si="65"/>
        <v>55472</v>
      </c>
      <c r="D374" s="42">
        <f t="shared" ca="1" si="66"/>
        <v>842.74931039701278</v>
      </c>
      <c r="E374" s="42">
        <f t="shared" ca="1" si="76"/>
        <v>51.576257796285539</v>
      </c>
      <c r="F374" s="42">
        <f t="shared" ca="1" si="67"/>
        <v>894.3255681932983</v>
      </c>
      <c r="G374" s="42">
        <f ca="1">IF(B374&lt;=$D$16,G373*(1+$D$13)^((C374-C373)/_xlfn.DAYS(EDATE(C373,1),C373)),G373-D374)+IF(B374&lt;=$D$16,G373*Resumo!$F$12,0)+IF(B374&lt;=$D$16,$D$15*Resumo!$F$13,0)+IF(B374&lt;=$D$16,25,0)-IF(AND($D$16&gt;3,B374&lt;=$D$16),K374,0)</f>
        <v>6741.9944831743906</v>
      </c>
      <c r="H374" s="42">
        <f ca="1">IF(AND(B374&lt;&gt;"",L374&lt;&gt;$D$17,$D$16&gt;3),G374*Resumo!$F$12,IF(AND(B374&lt;&gt;"",L374&lt;&gt;$D$17,B374&gt;$D$16),G374*Resumo!$F$12,0))</f>
        <v>1.4158188414666222</v>
      </c>
      <c r="I374" s="42">
        <f>IF(AND(B374&lt;&gt;"",L374&lt;&gt;$D$17,$D$16&gt;3,$B374&lt;=$D$16),$D$15*Resumo!$F$13,IF(AND(B374&lt;&gt;"",L374&lt;&gt;$D$17,B374&gt;$D$16),$D$15*Resumo!$F$13,0))</f>
        <v>34.369999999999997</v>
      </c>
      <c r="J374" s="42">
        <f>IF(AND(B374&lt;&gt;"",L374&lt;&gt;$D$17,$D$16&gt;3,$B374&lt;=$D$16),Resumo!$F$11,IF(AND(B374&lt;&gt;"",L374&lt;&gt;$D$17,B374&gt;$D$16),Resumo!$F$11,0))</f>
        <v>25</v>
      </c>
      <c r="K374" s="42">
        <f t="shared" ca="1" si="68"/>
        <v>955.1113870347649</v>
      </c>
      <c r="L374" s="39" t="str">
        <f>IF(B374&lt;&gt;"",VLOOKUP(MONTH(C374),Sheet2!$F$1:$G$12,2,0),"")</f>
        <v>Novembro</v>
      </c>
      <c r="M374" s="200">
        <f t="shared" ca="1" si="69"/>
        <v>0</v>
      </c>
      <c r="N374" s="40">
        <f t="shared" ca="1" si="70"/>
        <v>894.3255681932983</v>
      </c>
      <c r="O374" s="40">
        <f t="shared" ca="1" si="71"/>
        <v>955.1113870347649</v>
      </c>
      <c r="P374" s="40"/>
      <c r="Q374" s="20">
        <f t="shared" ca="1" si="72"/>
        <v>834.89136490250701</v>
      </c>
      <c r="R374" s="1">
        <f t="shared" si="73"/>
        <v>10725</v>
      </c>
      <c r="S374" s="243">
        <f>IF(AND($K$2&gt;=DATEVALUE("03/04/2020"),$K$2&lt;=DATEVALUE("31/12/2020")),0,IF(Resumo!$C$19="PF",IF(R374&lt;360,0.0082%*R374,3%),IF(R374&lt;360,0.0041%*R374,1.5%)))</f>
        <v>1.4999999999999999E-2</v>
      </c>
      <c r="T374" s="172">
        <f t="shared" ca="1" si="74"/>
        <v>12.523370473537605</v>
      </c>
    </row>
    <row r="375" spans="2:20">
      <c r="B375" s="41">
        <f t="shared" si="75"/>
        <v>353</v>
      </c>
      <c r="C375" s="164">
        <f t="shared" si="65"/>
        <v>55502</v>
      </c>
      <c r="D375" s="42">
        <f t="shared" ca="1" si="66"/>
        <v>842.74931039701278</v>
      </c>
      <c r="E375" s="42">
        <f t="shared" ca="1" si="76"/>
        <v>45.845562485585852</v>
      </c>
      <c r="F375" s="42">
        <f t="shared" ca="1" si="67"/>
        <v>888.59487288259868</v>
      </c>
      <c r="G375" s="42">
        <f ca="1">IF(B375&lt;=$D$16,G374*(1+$D$13)^((C375-C374)/_xlfn.DAYS(EDATE(C374,1),C374)),G374-D375)+IF(B375&lt;=$D$16,G374*Resumo!$F$12,0)+IF(B375&lt;=$D$16,$D$15*Resumo!$F$13,0)+IF(B375&lt;=$D$16,25,0)-IF(AND($D$16&gt;3,B375&lt;=$D$16),K375,0)</f>
        <v>5899.2451727773778</v>
      </c>
      <c r="H375" s="42">
        <f ca="1">IF(AND(B375&lt;&gt;"",L375&lt;&gt;$D$17,$D$16&gt;3),G375*Resumo!$F$12,IF(AND(B375&lt;&gt;"",L375&lt;&gt;$D$17,B375&gt;$D$16),G375*Resumo!$F$12,0))</f>
        <v>1.2388414862832493</v>
      </c>
      <c r="I375" s="42">
        <f>IF(AND(B375&lt;&gt;"",L375&lt;&gt;$D$17,$D$16&gt;3,$B375&lt;=$D$16),$D$15*Resumo!$F$13,IF(AND(B375&lt;&gt;"",L375&lt;&gt;$D$17,B375&gt;$D$16),$D$15*Resumo!$F$13,0))</f>
        <v>34.369999999999997</v>
      </c>
      <c r="J375" s="42">
        <f>IF(AND(B375&lt;&gt;"",L375&lt;&gt;$D$17,$D$16&gt;3,$B375&lt;=$D$16),Resumo!$F$11,IF(AND(B375&lt;&gt;"",L375&lt;&gt;$D$17,B375&gt;$D$16),Resumo!$F$11,0))</f>
        <v>25</v>
      </c>
      <c r="K375" s="42">
        <f t="shared" ca="1" si="68"/>
        <v>949.20371436888195</v>
      </c>
      <c r="L375" s="39" t="str">
        <f>IF(B375&lt;&gt;"",VLOOKUP(MONTH(C375),Sheet2!$F$1:$G$12,2,0),"")</f>
        <v>Dezembro</v>
      </c>
      <c r="M375" s="200">
        <f t="shared" ca="1" si="69"/>
        <v>0</v>
      </c>
      <c r="N375" s="40">
        <f t="shared" ca="1" si="70"/>
        <v>888.59487288259868</v>
      </c>
      <c r="O375" s="40">
        <f t="shared" ca="1" si="71"/>
        <v>949.20371436888195</v>
      </c>
      <c r="P375" s="40"/>
      <c r="Q375" s="20">
        <f t="shared" ca="1" si="72"/>
        <v>834.89136490250701</v>
      </c>
      <c r="R375" s="1">
        <f t="shared" si="73"/>
        <v>10755</v>
      </c>
      <c r="S375" s="243">
        <f>IF(AND($K$2&gt;=DATEVALUE("03/04/2020"),$K$2&lt;=DATEVALUE("31/12/2020")),0,IF(Resumo!$C$19="PF",IF(R375&lt;360,0.0082%*R375,3%),IF(R375&lt;360,0.0041%*R375,1.5%)))</f>
        <v>1.4999999999999999E-2</v>
      </c>
      <c r="T375" s="172">
        <f t="shared" ca="1" si="74"/>
        <v>12.523370473537605</v>
      </c>
    </row>
    <row r="376" spans="2:20">
      <c r="B376" s="41">
        <f t="shared" si="75"/>
        <v>354</v>
      </c>
      <c r="C376" s="164">
        <f t="shared" si="65"/>
        <v>55533</v>
      </c>
      <c r="D376" s="42">
        <f t="shared" ca="1" si="66"/>
        <v>842.74931039701278</v>
      </c>
      <c r="E376" s="42">
        <f t="shared" ca="1" si="76"/>
        <v>40.114867174886164</v>
      </c>
      <c r="F376" s="42">
        <f t="shared" ca="1" si="67"/>
        <v>882.86417757189895</v>
      </c>
      <c r="G376" s="42">
        <f ca="1">IF(B376&lt;=$D$16,G375*(1+$D$13)^((C376-C375)/_xlfn.DAYS(EDATE(C375,1),C375)),G375-D376)+IF(B376&lt;=$D$16,G375*Resumo!$F$12,0)+IF(B376&lt;=$D$16,$D$15*Resumo!$F$13,0)+IF(B376&lt;=$D$16,25,0)-IF(AND($D$16&gt;3,B376&lt;=$D$16),K376,0)</f>
        <v>5056.495862380365</v>
      </c>
      <c r="H376" s="42">
        <f ca="1">IF(AND(B376&lt;&gt;"",L376&lt;&gt;$D$17,$D$16&gt;3),G376*Resumo!$F$12,IF(AND(B376&lt;&gt;"",L376&lt;&gt;$D$17,B376&gt;$D$16),G376*Resumo!$F$12,0))</f>
        <v>1.0618641310998767</v>
      </c>
      <c r="I376" s="42">
        <f>IF(AND(B376&lt;&gt;"",L376&lt;&gt;$D$17,$D$16&gt;3,$B376&lt;=$D$16),$D$15*Resumo!$F$13,IF(AND(B376&lt;&gt;"",L376&lt;&gt;$D$17,B376&gt;$D$16),$D$15*Resumo!$F$13,0))</f>
        <v>34.369999999999997</v>
      </c>
      <c r="J376" s="42">
        <f>IF(AND(B376&lt;&gt;"",L376&lt;&gt;$D$17,$D$16&gt;3,$B376&lt;=$D$16),Resumo!$F$11,IF(AND(B376&lt;&gt;"",L376&lt;&gt;$D$17,B376&gt;$D$16),Resumo!$F$11,0))</f>
        <v>25</v>
      </c>
      <c r="K376" s="42">
        <f t="shared" ca="1" si="68"/>
        <v>943.29604170299888</v>
      </c>
      <c r="L376" s="39" t="str">
        <f>IF(B376&lt;&gt;"",VLOOKUP(MONTH(C376),Sheet2!$F$1:$G$12,2,0),"")</f>
        <v>Janeiro</v>
      </c>
      <c r="M376" s="200">
        <f t="shared" ca="1" si="69"/>
        <v>0</v>
      </c>
      <c r="N376" s="40">
        <f t="shared" ca="1" si="70"/>
        <v>882.86417757189895</v>
      </c>
      <c r="O376" s="40">
        <f t="shared" ca="1" si="71"/>
        <v>943.29604170299888</v>
      </c>
      <c r="P376" s="40"/>
      <c r="Q376" s="20">
        <f t="shared" ca="1" si="72"/>
        <v>834.89136490250701</v>
      </c>
      <c r="R376" s="1">
        <f t="shared" si="73"/>
        <v>10786</v>
      </c>
      <c r="S376" s="243">
        <f>IF(AND($K$2&gt;=DATEVALUE("03/04/2020"),$K$2&lt;=DATEVALUE("31/12/2020")),0,IF(Resumo!$C$19="PF",IF(R376&lt;360,0.0082%*R376,3%),IF(R376&lt;360,0.0041%*R376,1.5%)))</f>
        <v>1.4999999999999999E-2</v>
      </c>
      <c r="T376" s="172">
        <f t="shared" ca="1" si="74"/>
        <v>12.523370473537605</v>
      </c>
    </row>
    <row r="377" spans="2:20">
      <c r="B377" s="41">
        <f t="shared" si="75"/>
        <v>355</v>
      </c>
      <c r="C377" s="164">
        <f t="shared" si="65"/>
        <v>55564</v>
      </c>
      <c r="D377" s="42">
        <f t="shared" ca="1" si="66"/>
        <v>842.74931039701278</v>
      </c>
      <c r="E377" s="42">
        <f t="shared" ca="1" si="76"/>
        <v>34.384171864186477</v>
      </c>
      <c r="F377" s="42">
        <f t="shared" ca="1" si="67"/>
        <v>877.13348226119922</v>
      </c>
      <c r="G377" s="42">
        <f ca="1">IF(B377&lt;=$D$16,G376*(1+$D$13)^((C377-C376)/_xlfn.DAYS(EDATE(C376,1),C376)),G376-D377)+IF(B377&lt;=$D$16,G376*Resumo!$F$12,0)+IF(B377&lt;=$D$16,$D$15*Resumo!$F$13,0)+IF(B377&lt;=$D$16,25,0)-IF(AND($D$16&gt;3,B377&lt;=$D$16),K377,0)</f>
        <v>4213.7465519833522</v>
      </c>
      <c r="H377" s="42">
        <f ca="1">IF(AND(B377&lt;&gt;"",L377&lt;&gt;$D$17,$D$16&gt;3),G377*Resumo!$F$12,IF(AND(B377&lt;&gt;"",L377&lt;&gt;$D$17,B377&gt;$D$16),G377*Resumo!$F$12,0))</f>
        <v>0.884886775916504</v>
      </c>
      <c r="I377" s="42">
        <f>IF(AND(B377&lt;&gt;"",L377&lt;&gt;$D$17,$D$16&gt;3,$B377&lt;=$D$16),$D$15*Resumo!$F$13,IF(AND(B377&lt;&gt;"",L377&lt;&gt;$D$17,B377&gt;$D$16),$D$15*Resumo!$F$13,0))</f>
        <v>34.369999999999997</v>
      </c>
      <c r="J377" s="42">
        <f>IF(AND(B377&lt;&gt;"",L377&lt;&gt;$D$17,$D$16&gt;3,$B377&lt;=$D$16),Resumo!$F$11,IF(AND(B377&lt;&gt;"",L377&lt;&gt;$D$17,B377&gt;$D$16),Resumo!$F$11,0))</f>
        <v>25</v>
      </c>
      <c r="K377" s="42">
        <f t="shared" ca="1" si="68"/>
        <v>937.38836903711569</v>
      </c>
      <c r="L377" s="39" t="str">
        <f>IF(B377&lt;&gt;"",VLOOKUP(MONTH(C377),Sheet2!$F$1:$G$12,2,0),"")</f>
        <v>Fevereiro</v>
      </c>
      <c r="M377" s="200">
        <f t="shared" ca="1" si="69"/>
        <v>0</v>
      </c>
      <c r="N377" s="40">
        <f t="shared" ca="1" si="70"/>
        <v>877.13348226119922</v>
      </c>
      <c r="O377" s="40">
        <f t="shared" ca="1" si="71"/>
        <v>937.38836903711569</v>
      </c>
      <c r="P377" s="40"/>
      <c r="Q377" s="20">
        <f t="shared" ca="1" si="72"/>
        <v>834.89136490250701</v>
      </c>
      <c r="R377" s="1">
        <f t="shared" si="73"/>
        <v>10817</v>
      </c>
      <c r="S377" s="243">
        <f>IF(AND($K$2&gt;=DATEVALUE("03/04/2020"),$K$2&lt;=DATEVALUE("31/12/2020")),0,IF(Resumo!$C$19="PF",IF(R377&lt;360,0.0082%*R377,3%),IF(R377&lt;360,0.0041%*R377,1.5%)))</f>
        <v>1.4999999999999999E-2</v>
      </c>
      <c r="T377" s="172">
        <f t="shared" ca="1" si="74"/>
        <v>12.523370473537605</v>
      </c>
    </row>
    <row r="378" spans="2:20">
      <c r="B378" s="41">
        <f t="shared" si="75"/>
        <v>356</v>
      </c>
      <c r="C378" s="164">
        <f t="shared" si="65"/>
        <v>55593</v>
      </c>
      <c r="D378" s="42">
        <f t="shared" ca="1" si="66"/>
        <v>842.74931039701278</v>
      </c>
      <c r="E378" s="42">
        <f t="shared" ca="1" si="76"/>
        <v>28.653476553486794</v>
      </c>
      <c r="F378" s="42">
        <f t="shared" ca="1" si="67"/>
        <v>871.4027869504996</v>
      </c>
      <c r="G378" s="42">
        <f ca="1">IF(B378&lt;=$D$16,G377*(1+$D$13)^((C378-C377)/_xlfn.DAYS(EDATE(C377,1),C377)),G377-D378)+IF(B378&lt;=$D$16,G377*Resumo!$F$12,0)+IF(B378&lt;=$D$16,$D$15*Resumo!$F$13,0)+IF(B378&lt;=$D$16,25,0)-IF(AND($D$16&gt;3,B378&lt;=$D$16),K378,0)</f>
        <v>3370.9972415863394</v>
      </c>
      <c r="H378" s="42">
        <f ca="1">IF(AND(B378&lt;&gt;"",L378&lt;&gt;$D$17,$D$16&gt;3),G378*Resumo!$F$12,IF(AND(B378&lt;&gt;"",L378&lt;&gt;$D$17,B378&gt;$D$16),G378*Resumo!$F$12,0))</f>
        <v>0.70790942073313134</v>
      </c>
      <c r="I378" s="42">
        <f>IF(AND(B378&lt;&gt;"",L378&lt;&gt;$D$17,$D$16&gt;3,$B378&lt;=$D$16),$D$15*Resumo!$F$13,IF(AND(B378&lt;&gt;"",L378&lt;&gt;$D$17,B378&gt;$D$16),$D$15*Resumo!$F$13,0))</f>
        <v>34.369999999999997</v>
      </c>
      <c r="J378" s="42">
        <f>IF(AND(B378&lt;&gt;"",L378&lt;&gt;$D$17,$D$16&gt;3,$B378&lt;=$D$16),Resumo!$F$11,IF(AND(B378&lt;&gt;"",L378&lt;&gt;$D$17,B378&gt;$D$16),Resumo!$F$11,0))</f>
        <v>25</v>
      </c>
      <c r="K378" s="42">
        <f t="shared" ca="1" si="68"/>
        <v>931.48069637123274</v>
      </c>
      <c r="L378" s="39" t="str">
        <f>IF(B378&lt;&gt;"",VLOOKUP(MONTH(C378),Sheet2!$F$1:$G$12,2,0),"")</f>
        <v>Março</v>
      </c>
      <c r="M378" s="200">
        <f t="shared" ca="1" si="69"/>
        <v>0</v>
      </c>
      <c r="N378" s="40">
        <f t="shared" ca="1" si="70"/>
        <v>871.4027869504996</v>
      </c>
      <c r="O378" s="40">
        <f t="shared" ca="1" si="71"/>
        <v>931.48069637123274</v>
      </c>
      <c r="P378" s="40"/>
      <c r="Q378" s="20">
        <f t="shared" ca="1" si="72"/>
        <v>834.89136490250701</v>
      </c>
      <c r="R378" s="1">
        <f t="shared" si="73"/>
        <v>10846</v>
      </c>
      <c r="S378" s="243">
        <f>IF(AND($K$2&gt;=DATEVALUE("03/04/2020"),$K$2&lt;=DATEVALUE("31/12/2020")),0,IF(Resumo!$C$19="PF",IF(R378&lt;360,0.0082%*R378,3%),IF(R378&lt;360,0.0041%*R378,1.5%)))</f>
        <v>1.4999999999999999E-2</v>
      </c>
      <c r="T378" s="172">
        <f t="shared" ca="1" si="74"/>
        <v>12.523370473537605</v>
      </c>
    </row>
    <row r="379" spans="2:20">
      <c r="B379" s="41">
        <f t="shared" si="75"/>
        <v>357</v>
      </c>
      <c r="C379" s="164">
        <f t="shared" si="65"/>
        <v>55624</v>
      </c>
      <c r="D379" s="42">
        <f t="shared" ca="1" si="66"/>
        <v>842.74931039701278</v>
      </c>
      <c r="E379" s="42">
        <f t="shared" ca="1" si="76"/>
        <v>22.922781242787106</v>
      </c>
      <c r="F379" s="42">
        <f t="shared" ca="1" si="67"/>
        <v>865.67209163979987</v>
      </c>
      <c r="G379" s="42">
        <f ca="1">IF(B379&lt;=$D$16,G378*(1+$D$13)^((C379-C378)/_xlfn.DAYS(EDATE(C378,1),C378)),G378-D379)+IF(B379&lt;=$D$16,G378*Resumo!$F$12,0)+IF(B379&lt;=$D$16,$D$15*Resumo!$F$13,0)+IF(B379&lt;=$D$16,25,0)-IF(AND($D$16&gt;3,B379&lt;=$D$16),K379,0)</f>
        <v>2528.2479311893267</v>
      </c>
      <c r="H379" s="42">
        <f ca="1">IF(AND(B379&lt;&gt;"",L379&lt;&gt;$D$17,$D$16&gt;3),G379*Resumo!$F$12,IF(AND(B379&lt;&gt;"",L379&lt;&gt;$D$17,B379&gt;$D$16),G379*Resumo!$F$12,0))</f>
        <v>0.53093206554975858</v>
      </c>
      <c r="I379" s="42">
        <f>IF(AND(B379&lt;&gt;"",L379&lt;&gt;$D$17,$D$16&gt;3,$B379&lt;=$D$16),$D$15*Resumo!$F$13,IF(AND(B379&lt;&gt;"",L379&lt;&gt;$D$17,B379&gt;$D$16),$D$15*Resumo!$F$13,0))</f>
        <v>34.369999999999997</v>
      </c>
      <c r="J379" s="42">
        <f>IF(AND(B379&lt;&gt;"",L379&lt;&gt;$D$17,$D$16&gt;3,$B379&lt;=$D$16),Resumo!$F$11,IF(AND(B379&lt;&gt;"",L379&lt;&gt;$D$17,B379&gt;$D$16),Resumo!$F$11,0))</f>
        <v>25</v>
      </c>
      <c r="K379" s="42">
        <f t="shared" ca="1" si="68"/>
        <v>925.57302370534967</v>
      </c>
      <c r="L379" s="39" t="str">
        <f>IF(B379&lt;&gt;"",VLOOKUP(MONTH(C379),Sheet2!$F$1:$G$12,2,0),"")</f>
        <v>Abril</v>
      </c>
      <c r="M379" s="200">
        <f t="shared" ca="1" si="69"/>
        <v>0</v>
      </c>
      <c r="N379" s="40">
        <f t="shared" ca="1" si="70"/>
        <v>865.67209163979987</v>
      </c>
      <c r="O379" s="40">
        <f t="shared" ca="1" si="71"/>
        <v>925.57302370534967</v>
      </c>
      <c r="P379" s="40"/>
      <c r="Q379" s="20">
        <f t="shared" ca="1" si="72"/>
        <v>834.89136490250701</v>
      </c>
      <c r="R379" s="1">
        <f t="shared" si="73"/>
        <v>10877</v>
      </c>
      <c r="S379" s="243">
        <f>IF(AND($K$2&gt;=DATEVALUE("03/04/2020"),$K$2&lt;=DATEVALUE("31/12/2020")),0,IF(Resumo!$C$19="PF",IF(R379&lt;360,0.0082%*R379,3%),IF(R379&lt;360,0.0041%*R379,1.5%)))</f>
        <v>1.4999999999999999E-2</v>
      </c>
      <c r="T379" s="172">
        <f t="shared" ca="1" si="74"/>
        <v>12.523370473537605</v>
      </c>
    </row>
    <row r="380" spans="2:20">
      <c r="B380" s="41">
        <f t="shared" si="75"/>
        <v>358</v>
      </c>
      <c r="C380" s="164">
        <f t="shared" si="65"/>
        <v>55654</v>
      </c>
      <c r="D380" s="42">
        <f t="shared" ca="1" si="66"/>
        <v>842.74931039701278</v>
      </c>
      <c r="E380" s="42">
        <f t="shared" ca="1" si="76"/>
        <v>17.192085932087419</v>
      </c>
      <c r="F380" s="42">
        <f t="shared" ca="1" si="67"/>
        <v>859.94139632910014</v>
      </c>
      <c r="G380" s="42">
        <f ca="1">IF(B380&lt;=$D$16,G379*(1+$D$13)^((C380-C379)/_xlfn.DAYS(EDATE(C379,1),C379)),G379-D380)+IF(B380&lt;=$D$16,G379*Resumo!$F$12,0)+IF(B380&lt;=$D$16,$D$15*Resumo!$F$13,0)+IF(B380&lt;=$D$16,25,0)-IF(AND($D$16&gt;3,B380&lt;=$D$16),K380,0)</f>
        <v>1685.4986207923139</v>
      </c>
      <c r="H380" s="42">
        <f ca="1">IF(AND(B380&lt;&gt;"",L380&lt;&gt;$D$17,$D$16&gt;3),G380*Resumo!$F$12,IF(AND(B380&lt;&gt;"",L380&lt;&gt;$D$17,B380&gt;$D$16),G380*Resumo!$F$12,0))</f>
        <v>0.35395471036638593</v>
      </c>
      <c r="I380" s="42">
        <f>IF(AND(B380&lt;&gt;"",L380&lt;&gt;$D$17,$D$16&gt;3,$B380&lt;=$D$16),$D$15*Resumo!$F$13,IF(AND(B380&lt;&gt;"",L380&lt;&gt;$D$17,B380&gt;$D$16),$D$15*Resumo!$F$13,0))</f>
        <v>34.369999999999997</v>
      </c>
      <c r="J380" s="42">
        <f>IF(AND(B380&lt;&gt;"",L380&lt;&gt;$D$17,$D$16&gt;3,$B380&lt;=$D$16),Resumo!$F$11,IF(AND(B380&lt;&gt;"",L380&lt;&gt;$D$17,B380&gt;$D$16),Resumo!$F$11,0))</f>
        <v>25</v>
      </c>
      <c r="K380" s="42">
        <f t="shared" ca="1" si="68"/>
        <v>919.66535103946649</v>
      </c>
      <c r="L380" s="39" t="str">
        <f>IF(B380&lt;&gt;"",VLOOKUP(MONTH(C380),Sheet2!$F$1:$G$12,2,0),"")</f>
        <v>Maio</v>
      </c>
      <c r="M380" s="200">
        <f t="shared" ca="1" si="69"/>
        <v>0</v>
      </c>
      <c r="N380" s="40">
        <f t="shared" ca="1" si="70"/>
        <v>859.94139632910014</v>
      </c>
      <c r="O380" s="40">
        <f t="shared" ca="1" si="71"/>
        <v>919.66535103946649</v>
      </c>
      <c r="P380" s="40"/>
      <c r="Q380" s="20">
        <f t="shared" ca="1" si="72"/>
        <v>834.89136490250701</v>
      </c>
      <c r="R380" s="1">
        <f t="shared" si="73"/>
        <v>10907</v>
      </c>
      <c r="S380" s="243">
        <f>IF(AND($K$2&gt;=DATEVALUE("03/04/2020"),$K$2&lt;=DATEVALUE("31/12/2020")),0,IF(Resumo!$C$19="PF",IF(R380&lt;360,0.0082%*R380,3%),IF(R380&lt;360,0.0041%*R380,1.5%)))</f>
        <v>1.4999999999999999E-2</v>
      </c>
      <c r="T380" s="172">
        <f t="shared" ca="1" si="74"/>
        <v>12.523370473537605</v>
      </c>
    </row>
    <row r="381" spans="2:20">
      <c r="B381" s="41">
        <f t="shared" si="75"/>
        <v>359</v>
      </c>
      <c r="C381" s="164">
        <f t="shared" si="65"/>
        <v>55685</v>
      </c>
      <c r="D381" s="42">
        <f t="shared" ca="1" si="66"/>
        <v>842.74931039701278</v>
      </c>
      <c r="E381" s="42">
        <f t="shared" ca="1" si="76"/>
        <v>11.461390621387734</v>
      </c>
      <c r="F381" s="42">
        <f t="shared" ca="1" si="67"/>
        <v>854.21070101840053</v>
      </c>
      <c r="G381" s="42">
        <f ca="1">IF(B381&lt;=$D$16,G380*(1+$D$13)^((C381-C380)/_xlfn.DAYS(EDATE(C380,1),C380)),G380-D381)+IF(B381&lt;=$D$16,G380*Resumo!$F$12,0)+IF(B381&lt;=$D$16,$D$15*Resumo!$F$13,0)+IF(B381&lt;=$D$16,25,0)-IF(AND($D$16&gt;3,B381&lt;=$D$16),K381,0)</f>
        <v>842.74931039530111</v>
      </c>
      <c r="H381" s="42">
        <f ca="1">IF(AND(B381&lt;&gt;"",L381&lt;&gt;$D$17,$D$16&gt;3),G381*Resumo!$F$12,IF(AND(B381&lt;&gt;"",L381&lt;&gt;$D$17,B381&gt;$D$16),G381*Resumo!$F$12,0))</f>
        <v>0.17697735518301325</v>
      </c>
      <c r="I381" s="42">
        <f>IF(AND(B381&lt;&gt;"",L381&lt;&gt;$D$17,$D$16&gt;3,$B381&lt;=$D$16),$D$15*Resumo!$F$13,IF(AND(B381&lt;&gt;"",L381&lt;&gt;$D$17,B381&gt;$D$16),$D$15*Resumo!$F$13,0))</f>
        <v>34.369999999999997</v>
      </c>
      <c r="J381" s="42">
        <f>IF(AND(B381&lt;&gt;"",L381&lt;&gt;$D$17,$D$16&gt;3,$B381&lt;=$D$16),Resumo!$F$11,IF(AND(B381&lt;&gt;"",L381&lt;&gt;$D$17,B381&gt;$D$16),Resumo!$F$11,0))</f>
        <v>25</v>
      </c>
      <c r="K381" s="42">
        <f t="shared" ca="1" si="68"/>
        <v>913.75767837358353</v>
      </c>
      <c r="L381" s="39" t="str">
        <f>IF(B381&lt;&gt;"",VLOOKUP(MONTH(C381),Sheet2!$F$1:$G$12,2,0),"")</f>
        <v>Junho</v>
      </c>
      <c r="M381" s="200">
        <f t="shared" ca="1" si="69"/>
        <v>0</v>
      </c>
      <c r="N381" s="40">
        <f t="shared" ca="1" si="70"/>
        <v>854.21070101840053</v>
      </c>
      <c r="O381" s="40">
        <f t="shared" ca="1" si="71"/>
        <v>913.75767837358353</v>
      </c>
      <c r="P381" s="40"/>
      <c r="Q381" s="20">
        <f t="shared" ca="1" si="72"/>
        <v>834.89136490250701</v>
      </c>
      <c r="R381" s="1">
        <f t="shared" si="73"/>
        <v>10938</v>
      </c>
      <c r="S381" s="243">
        <f>IF(AND($K$2&gt;=DATEVALUE("03/04/2020"),$K$2&lt;=DATEVALUE("31/12/2020")),0,IF(Resumo!$C$19="PF",IF(R381&lt;360,0.0082%*R381,3%),IF(R381&lt;360,0.0041%*R381,1.5%)))</f>
        <v>1.4999999999999999E-2</v>
      </c>
      <c r="T381" s="172">
        <f t="shared" ca="1" si="74"/>
        <v>12.523370473537605</v>
      </c>
    </row>
    <row r="382" spans="2:20">
      <c r="B382" s="41">
        <f t="shared" si="75"/>
        <v>360</v>
      </c>
      <c r="C382" s="164">
        <f t="shared" si="65"/>
        <v>55715</v>
      </c>
      <c r="D382" s="42">
        <f t="shared" ca="1" si="66"/>
        <v>842.74931039701278</v>
      </c>
      <c r="E382" s="42">
        <f t="shared" ca="1" si="76"/>
        <v>5.7306953106880476</v>
      </c>
      <c r="F382" s="42">
        <f t="shared" ca="1" si="67"/>
        <v>848.4800057077008</v>
      </c>
      <c r="G382" s="38">
        <f ca="1">IF(B382&lt;=$D$16,G381*(1+$D$13)^((C382-C381)/_xlfn.DAYS(EDATE(C381,1),C381)),G381-D382)+IF(B382&lt;=$D$16,G381*Resumo!$F$12,0)+IF(B382&lt;=$D$16,$D$15*Resumo!$F$13,0)+IF(B382&lt;=$D$16,25,0)-IF(AND($D$16&gt;3,B382&lt;=$D$16),K382,0)</f>
        <v>-1.7116690287366509E-9</v>
      </c>
      <c r="H382" s="136">
        <f ca="1">IF(AND(B382&lt;&gt;"",L382&lt;&gt;$D$17,$D$16&gt;3),G382*Resumo!$F$12,IF(AND(B382&lt;&gt;"",L382&lt;&gt;$D$17,B382&gt;$D$16),G382*Resumo!$F$12,0))</f>
        <v>-3.5945049603469671E-13</v>
      </c>
      <c r="I382" s="2">
        <f>IF(AND(B382&lt;&gt;"",L382&lt;&gt;$D$17,$D$16&gt;3,$B382&lt;=$D$16),$D$15*Resumo!$F$13,IF(AND(B382&lt;&gt;"",L382&lt;&gt;$D$17,B382&gt;$D$16),$D$15*Resumo!$F$13,0))</f>
        <v>34.369999999999997</v>
      </c>
      <c r="J382" s="38">
        <f>IF(AND(B382&lt;&gt;"",L382&lt;&gt;$D$17,$D$16&gt;3,$B382&lt;=$D$16),Resumo!$F$11,IF(AND(B382&lt;&gt;"",L382&lt;&gt;$D$17,B382&gt;$D$16),Resumo!$F$11,0))</f>
        <v>25</v>
      </c>
      <c r="K382" s="42">
        <f t="shared" ca="1" si="68"/>
        <v>907.85000570770046</v>
      </c>
      <c r="L382" s="39" t="str">
        <f>IF(B382&lt;&gt;"",VLOOKUP(MONTH(C382),Sheet2!$F$1:$G$12,2,0),"")</f>
        <v>Julho</v>
      </c>
      <c r="M382" s="200">
        <f t="shared" ca="1" si="69"/>
        <v>0</v>
      </c>
      <c r="N382" s="40">
        <f t="shared" ca="1" si="70"/>
        <v>848.4800057077008</v>
      </c>
      <c r="O382" s="40">
        <f t="shared" ca="1" si="71"/>
        <v>907.85000570770046</v>
      </c>
      <c r="P382" s="40"/>
      <c r="Q382" s="20">
        <f t="shared" ca="1" si="72"/>
        <v>834.89136490250701</v>
      </c>
      <c r="R382" s="1">
        <f t="shared" si="73"/>
        <v>10968</v>
      </c>
      <c r="S382" s="243">
        <f>IF(AND($K$2&gt;=DATEVALUE("03/04/2020"),$K$2&lt;=DATEVALUE("31/12/2020")),0,IF(Resumo!$C$19="PF",IF(R382&lt;360,0.0082%*R382,3%),IF(R382&lt;360,0.0041%*R382,1.5%)))</f>
        <v>1.4999999999999999E-2</v>
      </c>
      <c r="T382" s="172">
        <f t="shared" ca="1" si="74"/>
        <v>12.523370473537605</v>
      </c>
    </row>
  </sheetData>
  <dataConsolidate/>
  <dataValidations count="1">
    <dataValidation type="list" allowBlank="1" showInputMessage="1" showErrorMessage="1" sqref="D17" xr:uid="{EE273832-C939-4361-86B0-AD802CFD1AD6}">
      <formula1>$R$2:$R$14</formula1>
    </dataValidation>
  </dataValidations>
  <pageMargins left="0.7" right="0.7" top="0.75" bottom="0.75" header="0.3" footer="0.3"/>
  <pageSetup paperSize="9" scale="59" orientation="portrait" horizontalDpi="4294967294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82B79-2409-48C8-AD6D-F2354F6DD22E}">
  <sheetPr codeName="Sheet8"/>
  <dimension ref="A1:W444"/>
  <sheetViews>
    <sheetView showGridLines="0" topLeftCell="B1" zoomScaleNormal="100" zoomScaleSheetLayoutView="85" workbookViewId="0">
      <selection activeCell="H29" sqref="H29"/>
    </sheetView>
  </sheetViews>
  <sheetFormatPr defaultColWidth="6.77734375" defaultRowHeight="14.4"/>
  <cols>
    <col min="1" max="1" width="9.21875" style="216" hidden="1" customWidth="1"/>
    <col min="2" max="2" width="4.44140625" style="216" customWidth="1"/>
    <col min="3" max="3" width="24.77734375" style="216" bestFit="1" customWidth="1"/>
    <col min="4" max="4" width="20" style="216" customWidth="1"/>
    <col min="5" max="5" width="14.44140625" style="216" bestFit="1" customWidth="1"/>
    <col min="6" max="6" width="15" style="216" bestFit="1" customWidth="1"/>
    <col min="7" max="7" width="14.44140625" style="135" bestFit="1" customWidth="1"/>
    <col min="8" max="8" width="13.44140625" style="135" customWidth="1"/>
    <col min="9" max="9" width="9" style="216" bestFit="1" customWidth="1"/>
    <col min="10" max="10" width="15.21875" style="216" bestFit="1" customWidth="1"/>
    <col min="11" max="11" width="10.44140625" style="39" bestFit="1" customWidth="1"/>
    <col min="12" max="12" width="10.44140625" style="153" customWidth="1"/>
    <col min="13" max="13" width="14.21875" style="216" bestFit="1" customWidth="1"/>
    <col min="14" max="14" width="15" style="216" bestFit="1" customWidth="1"/>
    <col min="15" max="15" width="3.21875" style="216" customWidth="1"/>
    <col min="16" max="16" width="14.44140625" style="216" customWidth="1"/>
    <col min="17" max="17" width="8.77734375" style="1" customWidth="1"/>
    <col min="18" max="18" width="13.21875" style="216" customWidth="1"/>
    <col min="19" max="19" width="12.77734375" style="216" bestFit="1" customWidth="1"/>
    <col min="20" max="20" width="6.77734375" style="216"/>
    <col min="21" max="21" width="11.77734375" style="216" bestFit="1" customWidth="1"/>
    <col min="22" max="22" width="8.21875" style="216" bestFit="1" customWidth="1"/>
    <col min="23" max="23" width="12.77734375" style="216" bestFit="1" customWidth="1"/>
    <col min="24" max="16384" width="6.77734375" style="216"/>
  </cols>
  <sheetData>
    <row r="1" spans="2:19">
      <c r="B1" s="245"/>
    </row>
    <row r="2" spans="2:19">
      <c r="I2" s="146" t="s">
        <v>292</v>
      </c>
      <c r="J2" s="167">
        <f>Sim_SAC!K2</f>
        <v>44747</v>
      </c>
      <c r="P2" s="39">
        <v>0</v>
      </c>
      <c r="Q2" s="39" t="s">
        <v>6</v>
      </c>
    </row>
    <row r="3" spans="2:19">
      <c r="I3" s="146" t="s">
        <v>290</v>
      </c>
      <c r="J3" s="166">
        <f>Sim_SAC!K3</f>
        <v>15</v>
      </c>
      <c r="P3" s="39">
        <v>1</v>
      </c>
      <c r="Q3" s="39" t="s">
        <v>144</v>
      </c>
    </row>
    <row r="4" spans="2:19">
      <c r="P4" s="39">
        <v>2</v>
      </c>
      <c r="Q4" s="39" t="s">
        <v>145</v>
      </c>
    </row>
    <row r="5" spans="2:19">
      <c r="C5" s="15" t="s">
        <v>68</v>
      </c>
      <c r="J5" s="58"/>
      <c r="P5" s="39">
        <v>3</v>
      </c>
      <c r="Q5" s="39" t="s">
        <v>146</v>
      </c>
    </row>
    <row r="6" spans="2:19">
      <c r="C6" s="16" t="s">
        <v>69</v>
      </c>
      <c r="D6" s="17">
        <f ca="1">Resumo!F6</f>
        <v>299726</v>
      </c>
      <c r="E6" s="6"/>
      <c r="F6" s="180"/>
      <c r="P6" s="39">
        <v>4</v>
      </c>
      <c r="Q6" s="39" t="s">
        <v>147</v>
      </c>
    </row>
    <row r="7" spans="2:19">
      <c r="C7" s="18" t="s">
        <v>70</v>
      </c>
      <c r="D7" s="19" t="s">
        <v>66</v>
      </c>
      <c r="E7" s="6"/>
      <c r="F7" s="6"/>
      <c r="P7" s="39">
        <v>5</v>
      </c>
      <c r="Q7" s="39" t="s">
        <v>148</v>
      </c>
    </row>
    <row r="8" spans="2:19">
      <c r="C8" s="21" t="s">
        <v>14</v>
      </c>
      <c r="D8" s="22">
        <f>Resumo!F9</f>
        <v>0</v>
      </c>
      <c r="E8" s="23"/>
      <c r="F8" s="6"/>
      <c r="G8" s="168"/>
      <c r="P8" s="39">
        <v>6</v>
      </c>
      <c r="Q8" s="39" t="s">
        <v>149</v>
      </c>
    </row>
    <row r="9" spans="2:19">
      <c r="C9" s="18" t="s">
        <v>13</v>
      </c>
      <c r="D9" s="25">
        <f ca="1">Resumo!F8</f>
        <v>9450</v>
      </c>
      <c r="E9" s="6"/>
      <c r="F9" s="6"/>
      <c r="G9" s="169"/>
      <c r="I9" s="1"/>
      <c r="J9" s="54"/>
      <c r="P9" s="39">
        <v>7</v>
      </c>
      <c r="Q9" s="39" t="s">
        <v>150</v>
      </c>
    </row>
    <row r="10" spans="2:19">
      <c r="C10" s="21" t="s">
        <v>72</v>
      </c>
      <c r="D10" s="26">
        <f>Resumo!F10</f>
        <v>20276</v>
      </c>
      <c r="E10" s="27"/>
      <c r="F10" s="6"/>
      <c r="I10" s="1"/>
      <c r="J10" s="54"/>
      <c r="P10" s="39">
        <v>8</v>
      </c>
      <c r="Q10" s="39" t="s">
        <v>151</v>
      </c>
    </row>
    <row r="11" spans="2:19">
      <c r="C11" s="18" t="s">
        <v>73</v>
      </c>
      <c r="D11" s="28">
        <f ca="1">D6-D8-D9-D10</f>
        <v>270000</v>
      </c>
      <c r="E11" s="6"/>
      <c r="F11" s="6"/>
      <c r="I11" s="1"/>
      <c r="J11" s="54"/>
      <c r="P11" s="39">
        <v>9</v>
      </c>
      <c r="Q11" s="39" t="s">
        <v>152</v>
      </c>
    </row>
    <row r="12" spans="2:19">
      <c r="C12" s="21" t="s">
        <v>4</v>
      </c>
      <c r="D12" s="237">
        <v>360</v>
      </c>
      <c r="E12" s="29"/>
      <c r="F12" s="6"/>
      <c r="P12" s="39">
        <v>10</v>
      </c>
      <c r="Q12" s="39" t="s">
        <v>153</v>
      </c>
    </row>
    <row r="13" spans="2:19">
      <c r="B13" s="31"/>
      <c r="C13" s="18" t="s">
        <v>294</v>
      </c>
      <c r="D13" s="32">
        <f>Resumo!F18</f>
        <v>6.7999999999999996E-3</v>
      </c>
      <c r="E13" s="6"/>
      <c r="P13" s="39">
        <v>11</v>
      </c>
      <c r="Q13" s="39" t="s">
        <v>154</v>
      </c>
    </row>
    <row r="14" spans="2:19">
      <c r="B14" s="31"/>
      <c r="C14" s="21" t="s">
        <v>434</v>
      </c>
      <c r="D14" s="22">
        <f ca="1">MAX(J21:J2001)</f>
        <v>2378.1487510718398</v>
      </c>
      <c r="E14" s="33"/>
      <c r="P14" s="39">
        <v>12</v>
      </c>
      <c r="Q14" s="39" t="s">
        <v>155</v>
      </c>
    </row>
    <row r="15" spans="2:19">
      <c r="B15" s="31"/>
      <c r="C15" s="18" t="s">
        <v>3</v>
      </c>
      <c r="D15" s="34">
        <f>Resumo!C12</f>
        <v>491000</v>
      </c>
      <c r="E15" s="6"/>
    </row>
    <row r="16" spans="2:19">
      <c r="B16" s="31"/>
      <c r="C16" s="21" t="s">
        <v>289</v>
      </c>
      <c r="D16" s="220">
        <f>Resumo!C10</f>
        <v>1</v>
      </c>
      <c r="E16" s="6"/>
      <c r="L16" s="170" t="s">
        <v>293</v>
      </c>
      <c r="M16" s="24">
        <f>Resumo!F18</f>
        <v>6.7999999999999996E-3</v>
      </c>
      <c r="Q16" s="59" t="s">
        <v>301</v>
      </c>
      <c r="S16" s="172">
        <f ca="1">SUM(S21:S382)</f>
        <v>4442.0269835932786</v>
      </c>
    </row>
    <row r="17" spans="2:23">
      <c r="B17" s="31"/>
      <c r="C17" s="18" t="s">
        <v>74</v>
      </c>
      <c r="D17" s="19" t="s">
        <v>6</v>
      </c>
      <c r="E17" s="154">
        <f>COUNTIF(K23:K342,D17)-IF(D16=6,COUNTIF(K23:K28,D17),IF(D16=3,COUNTIF(K23:K25,D17),IF(D16=1,COUNTIF(K23,D17),0)))</f>
        <v>0</v>
      </c>
      <c r="F17" s="156"/>
      <c r="L17" s="153" t="s">
        <v>377</v>
      </c>
      <c r="M17" s="172">
        <v>109904.28938481407</v>
      </c>
      <c r="Q17" s="176" t="s">
        <v>302</v>
      </c>
      <c r="R17" s="177"/>
      <c r="S17" s="238">
        <f ca="1">IF(AND($J$2&gt;=DATEVALUE("03/04/2020"),$J$2&lt;=DATEVALUE("25/11/2020")),0,D6*0.38%)</f>
        <v>1138.9588000000001</v>
      </c>
    </row>
    <row r="18" spans="2:23">
      <c r="B18" s="31"/>
      <c r="C18" s="239" t="s">
        <v>75</v>
      </c>
      <c r="D18" s="152">
        <f ca="1">(1+IRR(N21:N382))^(12)-1</f>
        <v>0.10358663917238231</v>
      </c>
      <c r="E18" s="6"/>
      <c r="F18" s="156"/>
      <c r="J18" s="24"/>
      <c r="L18" s="153" t="s">
        <v>376</v>
      </c>
      <c r="M18" s="195">
        <f ca="1">M17-M21</f>
        <v>-180958.89241717555</v>
      </c>
      <c r="N18" s="155">
        <f ca="1">IRR(N21:N382)</f>
        <v>8.2476137646305681E-3</v>
      </c>
      <c r="O18" s="155"/>
      <c r="Q18" s="173" t="s">
        <v>303</v>
      </c>
      <c r="R18" s="174"/>
      <c r="S18" s="175">
        <f ca="1">SUM(S16:S17)</f>
        <v>5580.9857835932789</v>
      </c>
    </row>
    <row r="19" spans="2:23">
      <c r="D19" s="6"/>
      <c r="E19" s="6"/>
      <c r="F19" s="240"/>
      <c r="W19" s="156">
        <f ca="1">((1+W20)^12)-1</f>
        <v>7.756884548764198E-2</v>
      </c>
    </row>
    <row r="20" spans="2:23" ht="32.25" customHeight="1">
      <c r="B20" s="95"/>
      <c r="C20" s="95" t="s">
        <v>291</v>
      </c>
      <c r="D20" s="95" t="s">
        <v>76</v>
      </c>
      <c r="E20" s="95" t="s">
        <v>77</v>
      </c>
      <c r="F20" s="95" t="s">
        <v>78</v>
      </c>
      <c r="G20" s="95" t="s">
        <v>17</v>
      </c>
      <c r="H20" s="95" t="s">
        <v>18</v>
      </c>
      <c r="I20" s="95" t="s">
        <v>79</v>
      </c>
      <c r="J20" s="95" t="s">
        <v>80</v>
      </c>
      <c r="M20" s="4" t="s">
        <v>2</v>
      </c>
      <c r="N20" s="4" t="s">
        <v>263</v>
      </c>
      <c r="O20" s="5"/>
      <c r="P20" s="95" t="s">
        <v>300</v>
      </c>
      <c r="Q20" s="95" t="s">
        <v>71</v>
      </c>
      <c r="R20" s="95" t="s">
        <v>299</v>
      </c>
      <c r="S20" s="95" t="s">
        <v>14</v>
      </c>
      <c r="U20" s="241">
        <f ca="1">-PMT(D13,(D12-D16),VLOOKUP(IF(D16=0,"I",D16),B:F,5,0))</f>
        <v>2255.2854533867467</v>
      </c>
      <c r="W20" s="216">
        <f ca="1">IRR(W21:W342)</f>
        <v>6.2450390044368476E-3</v>
      </c>
    </row>
    <row r="21" spans="2:23">
      <c r="B21" s="13">
        <v>0</v>
      </c>
      <c r="C21" s="165">
        <f>J2</f>
        <v>44747</v>
      </c>
      <c r="D21" s="2">
        <v>0</v>
      </c>
      <c r="E21" s="2">
        <v>0</v>
      </c>
      <c r="F21" s="36">
        <f ca="1">D6</f>
        <v>299726</v>
      </c>
      <c r="G21" s="136">
        <v>0</v>
      </c>
      <c r="H21" s="2">
        <v>0</v>
      </c>
      <c r="I21" s="35"/>
      <c r="J21" s="55"/>
      <c r="K21" s="199"/>
      <c r="L21" s="200">
        <v>0</v>
      </c>
      <c r="M21" s="56">
        <f ca="1">M22/(1+M16)^((C22-C21)/_xlfn.DAYS(EDATE(C21,1),C21))</f>
        <v>290863.18180198962</v>
      </c>
      <c r="N21" s="137">
        <f ca="1">-D11</f>
        <v>-270000</v>
      </c>
      <c r="O21" s="137"/>
      <c r="P21" s="20">
        <f>IF(D21=0,0,$F$21/($D$12-$E$17-$D$16))</f>
        <v>0</v>
      </c>
      <c r="Q21" s="1">
        <f>IFERROR(C21-$J$2,0)</f>
        <v>0</v>
      </c>
      <c r="R21" s="171">
        <f>IF(AND($J$2&gt;=DATEVALUE("03/04/2020"),$J$2&lt;=DATEVALUE("25/11/2020")),0,IF(Resumo!$C$19="PF",IF(Q21&lt;360,0.0082%*Q21,3%),IF(Q21&lt;360,0.0041%*Q21,1.5%)))</f>
        <v>0</v>
      </c>
      <c r="S21" s="172">
        <f>R21*P21</f>
        <v>0</v>
      </c>
      <c r="W21" s="216">
        <f ca="1">-D6*(1+(3%/(1-9.25%)))</f>
        <v>-309634.29752066114</v>
      </c>
    </row>
    <row r="22" spans="2:23">
      <c r="B22" s="41" t="str">
        <f>IF(AND(DAY(J2)&gt;J3,D16&gt;0),1,"I")</f>
        <v>I</v>
      </c>
      <c r="C22" s="164">
        <f>IF(DAY(J2)=J3,J2,IF(DAY(J2)&lt;J3,DATE(YEAR(J2),MONTH(J2),J3),DATE(YEAR(J2),MONTH(J2)+1,J3)))</f>
        <v>44757</v>
      </c>
      <c r="D22" s="42"/>
      <c r="E22" s="42"/>
      <c r="F22" s="42">
        <f ca="1">IF(C22&lt;&gt;C21,F21*(1+$D$13)^((C22-C21)/_xlfn.DAYS(EDATE(C21,1),C21)),F21-D22)</f>
        <v>300381.95492847898</v>
      </c>
      <c r="G22" s="42"/>
      <c r="H22" s="42"/>
      <c r="I22" s="42"/>
      <c r="J22" s="42"/>
      <c r="K22" s="199"/>
      <c r="L22" s="200"/>
      <c r="M22" s="56">
        <f ca="1">NPV(M16,M23:M342)</f>
        <v>291499.74031748739</v>
      </c>
      <c r="N22" s="137" t="str">
        <f>IF(B22=1,0,"")</f>
        <v/>
      </c>
      <c r="O22" s="137"/>
      <c r="P22" s="20"/>
      <c r="R22" s="171">
        <f>IF(AND($J$2&gt;=DATEVALUE("03/04/2020"),$J$2&lt;=DATEVALUE("25/11/2020")),0,IF(Resumo!$C$19="PF",IF(Q22&lt;360,0.0082%*Q22,3%),IF(Q22&lt;360,0.0041%*Q22,1.5%)))</f>
        <v>0</v>
      </c>
      <c r="S22" s="172"/>
      <c r="W22" s="216" t="str">
        <f>IF(B22=1,0,"")</f>
        <v/>
      </c>
    </row>
    <row r="23" spans="2:23">
      <c r="B23" s="37">
        <f>IFERROR(B22+1,1)</f>
        <v>1</v>
      </c>
      <c r="C23" s="163">
        <f>IF(B23&lt;&gt;"",EDATE($C$22,B23),"")</f>
        <v>44788</v>
      </c>
      <c r="D23" s="38">
        <f ca="1">IF(AND(J23&lt;&gt;"",B23&gt;$D$16),$U$20-E23,0)</f>
        <v>0</v>
      </c>
      <c r="E23" s="38">
        <f ca="1">IF(AND(B23&lt;&gt;"",L23&lt;&gt;$D$17,B23&lt;$D$16,$D$16&lt;4),0,IF(AND(B23&lt;&gt;"",L23&lt;&gt;$D$17,B23&lt;=$D$16,$D$16&gt;3),F22*$D$13,IF(AND(B23&lt;&gt;"",L23&lt;&gt;$D$17,B23&gt;$D$16),F22*$D$13,0)))</f>
        <v>0</v>
      </c>
      <c r="F23" s="38">
        <f ca="1">IF(B23&lt;=$D$16,F22*(1+$D$13)^((C23-C22)/_xlfn.DAYS(EDATE(C22,1),C22)),F22-D23)+IF(B23&lt;=$D$16,F22*Resumo!$F$12,0)+IF(B23&lt;=$D$16,$D$15*Resumo!$F$13,0)+IF(B23&lt;=$D$16,25,0)-IF(AND($D$16&gt;3,B23&lt;=$D$16),J23,0)</f>
        <v>302547.0024325276</v>
      </c>
      <c r="G23" s="38">
        <f>IF(AND(B23&lt;&gt;"",K23&lt;&gt;$D$17,$D$16&gt;3),F23*Resumo!$F$12,IF(AND(B23&lt;&gt;"",K23&lt;&gt;$D$17,B23&gt;$D$16),F23*Resumo!$F$12,0))</f>
        <v>0</v>
      </c>
      <c r="H23" s="38">
        <f>IF(AND(B23&lt;&gt;"",K23&lt;&gt;$D$17,$D$16&gt;3,$B23&lt;=$D$16),$D$15*Resumo!$F$13,IF(AND(B23&lt;&gt;"",K23&lt;&gt;$D$17,B23&gt;$D$16),$D$15*Resumo!$F$13,0))</f>
        <v>0</v>
      </c>
      <c r="I23" s="38">
        <f>IF(AND(B23&lt;&gt;"",K23&lt;&gt;$D$17,$D$16&gt;3,$B23&lt;=$D$16),Resumo!$F$11,IF(AND(B23&lt;&gt;"",K23&lt;&gt;$D$17,B23&gt;$D$16),Resumo!$F$11,0))</f>
        <v>0</v>
      </c>
      <c r="J23" s="38">
        <f ca="1">IF(B23&lt;&gt;"",D23+E23+H23+I23+G23,"")</f>
        <v>0</v>
      </c>
      <c r="K23" s="39" t="str">
        <f>IF(B23&lt;&gt;"",VLOOKUP(MONTH(C23),Sheet2!$F$1:$G$12,2,0),"")</f>
        <v>Agosto</v>
      </c>
      <c r="L23" s="200">
        <f ca="1">IF(AND(L21=0,J23&gt;J21),C23,0)</f>
        <v>0</v>
      </c>
      <c r="M23" s="40">
        <f t="shared" ref="M23:M86" ca="1" si="0">D23+E23</f>
        <v>0</v>
      </c>
      <c r="N23" s="40">
        <f t="shared" ref="N23:N86" ca="1" si="1">J23</f>
        <v>0</v>
      </c>
      <c r="O23" s="40"/>
      <c r="P23" s="20">
        <f t="shared" ref="P23:P86" ca="1" si="2">IF(D23=0,0,$F$21/($D$12-$E$17-$D$16))</f>
        <v>0</v>
      </c>
      <c r="Q23" s="1">
        <f t="shared" ref="Q23:Q86" si="3">IFERROR(C23-$J$2,0)</f>
        <v>41</v>
      </c>
      <c r="R23" s="171">
        <f>IF(AND($J$2&gt;=DATEVALUE("03/04/2020"),$J$2&lt;=DATEVALUE("25/11/2020")),0,IF(Resumo!$C$19="PF",IF(Q23&lt;360,0.0082%*Q23,3%),IF(Q23&lt;360,0.0041%*Q23,1.5%)))</f>
        <v>1.681E-3</v>
      </c>
      <c r="S23" s="172">
        <f ca="1">R23*P23</f>
        <v>0</v>
      </c>
      <c r="V23" s="209"/>
      <c r="W23" s="210">
        <f ca="1">D23+E23</f>
        <v>0</v>
      </c>
    </row>
    <row r="24" spans="2:23">
      <c r="B24" s="41">
        <f t="shared" ref="B24:B87" si="4">IF(B23&lt;$D$12,B23+1,"")</f>
        <v>2</v>
      </c>
      <c r="C24" s="164">
        <f t="shared" ref="C24:C87" si="5">IF(B24&lt;&gt;"",EDATE($C$22,B24),"")</f>
        <v>44819</v>
      </c>
      <c r="D24" s="42">
        <f t="shared" ref="D24:D87" ca="1" si="6">IF(AND(J24&lt;&gt;"",B24&gt;$D$16),$U$20-E24,0)</f>
        <v>197.9658368455589</v>
      </c>
      <c r="E24" s="42">
        <f ca="1">IF(AND(B24&lt;&gt;"",L24&lt;&gt;$D$17,B24&lt;$D$16,$D$16&lt;4),0,IF(AND(B24&lt;&gt;"",L24&lt;&gt;$D$17,B24&lt;=$D$16,$D$16&gt;3),F23*$D$13,IF(AND(B24&lt;&gt;"",L24&lt;&gt;$D$17,B24&gt;$D$16),F23*$D$13,0)))</f>
        <v>2057.3196165411878</v>
      </c>
      <c r="F24" s="42">
        <f ca="1">IF(B24&lt;=$D$16,F23*(1+$D$13)^((C24-C23)/_xlfn.DAYS(EDATE(C23,1),C23)),F23-D24)+IF(B24&lt;=$D$16,F23*Resumo!$F$12,0)+IF(B24&lt;=$D$16,$D$15*Resumo!$F$13,0)+IF(B24&lt;=$D$16,25,0)-IF(AND($D$16&gt;3,B24&lt;=$D$16),J24,0)</f>
        <v>302349.03659568203</v>
      </c>
      <c r="G24" s="42">
        <f ca="1">IF(AND(B24&lt;&gt;"",K24&lt;&gt;$D$17,$D$16&gt;3),F24*Resumo!$F$12,IF(AND(B24&lt;&gt;"",K24&lt;&gt;$D$17,B24&gt;$D$16),F24*Resumo!$F$12,0))</f>
        <v>63.493297685093232</v>
      </c>
      <c r="H24" s="42">
        <f>IF(AND(B24&lt;&gt;"",K24&lt;&gt;$D$17,$D$16&gt;3,$B24&lt;=$D$16),$D$15*Resumo!$F$13,IF(AND(B24&lt;&gt;"",K24&lt;&gt;$D$17,B24&gt;$D$16),$D$15*Resumo!$F$13,0))</f>
        <v>34.369999999999997</v>
      </c>
      <c r="I24" s="42">
        <f>IF(AND(B24&lt;&gt;"",K24&lt;&gt;$D$17,$D$16&gt;3,$B24&lt;=$D$16),Resumo!$F$11,IF(AND(B24&lt;&gt;"",K24&lt;&gt;$D$17,B24&gt;$D$16),Resumo!$F$11,0))</f>
        <v>25</v>
      </c>
      <c r="J24" s="42">
        <f t="shared" ref="J24:J87" ca="1" si="7">IF(B24&lt;&gt;"",D24+E24+H24+I24+G24,"")</f>
        <v>2378.1487510718398</v>
      </c>
      <c r="K24" s="39" t="str">
        <f>IF(B24&lt;&gt;"",VLOOKUP(MONTH(C24),Sheet2!$F$1:$G$12,2,0),"")</f>
        <v>Setembro</v>
      </c>
      <c r="L24" s="200">
        <f t="shared" ref="L24:L87" ca="1" si="8">IF(AND(L23=0,J24&gt;J23),C24,0)</f>
        <v>44819</v>
      </c>
      <c r="M24" s="40">
        <f t="shared" ca="1" si="0"/>
        <v>2255.2854533867467</v>
      </c>
      <c r="N24" s="40">
        <f t="shared" ca="1" si="1"/>
        <v>2378.1487510718398</v>
      </c>
      <c r="O24" s="40"/>
      <c r="P24" s="20">
        <f t="shared" ca="1" si="2"/>
        <v>834.89136490250701</v>
      </c>
      <c r="Q24" s="1">
        <f t="shared" si="3"/>
        <v>72</v>
      </c>
      <c r="R24" s="171">
        <f>IF(AND($J$2&gt;=DATEVALUE("03/04/2020"),$J$2&lt;=DATEVALUE("25/11/2020")),0,IF(Resumo!$C$19="PF",IF(Q24&lt;360,0.0082%*Q24,3%),IF(Q24&lt;360,0.0041%*Q24,1.5%)))</f>
        <v>2.9520000000000002E-3</v>
      </c>
      <c r="S24" s="172">
        <f t="shared" ref="S24:S86" ca="1" si="9">R24*P24</f>
        <v>2.4645993091922009</v>
      </c>
      <c r="W24" s="216">
        <f t="shared" ref="W24:W87" ca="1" si="10">D24+E24</f>
        <v>2255.2854533867467</v>
      </c>
    </row>
    <row r="25" spans="2:23">
      <c r="B25" s="37">
        <f t="shared" si="4"/>
        <v>3</v>
      </c>
      <c r="C25" s="163">
        <f t="shared" si="5"/>
        <v>44849</v>
      </c>
      <c r="D25" s="38">
        <f t="shared" ca="1" si="6"/>
        <v>199.31200453610882</v>
      </c>
      <c r="E25" s="38">
        <f ca="1">IF(AND(B25&lt;&gt;"",L25&lt;&gt;$D$17,B25&lt;$D$16,$D$16&lt;4),0,IF(AND(B25&lt;&gt;"",L25&lt;&gt;$D$17,B25&lt;=$D$16,$D$16&gt;3),F24*$D$13,IF(AND(B25&lt;&gt;"",L25&lt;&gt;$D$17,B25&gt;$D$16),F24*$D$13,0)))</f>
        <v>2055.9734488506379</v>
      </c>
      <c r="F25" s="38">
        <f ca="1">IF(B25&lt;=$D$16,F24*(1+$D$13)^((C25-C24)/_xlfn.DAYS(EDATE(C24,1),C24)),F24-D25)+IF(B25&lt;=$D$16,F24*Resumo!$F$12,0)+IF(B25&lt;=$D$16,$D$15*Resumo!$F$13,0)+IF(B25&lt;=$D$16,25,0)-IF(AND($D$16&gt;3,B25&lt;=$D$16),J25,0)</f>
        <v>302149.72459114593</v>
      </c>
      <c r="G25" s="38">
        <f ca="1">IF(AND(B25&lt;&gt;"",K25&lt;&gt;$D$17,$D$16&gt;3),F25*Resumo!$F$12,IF(AND(B25&lt;&gt;"",K25&lt;&gt;$D$17,B25&gt;$D$16),F25*Resumo!$F$12,0))</f>
        <v>63.451442164140651</v>
      </c>
      <c r="H25" s="38">
        <f>IF(AND(B25&lt;&gt;"",K25&lt;&gt;$D$17,$D$16&gt;3,$B25&lt;=$D$16),$D$15*Resumo!$F$13,IF(AND(B25&lt;&gt;"",K25&lt;&gt;$D$17,B25&gt;$D$16),$D$15*Resumo!$F$13,0))</f>
        <v>34.369999999999997</v>
      </c>
      <c r="I25" s="38">
        <f>IF(AND(B25&lt;&gt;"",K25&lt;&gt;$D$17,$D$16&gt;3,$B25&lt;=$D$16),Resumo!$F$11,IF(AND(B25&lt;&gt;"",K25&lt;&gt;$D$17,B25&gt;$D$16),Resumo!$F$11,0))</f>
        <v>25</v>
      </c>
      <c r="J25" s="38">
        <f t="shared" ca="1" si="7"/>
        <v>2378.1068955508872</v>
      </c>
      <c r="K25" s="39" t="str">
        <f>IF(B25&lt;&gt;"",VLOOKUP(MONTH(C25),Sheet2!$F$1:$G$12,2,0),"")</f>
        <v>Outubro</v>
      </c>
      <c r="L25" s="200">
        <f t="shared" ca="1" si="8"/>
        <v>0</v>
      </c>
      <c r="M25" s="40">
        <f t="shared" ca="1" si="0"/>
        <v>2255.2854533867467</v>
      </c>
      <c r="N25" s="40">
        <f t="shared" ca="1" si="1"/>
        <v>2378.1068955508872</v>
      </c>
      <c r="O25" s="40"/>
      <c r="P25" s="20">
        <f t="shared" ca="1" si="2"/>
        <v>834.89136490250701</v>
      </c>
      <c r="Q25" s="1">
        <f t="shared" si="3"/>
        <v>102</v>
      </c>
      <c r="R25" s="171">
        <f>IF(AND($J$2&gt;=DATEVALUE("03/04/2020"),$J$2&lt;=DATEVALUE("25/11/2020")),0,IF(Resumo!$C$19="PF",IF(Q25&lt;360,0.0082%*Q25,3%),IF(Q25&lt;360,0.0041%*Q25,1.5%)))</f>
        <v>4.182E-3</v>
      </c>
      <c r="S25" s="172">
        <f t="shared" ca="1" si="9"/>
        <v>3.4915156880222842</v>
      </c>
      <c r="W25" s="216">
        <f t="shared" ca="1" si="10"/>
        <v>2255.2854533867467</v>
      </c>
    </row>
    <row r="26" spans="2:23">
      <c r="B26" s="41">
        <f t="shared" si="4"/>
        <v>4</v>
      </c>
      <c r="C26" s="164">
        <f t="shared" si="5"/>
        <v>44880</v>
      </c>
      <c r="D26" s="42">
        <f t="shared" ca="1" si="6"/>
        <v>200.66732616695435</v>
      </c>
      <c r="E26" s="42">
        <f ca="1">IF(AND(B26&lt;&gt;"",L26&lt;&gt;$D$17,B26&lt;$D$16,$D$16&lt;4),0,IF(AND(B26&lt;&gt;"",L26&lt;&gt;$D$17,B26&lt;=$D$16,$D$16&gt;3),F25*$D$13,IF(AND(B26&lt;&gt;"",L26&lt;&gt;$D$17,B26&gt;$D$16),F25*$D$13,0)))</f>
        <v>2054.6181272197923</v>
      </c>
      <c r="F26" s="42">
        <f ca="1">IF(B26&lt;=$D$16,F25*(1+$D$13)^((C26-C25)/_xlfn.DAYS(EDATE(C25,1),C25)),F25-D26)+IF(B26&lt;=$D$16,F25*Resumo!$F$12,0)+IF(B26&lt;=$D$16,$D$15*Resumo!$F$13,0)+IF(B26&lt;=$D$16,25,0)-IF(AND($D$16&gt;3,B26&lt;=$D$16),J26,0)</f>
        <v>301949.057264979</v>
      </c>
      <c r="G26" s="42">
        <f ca="1">IF(AND(B26&lt;&gt;"",K26&lt;&gt;$D$17,$D$16&gt;3),F26*Resumo!$F$12,IF(AND(B26&lt;&gt;"",K26&lt;&gt;$D$17,B26&gt;$D$16),F26*Resumo!$F$12,0))</f>
        <v>63.409302025645594</v>
      </c>
      <c r="H26" s="42">
        <f>IF(AND(B26&lt;&gt;"",K26&lt;&gt;$D$17,$D$16&gt;3,$B26&lt;=$D$16),$D$15*Resumo!$F$13,IF(AND(B26&lt;&gt;"",K26&lt;&gt;$D$17,B26&gt;$D$16),$D$15*Resumo!$F$13,0))</f>
        <v>34.369999999999997</v>
      </c>
      <c r="I26" s="42">
        <f>IF(AND(B26&lt;&gt;"",K26&lt;&gt;$D$17,$D$16&gt;3,$B26&lt;=$D$16),Resumo!$F$11,IF(AND(B26&lt;&gt;"",K26&lt;&gt;$D$17,B26&gt;$D$16),Resumo!$F$11,0))</f>
        <v>25</v>
      </c>
      <c r="J26" s="42">
        <f t="shared" ca="1" si="7"/>
        <v>2378.0647554123921</v>
      </c>
      <c r="K26" s="39" t="str">
        <f>IF(B26&lt;&gt;"",VLOOKUP(MONTH(C26),Sheet2!$F$1:$G$12,2,0),"")</f>
        <v>Novembro</v>
      </c>
      <c r="L26" s="200">
        <f t="shared" ca="1" si="8"/>
        <v>0</v>
      </c>
      <c r="M26" s="40">
        <f t="shared" ca="1" si="0"/>
        <v>2255.2854533867467</v>
      </c>
      <c r="N26" s="40">
        <f t="shared" ca="1" si="1"/>
        <v>2378.0647554123921</v>
      </c>
      <c r="O26" s="40"/>
      <c r="P26" s="20">
        <f t="shared" ca="1" si="2"/>
        <v>834.89136490250701</v>
      </c>
      <c r="Q26" s="1">
        <f t="shared" si="3"/>
        <v>133</v>
      </c>
      <c r="R26" s="171">
        <f>IF(AND($J$2&gt;=DATEVALUE("03/04/2020"),$J$2&lt;=DATEVALUE("25/11/2020")),0,IF(Resumo!$C$19="PF",IF(Q26&lt;360,0.0082%*Q26,3%),IF(Q26&lt;360,0.0041%*Q26,1.5%)))</f>
        <v>5.4530000000000004E-3</v>
      </c>
      <c r="S26" s="172">
        <f ca="1">R26*P26</f>
        <v>4.5526626128133714</v>
      </c>
      <c r="W26" s="216">
        <f t="shared" ca="1" si="10"/>
        <v>2255.2854533867467</v>
      </c>
    </row>
    <row r="27" spans="2:23">
      <c r="B27" s="37">
        <f t="shared" si="4"/>
        <v>5</v>
      </c>
      <c r="C27" s="163">
        <f t="shared" si="5"/>
        <v>44910</v>
      </c>
      <c r="D27" s="38">
        <f t="shared" ca="1" si="6"/>
        <v>202.0318639848897</v>
      </c>
      <c r="E27" s="38">
        <f t="shared" ref="E27:E90" ca="1" si="11">IF(AND(B27&lt;&gt;"",L27&lt;&gt;$D$17,B27&lt;$D$16,$D$16&lt;4),0,IF(AND(B27&lt;&gt;"",L27&lt;&gt;$D$17,B27&lt;=$D$16,$D$16&gt;3),F26*$D$13,IF(AND(B27&lt;&gt;"",L27&lt;&gt;$D$17,B27&gt;$D$16),F26*$D$13,0)))</f>
        <v>2053.253589401857</v>
      </c>
      <c r="F27" s="38">
        <f ca="1">IF(B27&lt;=$D$16,F26*(1+$D$13)^((C27-C26)/_xlfn.DAYS(EDATE(C26,1),C26)),F26-D27)+IF(B27&lt;=$D$16,F26*Resumo!$F$12,0)+IF(B27&lt;=$D$16,$D$15*Resumo!$F$13,0)+IF(B27&lt;=$D$16,25,0)-IF(AND($D$16&gt;3,B27&lt;=$D$16),J27,0)</f>
        <v>301747.02540099411</v>
      </c>
      <c r="G27" s="38">
        <f ca="1">IF(AND(B27&lt;&gt;"",K27&lt;&gt;$D$17,$D$16&gt;3),F27*Resumo!$F$12,IF(AND(B27&lt;&gt;"",K27&lt;&gt;$D$17,B27&gt;$D$16),F27*Resumo!$F$12,0))</f>
        <v>63.366875334208764</v>
      </c>
      <c r="H27" s="38">
        <f>IF(AND(B27&lt;&gt;"",K27&lt;&gt;$D$17,$D$16&gt;3,$B27&lt;=$D$16),$D$15*Resumo!$F$13,IF(AND(B27&lt;&gt;"",K27&lt;&gt;$D$17,B27&gt;$D$16),$D$15*Resumo!$F$13,0))</f>
        <v>34.369999999999997</v>
      </c>
      <c r="I27" s="38">
        <f>IF(AND(B27&lt;&gt;"",K27&lt;&gt;$D$17,$D$16&gt;3,$B27&lt;=$D$16),Resumo!$F$11,IF(AND(B27&lt;&gt;"",K27&lt;&gt;$D$17,B27&gt;$D$16),Resumo!$F$11,0))</f>
        <v>25</v>
      </c>
      <c r="J27" s="38">
        <f t="shared" ca="1" si="7"/>
        <v>2378.0223287209551</v>
      </c>
      <c r="K27" s="39" t="str">
        <f>IF(B27&lt;&gt;"",VLOOKUP(MONTH(C27),Sheet2!$F$1:$G$12,2,0),"")</f>
        <v>Dezembro</v>
      </c>
      <c r="L27" s="200">
        <f t="shared" ca="1" si="8"/>
        <v>0</v>
      </c>
      <c r="M27" s="40">
        <f t="shared" ca="1" si="0"/>
        <v>2255.2854533867467</v>
      </c>
      <c r="N27" s="40">
        <f t="shared" ca="1" si="1"/>
        <v>2378.0223287209551</v>
      </c>
      <c r="O27" s="40"/>
      <c r="P27" s="20">
        <f t="shared" ca="1" si="2"/>
        <v>834.89136490250701</v>
      </c>
      <c r="Q27" s="1">
        <f t="shared" si="3"/>
        <v>163</v>
      </c>
      <c r="R27" s="171">
        <f>IF(AND($J$2&gt;=DATEVALUE("03/04/2020"),$J$2&lt;=DATEVALUE("25/11/2020")),0,IF(Resumo!$C$19="PF",IF(Q27&lt;360,0.0082%*Q27,3%),IF(Q27&lt;360,0.0041%*Q27,1.5%)))</f>
        <v>6.6829999999999997E-3</v>
      </c>
      <c r="S27" s="172">
        <f t="shared" ca="1" si="9"/>
        <v>5.5795789916434542</v>
      </c>
      <c r="W27" s="216">
        <f t="shared" ca="1" si="10"/>
        <v>2255.2854533867467</v>
      </c>
    </row>
    <row r="28" spans="2:23">
      <c r="B28" s="41">
        <f t="shared" si="4"/>
        <v>6</v>
      </c>
      <c r="C28" s="164">
        <f t="shared" si="5"/>
        <v>44941</v>
      </c>
      <c r="D28" s="42">
        <f t="shared" ca="1" si="6"/>
        <v>203.40568065998696</v>
      </c>
      <c r="E28" s="42">
        <f t="shared" ca="1" si="11"/>
        <v>2051.8797727267597</v>
      </c>
      <c r="F28" s="42">
        <f ca="1">IF(B28&lt;=$D$16,F27*(1+$D$13)^((C28-C27)/_xlfn.DAYS(EDATE(C27,1),C27)),F27-D28)+IF(B28&lt;=$D$16,F27*Resumo!$F$12,0)+IF(B28&lt;=$D$16,$D$15*Resumo!$F$13,0)+IF(B28&lt;=$D$16,25,0)-IF(AND($D$16&gt;3,B28&lt;=$D$16),J28,0)</f>
        <v>301543.61972033413</v>
      </c>
      <c r="G28" s="42">
        <f ca="1">IF(AND(B28&lt;&gt;"",K28&lt;&gt;$D$17,$D$16&gt;3),F28*Resumo!$F$12,IF(AND(B28&lt;&gt;"",K28&lt;&gt;$D$17,B28&gt;$D$16),F28*Resumo!$F$12,0))</f>
        <v>63.32416014127017</v>
      </c>
      <c r="H28" s="42">
        <f>IF(AND(B28&lt;&gt;"",K28&lt;&gt;$D$17,$D$16&gt;3,$B28&lt;=$D$16),$D$15*Resumo!$F$13,IF(AND(B28&lt;&gt;"",K28&lt;&gt;$D$17,B28&gt;$D$16),$D$15*Resumo!$F$13,0))</f>
        <v>34.369999999999997</v>
      </c>
      <c r="I28" s="42">
        <f>IF(AND(B28&lt;&gt;"",K28&lt;&gt;$D$17,$D$16&gt;3,$B28&lt;=$D$16),Resumo!$F$11,IF(AND(B28&lt;&gt;"",K28&lt;&gt;$D$17,B28&gt;$D$16),Resumo!$F$11,0))</f>
        <v>25</v>
      </c>
      <c r="J28" s="42">
        <f t="shared" ca="1" si="7"/>
        <v>2377.9796135280167</v>
      </c>
      <c r="K28" s="39" t="str">
        <f>IF(B28&lt;&gt;"",VLOOKUP(MONTH(C28),Sheet2!$F$1:$G$12,2,0),"")</f>
        <v>Janeiro</v>
      </c>
      <c r="L28" s="200">
        <f t="shared" ca="1" si="8"/>
        <v>0</v>
      </c>
      <c r="M28" s="40">
        <f t="shared" ca="1" si="0"/>
        <v>2255.2854533867467</v>
      </c>
      <c r="N28" s="40">
        <f t="shared" ca="1" si="1"/>
        <v>2377.9796135280167</v>
      </c>
      <c r="O28" s="40"/>
      <c r="P28" s="20">
        <f t="shared" ca="1" si="2"/>
        <v>834.89136490250701</v>
      </c>
      <c r="Q28" s="1">
        <f t="shared" si="3"/>
        <v>194</v>
      </c>
      <c r="R28" s="171">
        <f>IF(AND($J$2&gt;=DATEVALUE("03/04/2020"),$J$2&lt;=DATEVALUE("25/11/2020")),0,IF(Resumo!$C$19="PF",IF(Q28&lt;360,0.0082%*Q28,3%),IF(Q28&lt;360,0.0041%*Q28,1.5%)))</f>
        <v>7.9539999999999993E-3</v>
      </c>
      <c r="S28" s="172">
        <f t="shared" ca="1" si="9"/>
        <v>6.6407259164345405</v>
      </c>
      <c r="W28" s="216">
        <f t="shared" ca="1" si="10"/>
        <v>2255.2854533867467</v>
      </c>
    </row>
    <row r="29" spans="2:23">
      <c r="B29" s="37">
        <f t="shared" si="4"/>
        <v>7</v>
      </c>
      <c r="C29" s="163">
        <f t="shared" si="5"/>
        <v>44972</v>
      </c>
      <c r="D29" s="38">
        <f t="shared" ca="1" si="6"/>
        <v>204.78883928847472</v>
      </c>
      <c r="E29" s="38">
        <f t="shared" ca="1" si="11"/>
        <v>2050.4966140982719</v>
      </c>
      <c r="F29" s="38">
        <f ca="1">IF(B29&lt;=$D$16,F28*(1+$D$13)^((C29-C28)/_xlfn.DAYS(EDATE(C28,1),C28)),F28-D29)+IF(B29&lt;=$D$16,F28*Resumo!$F$12,0)+IF(B29&lt;=$D$16,$D$15*Resumo!$F$13,0)+IF(B29&lt;=$D$16,25,0)-IF(AND($D$16&gt;3,B29&lt;=$D$16),J29,0)</f>
        <v>301338.83088104567</v>
      </c>
      <c r="G29" s="38">
        <f ca="1">IF(AND(B29&lt;&gt;"",K29&lt;&gt;$D$17,$D$16&gt;3),F29*Resumo!$F$12,IF(AND(B29&lt;&gt;"",K29&lt;&gt;$D$17,B29&gt;$D$16),F29*Resumo!$F$12,0))</f>
        <v>63.281154485019592</v>
      </c>
      <c r="H29" s="38">
        <f>IF(AND(B29&lt;&gt;"",K29&lt;&gt;$D$17,$D$16&gt;3,$B29&lt;=$D$16),$D$15*Resumo!$F$13,IF(AND(B29&lt;&gt;"",K29&lt;&gt;$D$17,B29&gt;$D$16),$D$15*Resumo!$F$13,0))</f>
        <v>34.369999999999997</v>
      </c>
      <c r="I29" s="38">
        <f>IF(AND(B29&lt;&gt;"",K29&lt;&gt;$D$17,$D$16&gt;3,$B29&lt;=$D$16),Resumo!$F$11,IF(AND(B29&lt;&gt;"",K29&lt;&gt;$D$17,B29&gt;$D$16),Resumo!$F$11,0))</f>
        <v>25</v>
      </c>
      <c r="J29" s="38">
        <f t="shared" ca="1" si="7"/>
        <v>2377.9366078717662</v>
      </c>
      <c r="K29" s="39" t="str">
        <f>IF(B29&lt;&gt;"",VLOOKUP(MONTH(C29),Sheet2!$F$1:$G$12,2,0),"")</f>
        <v>Fevereiro</v>
      </c>
      <c r="L29" s="200">
        <f t="shared" ca="1" si="8"/>
        <v>0</v>
      </c>
      <c r="M29" s="40">
        <f t="shared" ca="1" si="0"/>
        <v>2255.2854533867467</v>
      </c>
      <c r="N29" s="40">
        <f t="shared" ca="1" si="1"/>
        <v>2377.9366078717662</v>
      </c>
      <c r="O29" s="40"/>
      <c r="P29" s="20">
        <f t="shared" ca="1" si="2"/>
        <v>834.89136490250701</v>
      </c>
      <c r="Q29" s="1">
        <f t="shared" si="3"/>
        <v>225</v>
      </c>
      <c r="R29" s="171">
        <f>IF(AND($J$2&gt;=DATEVALUE("03/04/2020"),$J$2&lt;=DATEVALUE("25/11/2020")),0,IF(Resumo!$C$19="PF",IF(Q29&lt;360,0.0082%*Q29,3%),IF(Q29&lt;360,0.0041%*Q29,1.5%)))</f>
        <v>9.2250000000000006E-3</v>
      </c>
      <c r="S29" s="172">
        <f t="shared" ca="1" si="9"/>
        <v>7.7018728412256277</v>
      </c>
      <c r="W29" s="216">
        <f t="shared" ca="1" si="10"/>
        <v>2255.2854533867467</v>
      </c>
    </row>
    <row r="30" spans="2:23">
      <c r="B30" s="41">
        <f t="shared" si="4"/>
        <v>8</v>
      </c>
      <c r="C30" s="164">
        <f t="shared" si="5"/>
        <v>45000</v>
      </c>
      <c r="D30" s="42">
        <f t="shared" ca="1" si="6"/>
        <v>206.18140339563615</v>
      </c>
      <c r="E30" s="42">
        <f t="shared" ca="1" si="11"/>
        <v>2049.1040499911105</v>
      </c>
      <c r="F30" s="42">
        <f ca="1">IF(B30&lt;=$D$16,F29*(1+$D$13)^((C30-C29)/_xlfn.DAYS(EDATE(C29,1),C29)),F29-D30)+IF(B30&lt;=$D$16,F29*Resumo!$F$12,0)+IF(B30&lt;=$D$16,$D$15*Resumo!$F$13,0)+IF(B30&lt;=$D$16,25,0)-IF(AND($D$16&gt;3,B30&lt;=$D$16),J30,0)</f>
        <v>301132.64947765</v>
      </c>
      <c r="G30" s="42">
        <f ca="1">IF(AND(B30&lt;&gt;"",K30&lt;&gt;$D$17,$D$16&gt;3),F30*Resumo!$F$12,IF(AND(B30&lt;&gt;"",K30&lt;&gt;$D$17,B30&gt;$D$16),F30*Resumo!$F$12,0))</f>
        <v>63.237856390306504</v>
      </c>
      <c r="H30" s="42">
        <f>IF(AND(B30&lt;&gt;"",K30&lt;&gt;$D$17,$D$16&gt;3,$B30&lt;=$D$16),$D$15*Resumo!$F$13,IF(AND(B30&lt;&gt;"",K30&lt;&gt;$D$17,B30&gt;$D$16),$D$15*Resumo!$F$13,0))</f>
        <v>34.369999999999997</v>
      </c>
      <c r="I30" s="42">
        <f>IF(AND(B30&lt;&gt;"",K30&lt;&gt;$D$17,$D$16&gt;3,$B30&lt;=$D$16),Resumo!$F$11,IF(AND(B30&lt;&gt;"",K30&lt;&gt;$D$17,B30&gt;$D$16),Resumo!$F$11,0))</f>
        <v>25</v>
      </c>
      <c r="J30" s="42">
        <f t="shared" ca="1" si="7"/>
        <v>2377.8933097770532</v>
      </c>
      <c r="K30" s="39" t="str">
        <f>IF(B30&lt;&gt;"",VLOOKUP(MONTH(C30),Sheet2!$F$1:$G$12,2,0),"")</f>
        <v>Março</v>
      </c>
      <c r="L30" s="200">
        <f t="shared" ca="1" si="8"/>
        <v>0</v>
      </c>
      <c r="M30" s="40">
        <f t="shared" ca="1" si="0"/>
        <v>2255.2854533867467</v>
      </c>
      <c r="N30" s="40">
        <f t="shared" ca="1" si="1"/>
        <v>2377.8933097770532</v>
      </c>
      <c r="O30" s="40"/>
      <c r="P30" s="20">
        <f t="shared" ca="1" si="2"/>
        <v>834.89136490250701</v>
      </c>
      <c r="Q30" s="1">
        <f t="shared" si="3"/>
        <v>253</v>
      </c>
      <c r="R30" s="171">
        <f>IF(AND($J$2&gt;=DATEVALUE("03/04/2020"),$J$2&lt;=DATEVALUE("25/11/2020")),0,IF(Resumo!$C$19="PF",IF(Q30&lt;360,0.0082%*Q30,3%),IF(Q30&lt;360,0.0041%*Q30,1.5%)))</f>
        <v>1.0373E-2</v>
      </c>
      <c r="S30" s="172">
        <f t="shared" ca="1" si="9"/>
        <v>8.6603281281337061</v>
      </c>
      <c r="W30" s="216">
        <f t="shared" ca="1" si="10"/>
        <v>2255.2854533867467</v>
      </c>
    </row>
    <row r="31" spans="2:23">
      <c r="B31" s="37">
        <f t="shared" si="4"/>
        <v>9</v>
      </c>
      <c r="C31" s="163">
        <f t="shared" si="5"/>
        <v>45031</v>
      </c>
      <c r="D31" s="38">
        <f t="shared" ca="1" si="6"/>
        <v>207.58343693872666</v>
      </c>
      <c r="E31" s="38">
        <f t="shared" ca="1" si="11"/>
        <v>2047.70201644802</v>
      </c>
      <c r="F31" s="38">
        <f ca="1">IF(B31&lt;=$D$16,F30*(1+$D$13)^((C31-C30)/_xlfn.DAYS(EDATE(C30,1),C30)),F30-D31)+IF(B31&lt;=$D$16,F30*Resumo!$F$12,0)+IF(B31&lt;=$D$16,$D$15*Resumo!$F$13,0)+IF(B31&lt;=$D$16,25,0)-IF(AND($D$16&gt;3,B31&lt;=$D$16),J31,0)</f>
        <v>300925.0660407113</v>
      </c>
      <c r="G31" s="38">
        <f ca="1">IF(AND(B31&lt;&gt;"",K31&lt;&gt;$D$17,$D$16&gt;3),F31*Resumo!$F$12,IF(AND(B31&lt;&gt;"",K31&lt;&gt;$D$17,B31&gt;$D$16),F31*Resumo!$F$12,0))</f>
        <v>63.194263868549378</v>
      </c>
      <c r="H31" s="38">
        <f>IF(AND(B31&lt;&gt;"",K31&lt;&gt;$D$17,$D$16&gt;3,$B31&lt;=$D$16),$D$15*Resumo!$F$13,IF(AND(B31&lt;&gt;"",K31&lt;&gt;$D$17,B31&gt;$D$16),$D$15*Resumo!$F$13,0))</f>
        <v>34.369999999999997</v>
      </c>
      <c r="I31" s="38">
        <f>IF(AND(B31&lt;&gt;"",K31&lt;&gt;$D$17,$D$16&gt;3,$B31&lt;=$D$16),Resumo!$F$11,IF(AND(B31&lt;&gt;"",K31&lt;&gt;$D$17,B31&gt;$D$16),Resumo!$F$11,0))</f>
        <v>25</v>
      </c>
      <c r="J31" s="38">
        <f t="shared" ca="1" si="7"/>
        <v>2377.8497172552961</v>
      </c>
      <c r="K31" s="39" t="str">
        <f>IF(B31&lt;&gt;"",VLOOKUP(MONTH(C31),Sheet2!$F$1:$G$12,2,0),"")</f>
        <v>Abril</v>
      </c>
      <c r="L31" s="200">
        <f t="shared" ca="1" si="8"/>
        <v>0</v>
      </c>
      <c r="M31" s="40">
        <f t="shared" ca="1" si="0"/>
        <v>2255.2854533867467</v>
      </c>
      <c r="N31" s="40">
        <f t="shared" ca="1" si="1"/>
        <v>2377.8497172552961</v>
      </c>
      <c r="O31" s="40"/>
      <c r="P31" s="20">
        <f t="shared" ca="1" si="2"/>
        <v>834.89136490250701</v>
      </c>
      <c r="Q31" s="1">
        <f t="shared" si="3"/>
        <v>284</v>
      </c>
      <c r="R31" s="171">
        <f>IF(AND($J$2&gt;=DATEVALUE("03/04/2020"),$J$2&lt;=DATEVALUE("25/11/2020")),0,IF(Resumo!$C$19="PF",IF(Q31&lt;360,0.0082%*Q31,3%),IF(Q31&lt;360,0.0041%*Q31,1.5%)))</f>
        <v>1.1644E-2</v>
      </c>
      <c r="S31" s="172">
        <f t="shared" ca="1" si="9"/>
        <v>9.7214750529247915</v>
      </c>
      <c r="W31" s="216">
        <f t="shared" ca="1" si="10"/>
        <v>2255.2854533867467</v>
      </c>
    </row>
    <row r="32" spans="2:23">
      <c r="B32" s="41">
        <f t="shared" si="4"/>
        <v>10</v>
      </c>
      <c r="C32" s="164">
        <f t="shared" si="5"/>
        <v>45061</v>
      </c>
      <c r="D32" s="42">
        <f t="shared" ca="1" si="6"/>
        <v>208.99500430990997</v>
      </c>
      <c r="E32" s="42">
        <f t="shared" ca="1" si="11"/>
        <v>2046.2904490768367</v>
      </c>
      <c r="F32" s="42">
        <f ca="1">IF(B32&lt;=$D$16,F31*(1+$D$13)^((C32-C31)/_xlfn.DAYS(EDATE(C31,1),C31)),F31-D32)+IF(B32&lt;=$D$16,F31*Resumo!$F$12,0)+IF(B32&lt;=$D$16,$D$15*Resumo!$F$13,0)+IF(B32&lt;=$D$16,25,0)-IF(AND($D$16&gt;3,B32&lt;=$D$16),J32,0)</f>
        <v>300716.07103640138</v>
      </c>
      <c r="G32" s="42">
        <f ca="1">IF(AND(B32&lt;&gt;"",K32&lt;&gt;$D$17,$D$16&gt;3),F32*Resumo!$F$12,IF(AND(B32&lt;&gt;"",K32&lt;&gt;$D$17,B32&gt;$D$16),F32*Resumo!$F$12,0))</f>
        <v>63.150374917644292</v>
      </c>
      <c r="H32" s="42">
        <f>IF(AND(B32&lt;&gt;"",K32&lt;&gt;$D$17,$D$16&gt;3,$B32&lt;=$D$16),$D$15*Resumo!$F$13,IF(AND(B32&lt;&gt;"",K32&lt;&gt;$D$17,B32&gt;$D$16),$D$15*Resumo!$F$13,0))</f>
        <v>34.369999999999997</v>
      </c>
      <c r="I32" s="42">
        <f>IF(AND(B32&lt;&gt;"",K32&lt;&gt;$D$17,$D$16&gt;3,$B32&lt;=$D$16),Resumo!$F$11,IF(AND(B32&lt;&gt;"",K32&lt;&gt;$D$17,B32&gt;$D$16),Resumo!$F$11,0))</f>
        <v>25</v>
      </c>
      <c r="J32" s="42">
        <f t="shared" ca="1" si="7"/>
        <v>2377.8058283043911</v>
      </c>
      <c r="K32" s="39" t="str">
        <f>IF(B32&lt;&gt;"",VLOOKUP(MONTH(C32),Sheet2!$F$1:$G$12,2,0),"")</f>
        <v>Maio</v>
      </c>
      <c r="L32" s="200">
        <f t="shared" ca="1" si="8"/>
        <v>0</v>
      </c>
      <c r="M32" s="40">
        <f t="shared" ca="1" si="0"/>
        <v>2255.2854533867467</v>
      </c>
      <c r="N32" s="40">
        <f t="shared" ca="1" si="1"/>
        <v>2377.8058283043911</v>
      </c>
      <c r="O32" s="40"/>
      <c r="P32" s="20">
        <f t="shared" ca="1" si="2"/>
        <v>834.89136490250701</v>
      </c>
      <c r="Q32" s="1">
        <f t="shared" si="3"/>
        <v>314</v>
      </c>
      <c r="R32" s="171">
        <f>IF(AND($J$2&gt;=DATEVALUE("03/04/2020"),$J$2&lt;=DATEVALUE("25/11/2020")),0,IF(Resumo!$C$19="PF",IF(Q32&lt;360,0.0082%*Q32,3%),IF(Q32&lt;360,0.0041%*Q32,1.5%)))</f>
        <v>1.2874E-2</v>
      </c>
      <c r="S32" s="172">
        <f t="shared" ca="1" si="9"/>
        <v>10.748391431754875</v>
      </c>
      <c r="W32" s="216">
        <f t="shared" ca="1" si="10"/>
        <v>2255.2854533867467</v>
      </c>
    </row>
    <row r="33" spans="2:23">
      <c r="B33" s="37">
        <f t="shared" si="4"/>
        <v>11</v>
      </c>
      <c r="C33" s="163">
        <f t="shared" si="5"/>
        <v>45092</v>
      </c>
      <c r="D33" s="38">
        <f t="shared" ca="1" si="6"/>
        <v>210.41617033921739</v>
      </c>
      <c r="E33" s="38">
        <f t="shared" ca="1" si="11"/>
        <v>2044.8692830475293</v>
      </c>
      <c r="F33" s="38">
        <f ca="1">IF(B33&lt;=$D$16,F32*(1+$D$13)^((C33-C32)/_xlfn.DAYS(EDATE(C32,1),C32)),F32-D33)+IF(B33&lt;=$D$16,F32*Resumo!$F$12,0)+IF(B33&lt;=$D$16,$D$15*Resumo!$F$13,0)+IF(B33&lt;=$D$16,25,0)-IF(AND($D$16&gt;3,B33&lt;=$D$16),J33,0)</f>
        <v>300505.65486606216</v>
      </c>
      <c r="G33" s="38">
        <f ca="1">IF(AND(B33&lt;&gt;"",K33&lt;&gt;$D$17,$D$16&gt;3),F33*Resumo!$F$12,IF(AND(B33&lt;&gt;"",K33&lt;&gt;$D$17,B33&gt;$D$16),F33*Resumo!$F$12,0))</f>
        <v>63.106187521873053</v>
      </c>
      <c r="H33" s="38">
        <f>IF(AND(B33&lt;&gt;"",K33&lt;&gt;$D$17,$D$16&gt;3,$B33&lt;=$D$16),$D$15*Resumo!$F$13,IF(AND(B33&lt;&gt;"",K33&lt;&gt;$D$17,B33&gt;$D$16),$D$15*Resumo!$F$13,0))</f>
        <v>34.369999999999997</v>
      </c>
      <c r="I33" s="38">
        <f>IF(AND(B33&lt;&gt;"",K33&lt;&gt;$D$17,$D$16&gt;3,$B33&lt;=$D$16),Resumo!$F$11,IF(AND(B33&lt;&gt;"",K33&lt;&gt;$D$17,B33&gt;$D$16),Resumo!$F$11,0))</f>
        <v>25</v>
      </c>
      <c r="J33" s="38">
        <f t="shared" ca="1" si="7"/>
        <v>2377.7616409086195</v>
      </c>
      <c r="K33" s="39" t="str">
        <f>IF(B33&lt;&gt;"",VLOOKUP(MONTH(C33),Sheet2!$F$1:$G$12,2,0),"")</f>
        <v>Junho</v>
      </c>
      <c r="L33" s="200">
        <f t="shared" ca="1" si="8"/>
        <v>0</v>
      </c>
      <c r="M33" s="40">
        <f t="shared" ca="1" si="0"/>
        <v>2255.2854533867467</v>
      </c>
      <c r="N33" s="40">
        <f t="shared" ca="1" si="1"/>
        <v>2377.7616409086195</v>
      </c>
      <c r="O33" s="40"/>
      <c r="P33" s="20">
        <f t="shared" ca="1" si="2"/>
        <v>834.89136490250701</v>
      </c>
      <c r="Q33" s="1">
        <f t="shared" si="3"/>
        <v>345</v>
      </c>
      <c r="R33" s="171">
        <f>IF(AND($J$2&gt;=DATEVALUE("03/04/2020"),$J$2&lt;=DATEVALUE("25/11/2020")),0,IF(Resumo!$C$19="PF",IF(Q33&lt;360,0.0082%*Q33,3%),IF(Q33&lt;360,0.0041%*Q33,1.5%)))</f>
        <v>1.4145E-2</v>
      </c>
      <c r="S33" s="172">
        <f t="shared" ca="1" si="9"/>
        <v>11.809538356545961</v>
      </c>
      <c r="W33" s="216">
        <f t="shared" ca="1" si="10"/>
        <v>2255.2854533867467</v>
      </c>
    </row>
    <row r="34" spans="2:23">
      <c r="B34" s="41">
        <f t="shared" si="4"/>
        <v>12</v>
      </c>
      <c r="C34" s="164">
        <f t="shared" si="5"/>
        <v>45122</v>
      </c>
      <c r="D34" s="42">
        <f t="shared" ca="1" si="6"/>
        <v>211.84700029752412</v>
      </c>
      <c r="E34" s="42">
        <f t="shared" ca="1" si="11"/>
        <v>2043.4384530892225</v>
      </c>
      <c r="F34" s="42">
        <f ca="1">IF(B34&lt;=$D$16,F33*(1+$D$13)^((C34-C33)/_xlfn.DAYS(EDATE(C33,1),C33)),F33-D34)+IF(B34&lt;=$D$16,F33*Resumo!$F$12,0)+IF(B34&lt;=$D$16,$D$15*Resumo!$F$13,0)+IF(B34&lt;=$D$16,25,0)-IF(AND($D$16&gt;3,B34&lt;=$D$16),J34,0)</f>
        <v>300293.80786576465</v>
      </c>
      <c r="G34" s="42">
        <f ca="1">IF(AND(B34&lt;&gt;"",K34&lt;&gt;$D$17,$D$16&gt;3),F34*Resumo!$F$12,IF(AND(B34&lt;&gt;"",K34&lt;&gt;$D$17,B34&gt;$D$16),F34*Resumo!$F$12,0))</f>
        <v>63.061699651810578</v>
      </c>
      <c r="H34" s="42">
        <f>IF(AND(B34&lt;&gt;"",K34&lt;&gt;$D$17,$D$16&gt;3,$B34&lt;=$D$16),$D$15*Resumo!$F$13,IF(AND(B34&lt;&gt;"",K34&lt;&gt;$D$17,B34&gt;$D$16),$D$15*Resumo!$F$13,0))</f>
        <v>34.369999999999997</v>
      </c>
      <c r="I34" s="42">
        <f>IF(AND(B34&lt;&gt;"",K34&lt;&gt;$D$17,$D$16&gt;3,$B34&lt;=$D$16),Resumo!$F$11,IF(AND(B34&lt;&gt;"",K34&lt;&gt;$D$17,B34&gt;$D$16),Resumo!$F$11,0))</f>
        <v>25</v>
      </c>
      <c r="J34" s="42">
        <f t="shared" ca="1" si="7"/>
        <v>2377.7171530385572</v>
      </c>
      <c r="K34" s="39" t="str">
        <f>IF(B34&lt;&gt;"",VLOOKUP(MONTH(C34),Sheet2!$F$1:$G$12,2,0),"")</f>
        <v>Julho</v>
      </c>
      <c r="L34" s="200">
        <f t="shared" ca="1" si="8"/>
        <v>0</v>
      </c>
      <c r="M34" s="40">
        <f t="shared" ca="1" si="0"/>
        <v>2255.2854533867467</v>
      </c>
      <c r="N34" s="40">
        <f t="shared" ca="1" si="1"/>
        <v>2377.7171530385572</v>
      </c>
      <c r="O34" s="40"/>
      <c r="P34" s="20">
        <f t="shared" ca="1" si="2"/>
        <v>834.89136490250701</v>
      </c>
      <c r="Q34" s="1">
        <f t="shared" si="3"/>
        <v>375</v>
      </c>
      <c r="R34" s="171">
        <f>IF(AND($J$2&gt;=DATEVALUE("03/04/2020"),$J$2&lt;=DATEVALUE("25/11/2020")),0,IF(Resumo!$C$19="PF",IF(Q34&lt;360,0.0082%*Q34,3%),IF(Q34&lt;360,0.0041%*Q34,1.5%)))</f>
        <v>1.4999999999999999E-2</v>
      </c>
      <c r="S34" s="172">
        <f t="shared" ca="1" si="9"/>
        <v>12.523370473537605</v>
      </c>
      <c r="W34" s="216">
        <f t="shared" ca="1" si="10"/>
        <v>2255.2854533867467</v>
      </c>
    </row>
    <row r="35" spans="2:23">
      <c r="B35" s="37">
        <f t="shared" si="4"/>
        <v>13</v>
      </c>
      <c r="C35" s="163">
        <f t="shared" si="5"/>
        <v>45153</v>
      </c>
      <c r="D35" s="38">
        <f t="shared" ca="1" si="6"/>
        <v>213.2875598995472</v>
      </c>
      <c r="E35" s="38">
        <f t="shared" ca="1" si="11"/>
        <v>2041.9978934871995</v>
      </c>
      <c r="F35" s="38">
        <f ca="1">IF(B35&lt;=$D$16,F34*(1+$D$13)^((C35-C34)/_xlfn.DAYS(EDATE(C34,1),C34)),F34-D35)+IF(B35&lt;=$D$16,F34*Resumo!$F$12,0)+IF(B35&lt;=$D$16,$D$15*Resumo!$F$13,0)+IF(B35&lt;=$D$16,25,0)-IF(AND($D$16&gt;3,B35&lt;=$D$16),J35,0)</f>
        <v>300080.52030586509</v>
      </c>
      <c r="G35" s="38">
        <f ca="1">IF(AND(B35&lt;&gt;"",K35&lt;&gt;$D$17,$D$16&gt;3),F35*Resumo!$F$12,IF(AND(B35&lt;&gt;"",K35&lt;&gt;$D$17,B35&gt;$D$16),F35*Resumo!$F$12,0))</f>
        <v>63.016909264231671</v>
      </c>
      <c r="H35" s="38">
        <f>IF(AND(B35&lt;&gt;"",K35&lt;&gt;$D$17,$D$16&gt;3,$B35&lt;=$D$16),$D$15*Resumo!$F$13,IF(AND(B35&lt;&gt;"",K35&lt;&gt;$D$17,B35&gt;$D$16),$D$15*Resumo!$F$13,0))</f>
        <v>34.369999999999997</v>
      </c>
      <c r="I35" s="38">
        <f>IF(AND(B35&lt;&gt;"",K35&lt;&gt;$D$17,$D$16&gt;3,$B35&lt;=$D$16),Resumo!$F$11,IF(AND(B35&lt;&gt;"",K35&lt;&gt;$D$17,B35&gt;$D$16),Resumo!$F$11,0))</f>
        <v>25</v>
      </c>
      <c r="J35" s="38">
        <f t="shared" ca="1" si="7"/>
        <v>2377.6723626509784</v>
      </c>
      <c r="K35" s="39" t="str">
        <f>IF(B35&lt;&gt;"",VLOOKUP(MONTH(C35),Sheet2!$F$1:$G$12,2,0),"")</f>
        <v>Agosto</v>
      </c>
      <c r="L35" s="200">
        <f t="shared" ca="1" si="8"/>
        <v>0</v>
      </c>
      <c r="M35" s="40">
        <f t="shared" ca="1" si="0"/>
        <v>2255.2854533867467</v>
      </c>
      <c r="N35" s="40">
        <f t="shared" ca="1" si="1"/>
        <v>2377.6723626509784</v>
      </c>
      <c r="O35" s="40"/>
      <c r="P35" s="20">
        <f t="shared" ca="1" si="2"/>
        <v>834.89136490250701</v>
      </c>
      <c r="Q35" s="1">
        <f t="shared" si="3"/>
        <v>406</v>
      </c>
      <c r="R35" s="171">
        <f>IF(AND($J$2&gt;=DATEVALUE("03/04/2020"),$J$2&lt;=DATEVALUE("25/11/2020")),0,IF(Resumo!$C$19="PF",IF(Q35&lt;360,0.0082%*Q35,3%),IF(Q35&lt;360,0.0041%*Q35,1.5%)))</f>
        <v>1.4999999999999999E-2</v>
      </c>
      <c r="S35" s="172">
        <f t="shared" ca="1" si="9"/>
        <v>12.523370473537605</v>
      </c>
      <c r="W35" s="216">
        <f t="shared" ca="1" si="10"/>
        <v>2255.2854533867467</v>
      </c>
    </row>
    <row r="36" spans="2:23">
      <c r="B36" s="41">
        <f t="shared" si="4"/>
        <v>14</v>
      </c>
      <c r="C36" s="164">
        <f t="shared" si="5"/>
        <v>45184</v>
      </c>
      <c r="D36" s="42">
        <f t="shared" ca="1" si="6"/>
        <v>214.73791530686412</v>
      </c>
      <c r="E36" s="42">
        <f t="shared" ca="1" si="11"/>
        <v>2040.5475380798825</v>
      </c>
      <c r="F36" s="42">
        <f ca="1">IF(B36&lt;=$D$16,F35*(1+$D$13)^((C36-C35)/_xlfn.DAYS(EDATE(C35,1),C35)),F35-D36)+IF(B36&lt;=$D$16,F35*Resumo!$F$12,0)+IF(B36&lt;=$D$16,$D$15*Resumo!$F$13,0)+IF(B36&lt;=$D$16,25,0)-IF(AND($D$16&gt;3,B36&lt;=$D$16),J36,0)</f>
        <v>299865.78239055822</v>
      </c>
      <c r="G36" s="42">
        <f ca="1">IF(AND(B36&lt;&gt;"",K36&lt;&gt;$D$17,$D$16&gt;3),F36*Resumo!$F$12,IF(AND(B36&lt;&gt;"",K36&lt;&gt;$D$17,B36&gt;$D$16),F36*Resumo!$F$12,0))</f>
        <v>62.971814302017229</v>
      </c>
      <c r="H36" s="42">
        <f>IF(AND(B36&lt;&gt;"",K36&lt;&gt;$D$17,$D$16&gt;3,$B36&lt;=$D$16),$D$15*Resumo!$F$13,IF(AND(B36&lt;&gt;"",K36&lt;&gt;$D$17,B36&gt;$D$16),$D$15*Resumo!$F$13,0))</f>
        <v>34.369999999999997</v>
      </c>
      <c r="I36" s="42">
        <f>IF(AND(B36&lt;&gt;"",K36&lt;&gt;$D$17,$D$16&gt;3,$B36&lt;=$D$16),Resumo!$F$11,IF(AND(B36&lt;&gt;"",K36&lt;&gt;$D$17,B36&gt;$D$16),Resumo!$F$11,0))</f>
        <v>25</v>
      </c>
      <c r="J36" s="42">
        <f t="shared" ca="1" si="7"/>
        <v>2377.6272676887638</v>
      </c>
      <c r="K36" s="39" t="str">
        <f>IF(B36&lt;&gt;"",VLOOKUP(MONTH(C36),Sheet2!$F$1:$G$12,2,0),"")</f>
        <v>Setembro</v>
      </c>
      <c r="L36" s="200">
        <f t="shared" ca="1" si="8"/>
        <v>0</v>
      </c>
      <c r="M36" s="40">
        <f t="shared" ca="1" si="0"/>
        <v>2255.2854533867467</v>
      </c>
      <c r="N36" s="40">
        <f t="shared" ca="1" si="1"/>
        <v>2377.6272676887638</v>
      </c>
      <c r="O36" s="40"/>
      <c r="P36" s="20">
        <f t="shared" ca="1" si="2"/>
        <v>834.89136490250701</v>
      </c>
      <c r="Q36" s="1">
        <f t="shared" si="3"/>
        <v>437</v>
      </c>
      <c r="R36" s="171">
        <f>IF(AND($J$2&gt;=DATEVALUE("03/04/2020"),$J$2&lt;=DATEVALUE("25/11/2020")),0,IF(Resumo!$C$19="PF",IF(Q36&lt;360,0.0082%*Q36,3%),IF(Q36&lt;360,0.0041%*Q36,1.5%)))</f>
        <v>1.4999999999999999E-2</v>
      </c>
      <c r="S36" s="172">
        <f t="shared" ca="1" si="9"/>
        <v>12.523370473537605</v>
      </c>
      <c r="W36" s="216">
        <f t="shared" ca="1" si="10"/>
        <v>2255.2854533867467</v>
      </c>
    </row>
    <row r="37" spans="2:23">
      <c r="B37" s="37">
        <f t="shared" si="4"/>
        <v>15</v>
      </c>
      <c r="C37" s="163">
        <f t="shared" si="5"/>
        <v>45214</v>
      </c>
      <c r="D37" s="38">
        <f t="shared" ca="1" si="6"/>
        <v>216.19813313095096</v>
      </c>
      <c r="E37" s="38">
        <f t="shared" ca="1" si="11"/>
        <v>2039.0873202557957</v>
      </c>
      <c r="F37" s="38">
        <f ca="1">IF(B37&lt;=$D$16,F36*(1+$D$13)^((C37-C36)/_xlfn.DAYS(EDATE(C36,1),C36)),F36-D37)+IF(B37&lt;=$D$16,F36*Resumo!$F$12,0)+IF(B37&lt;=$D$16,$D$15*Resumo!$F$13,0)+IF(B37&lt;=$D$16,25,0)-IF(AND($D$16&gt;3,B37&lt;=$D$16),J37,0)</f>
        <v>299649.58425742725</v>
      </c>
      <c r="G37" s="38">
        <f ca="1">IF(AND(B37&lt;&gt;"",K37&lt;&gt;$D$17,$D$16&gt;3),F37*Resumo!$F$12,IF(AND(B37&lt;&gt;"",K37&lt;&gt;$D$17,B37&gt;$D$16),F37*Resumo!$F$12,0))</f>
        <v>62.926412694059728</v>
      </c>
      <c r="H37" s="38">
        <f>IF(AND(B37&lt;&gt;"",K37&lt;&gt;$D$17,$D$16&gt;3,$B37&lt;=$D$16),$D$15*Resumo!$F$13,IF(AND(B37&lt;&gt;"",K37&lt;&gt;$D$17,B37&gt;$D$16),$D$15*Resumo!$F$13,0))</f>
        <v>34.369999999999997</v>
      </c>
      <c r="I37" s="38">
        <f>IF(AND(B37&lt;&gt;"",K37&lt;&gt;$D$17,$D$16&gt;3,$B37&lt;=$D$16),Resumo!$F$11,IF(AND(B37&lt;&gt;"",K37&lt;&gt;$D$17,B37&gt;$D$16),Resumo!$F$11,0))</f>
        <v>25</v>
      </c>
      <c r="J37" s="38">
        <f t="shared" ca="1" si="7"/>
        <v>2377.5818660808063</v>
      </c>
      <c r="K37" s="39" t="str">
        <f>IF(B37&lt;&gt;"",VLOOKUP(MONTH(C37),Sheet2!$F$1:$G$12,2,0),"")</f>
        <v>Outubro</v>
      </c>
      <c r="L37" s="200">
        <f t="shared" ca="1" si="8"/>
        <v>0</v>
      </c>
      <c r="M37" s="40">
        <f t="shared" ca="1" si="0"/>
        <v>2255.2854533867467</v>
      </c>
      <c r="N37" s="40">
        <f t="shared" ca="1" si="1"/>
        <v>2377.5818660808063</v>
      </c>
      <c r="O37" s="40"/>
      <c r="P37" s="20">
        <f t="shared" ca="1" si="2"/>
        <v>834.89136490250701</v>
      </c>
      <c r="Q37" s="1">
        <f t="shared" si="3"/>
        <v>467</v>
      </c>
      <c r="R37" s="171">
        <f>IF(AND($J$2&gt;=DATEVALUE("03/04/2020"),$J$2&lt;=DATEVALUE("25/11/2020")),0,IF(Resumo!$C$19="PF",IF(Q37&lt;360,0.0082%*Q37,3%),IF(Q37&lt;360,0.0041%*Q37,1.5%)))</f>
        <v>1.4999999999999999E-2</v>
      </c>
      <c r="S37" s="172">
        <f t="shared" ca="1" si="9"/>
        <v>12.523370473537605</v>
      </c>
      <c r="W37" s="216">
        <f t="shared" ca="1" si="10"/>
        <v>2255.2854533867467</v>
      </c>
    </row>
    <row r="38" spans="2:23">
      <c r="B38" s="41">
        <f t="shared" si="4"/>
        <v>16</v>
      </c>
      <c r="C38" s="164">
        <f t="shared" si="5"/>
        <v>45245</v>
      </c>
      <c r="D38" s="42">
        <f t="shared" ca="1" si="6"/>
        <v>217.6682804362415</v>
      </c>
      <c r="E38" s="42">
        <f t="shared" ca="1" si="11"/>
        <v>2037.6171729505052</v>
      </c>
      <c r="F38" s="42">
        <f ca="1">IF(B38&lt;=$D$16,F37*(1+$D$13)^((C38-C37)/_xlfn.DAYS(EDATE(C37,1),C37)),F37-D38)+IF(B38&lt;=$D$16,F37*Resumo!$F$12,0)+IF(B38&lt;=$D$16,$D$15*Resumo!$F$13,0)+IF(B38&lt;=$D$16,25,0)-IF(AND($D$16&gt;3,B38&lt;=$D$16),J38,0)</f>
        <v>299431.915976991</v>
      </c>
      <c r="G38" s="42">
        <f ca="1">IF(AND(B38&lt;&gt;"",K38&lt;&gt;$D$17,$D$16&gt;3),F38*Resumo!$F$12,IF(AND(B38&lt;&gt;"",K38&lt;&gt;$D$17,B38&gt;$D$16),F38*Resumo!$F$12,0))</f>
        <v>62.880702355168111</v>
      </c>
      <c r="H38" s="42">
        <f>IF(AND(B38&lt;&gt;"",K38&lt;&gt;$D$17,$D$16&gt;3,$B38&lt;=$D$16),$D$15*Resumo!$F$13,IF(AND(B38&lt;&gt;"",K38&lt;&gt;$D$17,B38&gt;$D$16),$D$15*Resumo!$F$13,0))</f>
        <v>34.369999999999997</v>
      </c>
      <c r="I38" s="42">
        <f>IF(AND(B38&lt;&gt;"",K38&lt;&gt;$D$17,$D$16&gt;3,$B38&lt;=$D$16),Resumo!$F$11,IF(AND(B38&lt;&gt;"",K38&lt;&gt;$D$17,B38&gt;$D$16),Resumo!$F$11,0))</f>
        <v>25</v>
      </c>
      <c r="J38" s="42">
        <f t="shared" ca="1" si="7"/>
        <v>2377.5361557419146</v>
      </c>
      <c r="K38" s="39" t="str">
        <f>IF(B38&lt;&gt;"",VLOOKUP(MONTH(C38),Sheet2!$F$1:$G$12,2,0),"")</f>
        <v>Novembro</v>
      </c>
      <c r="L38" s="200">
        <f t="shared" ca="1" si="8"/>
        <v>0</v>
      </c>
      <c r="M38" s="40">
        <f t="shared" ca="1" si="0"/>
        <v>2255.2854533867467</v>
      </c>
      <c r="N38" s="40">
        <f t="shared" ca="1" si="1"/>
        <v>2377.5361557419146</v>
      </c>
      <c r="O38" s="40"/>
      <c r="P38" s="20">
        <f t="shared" ca="1" si="2"/>
        <v>834.89136490250701</v>
      </c>
      <c r="Q38" s="1">
        <f t="shared" si="3"/>
        <v>498</v>
      </c>
      <c r="R38" s="171">
        <f>IF(AND($J$2&gt;=DATEVALUE("03/04/2020"),$J$2&lt;=DATEVALUE("25/11/2020")),0,IF(Resumo!$C$19="PF",IF(Q38&lt;360,0.0082%*Q38,3%),IF(Q38&lt;360,0.0041%*Q38,1.5%)))</f>
        <v>1.4999999999999999E-2</v>
      </c>
      <c r="S38" s="172">
        <f t="shared" ca="1" si="9"/>
        <v>12.523370473537605</v>
      </c>
      <c r="W38" s="216">
        <f t="shared" ca="1" si="10"/>
        <v>2255.2854533867467</v>
      </c>
    </row>
    <row r="39" spans="2:23">
      <c r="B39" s="37">
        <f t="shared" si="4"/>
        <v>17</v>
      </c>
      <c r="C39" s="163">
        <f t="shared" si="5"/>
        <v>45275</v>
      </c>
      <c r="D39" s="38">
        <f t="shared" ca="1" si="6"/>
        <v>219.1484247432079</v>
      </c>
      <c r="E39" s="38">
        <f t="shared" ca="1" si="11"/>
        <v>2036.1370286435388</v>
      </c>
      <c r="F39" s="38">
        <f ca="1">IF(B39&lt;=$D$16,F38*(1+$D$13)^((C39-C38)/_xlfn.DAYS(EDATE(C38,1),C38)),F38-D39)+IF(B39&lt;=$D$16,F38*Resumo!$F$12,0)+IF(B39&lt;=$D$16,$D$15*Resumo!$F$13,0)+IF(B39&lt;=$D$16,25,0)-IF(AND($D$16&gt;3,B39&lt;=$D$16),J39,0)</f>
        <v>299212.76755224779</v>
      </c>
      <c r="G39" s="38">
        <f ca="1">IF(AND(B39&lt;&gt;"",K39&lt;&gt;$D$17,$D$16&gt;3),F39*Resumo!$F$12,IF(AND(B39&lt;&gt;"",K39&lt;&gt;$D$17,B39&gt;$D$16),F39*Resumo!$F$12,0))</f>
        <v>62.834681185972038</v>
      </c>
      <c r="H39" s="38">
        <f>IF(AND(B39&lt;&gt;"",K39&lt;&gt;$D$17,$D$16&gt;3,$B39&lt;=$D$16),$D$15*Resumo!$F$13,IF(AND(B39&lt;&gt;"",K39&lt;&gt;$D$17,B39&gt;$D$16),$D$15*Resumo!$F$13,0))</f>
        <v>34.369999999999997</v>
      </c>
      <c r="I39" s="38">
        <f>IF(AND(B39&lt;&gt;"",K39&lt;&gt;$D$17,$D$16&gt;3,$B39&lt;=$D$16),Resumo!$F$11,IF(AND(B39&lt;&gt;"",K39&lt;&gt;$D$17,B39&gt;$D$16),Resumo!$F$11,0))</f>
        <v>25</v>
      </c>
      <c r="J39" s="38">
        <f t="shared" ca="1" si="7"/>
        <v>2377.4901345727185</v>
      </c>
      <c r="K39" s="39" t="str">
        <f>IF(B39&lt;&gt;"",VLOOKUP(MONTH(C39),Sheet2!$F$1:$G$12,2,0),"")</f>
        <v>Dezembro</v>
      </c>
      <c r="L39" s="200">
        <f t="shared" ca="1" si="8"/>
        <v>0</v>
      </c>
      <c r="M39" s="40">
        <f t="shared" ca="1" si="0"/>
        <v>2255.2854533867467</v>
      </c>
      <c r="N39" s="40">
        <f t="shared" ca="1" si="1"/>
        <v>2377.4901345727185</v>
      </c>
      <c r="O39" s="40"/>
      <c r="P39" s="20">
        <f t="shared" ca="1" si="2"/>
        <v>834.89136490250701</v>
      </c>
      <c r="Q39" s="1">
        <f t="shared" si="3"/>
        <v>528</v>
      </c>
      <c r="R39" s="171">
        <f>IF(AND($J$2&gt;=DATEVALUE("03/04/2020"),$J$2&lt;=DATEVALUE("25/11/2020")),0,IF(Resumo!$C$19="PF",IF(Q39&lt;360,0.0082%*Q39,3%),IF(Q39&lt;360,0.0041%*Q39,1.5%)))</f>
        <v>1.4999999999999999E-2</v>
      </c>
      <c r="S39" s="172">
        <f t="shared" ca="1" si="9"/>
        <v>12.523370473537605</v>
      </c>
      <c r="W39" s="216">
        <f t="shared" ca="1" si="10"/>
        <v>2255.2854533867467</v>
      </c>
    </row>
    <row r="40" spans="2:23">
      <c r="B40" s="41">
        <f t="shared" si="4"/>
        <v>18</v>
      </c>
      <c r="C40" s="164">
        <f t="shared" si="5"/>
        <v>45306</v>
      </c>
      <c r="D40" s="42">
        <f t="shared" ca="1" si="6"/>
        <v>220.63863403146183</v>
      </c>
      <c r="E40" s="42">
        <f t="shared" ca="1" si="11"/>
        <v>2034.6468193552848</v>
      </c>
      <c r="F40" s="42">
        <f ca="1">IF(B40&lt;=$D$16,F39*(1+$D$13)^((C40-C39)/_xlfn.DAYS(EDATE(C39,1),C39)),F39-D40)+IF(B40&lt;=$D$16,F39*Resumo!$F$12,0)+IF(B40&lt;=$D$16,$D$15*Resumo!$F$13,0)+IF(B40&lt;=$D$16,25,0)-IF(AND($D$16&gt;3,B40&lt;=$D$16),J40,0)</f>
        <v>298992.12891821633</v>
      </c>
      <c r="G40" s="42">
        <f ca="1">IF(AND(B40&lt;&gt;"",K40&lt;&gt;$D$17,$D$16&gt;3),F40*Resumo!$F$12,IF(AND(B40&lt;&gt;"",K40&lt;&gt;$D$17,B40&gt;$D$16),F40*Resumo!$F$12,0))</f>
        <v>62.788347072825431</v>
      </c>
      <c r="H40" s="42">
        <f>IF(AND(B40&lt;&gt;"",K40&lt;&gt;$D$17,$D$16&gt;3,$B40&lt;=$D$16),$D$15*Resumo!$F$13,IF(AND(B40&lt;&gt;"",K40&lt;&gt;$D$17,B40&gt;$D$16),$D$15*Resumo!$F$13,0))</f>
        <v>34.369999999999997</v>
      </c>
      <c r="I40" s="42">
        <f>IF(AND(B40&lt;&gt;"",K40&lt;&gt;$D$17,$D$16&gt;3,$B40&lt;=$D$16),Resumo!$F$11,IF(AND(B40&lt;&gt;"",K40&lt;&gt;$D$17,B40&gt;$D$16),Resumo!$F$11,0))</f>
        <v>25</v>
      </c>
      <c r="J40" s="42">
        <f t="shared" ca="1" si="7"/>
        <v>2377.4438004595718</v>
      </c>
      <c r="K40" s="39" t="str">
        <f>IF(B40&lt;&gt;"",VLOOKUP(MONTH(C40),Sheet2!$F$1:$G$12,2,0),"")</f>
        <v>Janeiro</v>
      </c>
      <c r="L40" s="200">
        <f t="shared" ca="1" si="8"/>
        <v>0</v>
      </c>
      <c r="M40" s="40">
        <f t="shared" ca="1" si="0"/>
        <v>2255.2854533867467</v>
      </c>
      <c r="N40" s="40">
        <f t="shared" ca="1" si="1"/>
        <v>2377.4438004595718</v>
      </c>
      <c r="O40" s="40"/>
      <c r="P40" s="20">
        <f t="shared" ca="1" si="2"/>
        <v>834.89136490250701</v>
      </c>
      <c r="Q40" s="1">
        <f t="shared" si="3"/>
        <v>559</v>
      </c>
      <c r="R40" s="171">
        <f>IF(AND($J$2&gt;=DATEVALUE("03/04/2020"),$J$2&lt;=DATEVALUE("25/11/2020")),0,IF(Resumo!$C$19="PF",IF(Q40&lt;360,0.0082%*Q40,3%),IF(Q40&lt;360,0.0041%*Q40,1.5%)))</f>
        <v>1.4999999999999999E-2</v>
      </c>
      <c r="S40" s="172">
        <f t="shared" ca="1" si="9"/>
        <v>12.523370473537605</v>
      </c>
      <c r="W40" s="216">
        <f t="shared" ca="1" si="10"/>
        <v>2255.2854533867467</v>
      </c>
    </row>
    <row r="41" spans="2:23">
      <c r="B41" s="37">
        <f t="shared" si="4"/>
        <v>19</v>
      </c>
      <c r="C41" s="163">
        <f t="shared" si="5"/>
        <v>45337</v>
      </c>
      <c r="D41" s="38">
        <f t="shared" ca="1" si="6"/>
        <v>222.13897674287568</v>
      </c>
      <c r="E41" s="38">
        <f t="shared" ca="1" si="11"/>
        <v>2033.146476643871</v>
      </c>
      <c r="F41" s="38">
        <f ca="1">IF(B41&lt;=$D$16,F40*(1+$D$13)^((C41-C40)/_xlfn.DAYS(EDATE(C40,1),C40)),F40-D41)+IF(B41&lt;=$D$16,F40*Resumo!$F$12,0)+IF(B41&lt;=$D$16,$D$15*Resumo!$F$13,0)+IF(B41&lt;=$D$16,25,0)-IF(AND($D$16&gt;3,B41&lt;=$D$16),J41,0)</f>
        <v>298769.98994147347</v>
      </c>
      <c r="G41" s="38">
        <f ca="1">IF(AND(B41&lt;&gt;"",K41&lt;&gt;$D$17,$D$16&gt;3),F41*Resumo!$F$12,IF(AND(B41&lt;&gt;"",K41&lt;&gt;$D$17,B41&gt;$D$16),F41*Resumo!$F$12,0))</f>
        <v>62.741697887709428</v>
      </c>
      <c r="H41" s="38">
        <f>IF(AND(B41&lt;&gt;"",K41&lt;&gt;$D$17,$D$16&gt;3,$B41&lt;=$D$16),$D$15*Resumo!$F$13,IF(AND(B41&lt;&gt;"",K41&lt;&gt;$D$17,B41&gt;$D$16),$D$15*Resumo!$F$13,0))</f>
        <v>34.369999999999997</v>
      </c>
      <c r="I41" s="38">
        <f>IF(AND(B41&lt;&gt;"",K41&lt;&gt;$D$17,$D$16&gt;3,$B41&lt;=$D$16),Resumo!$F$11,IF(AND(B41&lt;&gt;"",K41&lt;&gt;$D$17,B41&gt;$D$16),Resumo!$F$11,0))</f>
        <v>25</v>
      </c>
      <c r="J41" s="38">
        <f t="shared" ca="1" si="7"/>
        <v>2377.3971512744561</v>
      </c>
      <c r="K41" s="39" t="str">
        <f>IF(B41&lt;&gt;"",VLOOKUP(MONTH(C41),Sheet2!$F$1:$G$12,2,0),"")</f>
        <v>Fevereiro</v>
      </c>
      <c r="L41" s="200">
        <f t="shared" ca="1" si="8"/>
        <v>0</v>
      </c>
      <c r="M41" s="40">
        <f t="shared" ca="1" si="0"/>
        <v>2255.2854533867467</v>
      </c>
      <c r="N41" s="40">
        <f t="shared" ca="1" si="1"/>
        <v>2377.3971512744561</v>
      </c>
      <c r="O41" s="40"/>
      <c r="P41" s="20">
        <f t="shared" ca="1" si="2"/>
        <v>834.89136490250701</v>
      </c>
      <c r="Q41" s="1">
        <f t="shared" si="3"/>
        <v>590</v>
      </c>
      <c r="R41" s="171">
        <f>IF(AND($J$2&gt;=DATEVALUE("03/04/2020"),$J$2&lt;=DATEVALUE("25/11/2020")),0,IF(Resumo!$C$19="PF",IF(Q41&lt;360,0.0082%*Q41,3%),IF(Q41&lt;360,0.0041%*Q41,1.5%)))</f>
        <v>1.4999999999999999E-2</v>
      </c>
      <c r="S41" s="172">
        <f t="shared" ca="1" si="9"/>
        <v>12.523370473537605</v>
      </c>
      <c r="W41" s="216">
        <f t="shared" ca="1" si="10"/>
        <v>2255.2854533867467</v>
      </c>
    </row>
    <row r="42" spans="2:23">
      <c r="B42" s="41">
        <f t="shared" si="4"/>
        <v>20</v>
      </c>
      <c r="C42" s="164">
        <f t="shared" si="5"/>
        <v>45366</v>
      </c>
      <c r="D42" s="42">
        <f t="shared" ca="1" si="6"/>
        <v>223.64952178472709</v>
      </c>
      <c r="E42" s="42">
        <f t="shared" ca="1" si="11"/>
        <v>2031.6359316020196</v>
      </c>
      <c r="F42" s="42">
        <f ca="1">IF(B42&lt;=$D$16,F41*(1+$D$13)^((C42-C41)/_xlfn.DAYS(EDATE(C41,1),C41)),F41-D42)+IF(B42&lt;=$D$16,F41*Resumo!$F$12,0)+IF(B42&lt;=$D$16,$D$15*Resumo!$F$13,0)+IF(B42&lt;=$D$16,25,0)-IF(AND($D$16&gt;3,B42&lt;=$D$16),J42,0)</f>
        <v>298546.34041968873</v>
      </c>
      <c r="G42" s="42">
        <f ca="1">IF(AND(B42&lt;&gt;"",K42&lt;&gt;$D$17,$D$16&gt;3),F42*Resumo!$F$12,IF(AND(B42&lt;&gt;"",K42&lt;&gt;$D$17,B42&gt;$D$16),F42*Resumo!$F$12,0))</f>
        <v>62.694731488134636</v>
      </c>
      <c r="H42" s="42">
        <f>IF(AND(B42&lt;&gt;"",K42&lt;&gt;$D$17,$D$16&gt;3,$B42&lt;=$D$16),$D$15*Resumo!$F$13,IF(AND(B42&lt;&gt;"",K42&lt;&gt;$D$17,B42&gt;$D$16),$D$15*Resumo!$F$13,0))</f>
        <v>34.369999999999997</v>
      </c>
      <c r="I42" s="42">
        <f>IF(AND(B42&lt;&gt;"",K42&lt;&gt;$D$17,$D$16&gt;3,$B42&lt;=$D$16),Resumo!$F$11,IF(AND(B42&lt;&gt;"",K42&lt;&gt;$D$17,B42&gt;$D$16),Resumo!$F$11,0))</f>
        <v>25</v>
      </c>
      <c r="J42" s="42">
        <f t="shared" ca="1" si="7"/>
        <v>2377.3501848748811</v>
      </c>
      <c r="K42" s="39" t="str">
        <f>IF(B42&lt;&gt;"",VLOOKUP(MONTH(C42),Sheet2!$F$1:$G$12,2,0),"")</f>
        <v>Março</v>
      </c>
      <c r="L42" s="200">
        <f t="shared" ca="1" si="8"/>
        <v>0</v>
      </c>
      <c r="M42" s="40">
        <f t="shared" ca="1" si="0"/>
        <v>2255.2854533867467</v>
      </c>
      <c r="N42" s="40">
        <f t="shared" ca="1" si="1"/>
        <v>2377.3501848748811</v>
      </c>
      <c r="O42" s="40"/>
      <c r="P42" s="20">
        <f t="shared" ca="1" si="2"/>
        <v>834.89136490250701</v>
      </c>
      <c r="Q42" s="1">
        <f t="shared" si="3"/>
        <v>619</v>
      </c>
      <c r="R42" s="171">
        <f>IF(AND($J$2&gt;=DATEVALUE("03/04/2020"),$J$2&lt;=DATEVALUE("25/11/2020")),0,IF(Resumo!$C$19="PF",IF(Q42&lt;360,0.0082%*Q42,3%),IF(Q42&lt;360,0.0041%*Q42,1.5%)))</f>
        <v>1.4999999999999999E-2</v>
      </c>
      <c r="S42" s="172">
        <f t="shared" ca="1" si="9"/>
        <v>12.523370473537605</v>
      </c>
      <c r="W42" s="216">
        <f t="shared" ca="1" si="10"/>
        <v>2255.2854533867467</v>
      </c>
    </row>
    <row r="43" spans="2:23">
      <c r="B43" s="37">
        <f t="shared" si="4"/>
        <v>21</v>
      </c>
      <c r="C43" s="163">
        <f t="shared" si="5"/>
        <v>45397</v>
      </c>
      <c r="D43" s="38">
        <f t="shared" ca="1" si="6"/>
        <v>225.17033853286352</v>
      </c>
      <c r="E43" s="38">
        <f t="shared" ca="1" si="11"/>
        <v>2030.1151148538831</v>
      </c>
      <c r="F43" s="38">
        <f ca="1">IF(B43&lt;=$D$16,F42*(1+$D$13)^((C43-C42)/_xlfn.DAYS(EDATE(C42,1),C42)),F42-D43)+IF(B43&lt;=$D$16,F42*Resumo!$F$12,0)+IF(B43&lt;=$D$16,$D$15*Resumo!$F$13,0)+IF(B43&lt;=$D$16,25,0)-IF(AND($D$16&gt;3,B43&lt;=$D$16),J43,0)</f>
        <v>298321.17008115584</v>
      </c>
      <c r="G43" s="38">
        <f ca="1">IF(AND(B43&lt;&gt;"",K43&lt;&gt;$D$17,$D$16&gt;3),F43*Resumo!$F$12,IF(AND(B43&lt;&gt;"",K43&lt;&gt;$D$17,B43&gt;$D$16),F43*Resumo!$F$12,0))</f>
        <v>62.647445717042729</v>
      </c>
      <c r="H43" s="38">
        <f>IF(AND(B43&lt;&gt;"",K43&lt;&gt;$D$17,$D$16&gt;3,$B43&lt;=$D$16),$D$15*Resumo!$F$13,IF(AND(B43&lt;&gt;"",K43&lt;&gt;$D$17,B43&gt;$D$16),$D$15*Resumo!$F$13,0))</f>
        <v>34.369999999999997</v>
      </c>
      <c r="I43" s="38">
        <f>IF(AND(B43&lt;&gt;"",K43&lt;&gt;$D$17,$D$16&gt;3,$B43&lt;=$D$16),Resumo!$F$11,IF(AND(B43&lt;&gt;"",K43&lt;&gt;$D$17,B43&gt;$D$16),Resumo!$F$11,0))</f>
        <v>25</v>
      </c>
      <c r="J43" s="38">
        <f t="shared" ca="1" si="7"/>
        <v>2377.3028991037891</v>
      </c>
      <c r="K43" s="39" t="str">
        <f>IF(B43&lt;&gt;"",VLOOKUP(MONTH(C43),Sheet2!$F$1:$G$12,2,0),"")</f>
        <v>Abril</v>
      </c>
      <c r="L43" s="200">
        <f t="shared" ca="1" si="8"/>
        <v>0</v>
      </c>
      <c r="M43" s="40">
        <f t="shared" ca="1" si="0"/>
        <v>2255.2854533867467</v>
      </c>
      <c r="N43" s="40">
        <f t="shared" ca="1" si="1"/>
        <v>2377.3028991037891</v>
      </c>
      <c r="O43" s="40"/>
      <c r="P43" s="20">
        <f t="shared" ca="1" si="2"/>
        <v>834.89136490250701</v>
      </c>
      <c r="Q43" s="1">
        <f t="shared" si="3"/>
        <v>650</v>
      </c>
      <c r="R43" s="171">
        <f>IF(AND($J$2&gt;=DATEVALUE("03/04/2020"),$J$2&lt;=DATEVALUE("25/11/2020")),0,IF(Resumo!$C$19="PF",IF(Q43&lt;360,0.0082%*Q43,3%),IF(Q43&lt;360,0.0041%*Q43,1.5%)))</f>
        <v>1.4999999999999999E-2</v>
      </c>
      <c r="S43" s="172">
        <f t="shared" ca="1" si="9"/>
        <v>12.523370473537605</v>
      </c>
      <c r="W43" s="216">
        <f t="shared" ca="1" si="10"/>
        <v>2255.2854533867467</v>
      </c>
    </row>
    <row r="44" spans="2:23">
      <c r="B44" s="41">
        <f t="shared" si="4"/>
        <v>22</v>
      </c>
      <c r="C44" s="164">
        <f t="shared" si="5"/>
        <v>45427</v>
      </c>
      <c r="D44" s="42">
        <f t="shared" ca="1" si="6"/>
        <v>226.70149683488717</v>
      </c>
      <c r="E44" s="42">
        <f t="shared" ca="1" si="11"/>
        <v>2028.5839565518595</v>
      </c>
      <c r="F44" s="42">
        <f ca="1">IF(B44&lt;=$D$16,F43*(1+$D$13)^((C44-C43)/_xlfn.DAYS(EDATE(C43,1),C43)),F43-D44)+IF(B44&lt;=$D$16,F43*Resumo!$F$12,0)+IF(B44&lt;=$D$16,$D$15*Resumo!$F$13,0)+IF(B44&lt;=$D$16,25,0)-IF(AND($D$16&gt;3,B44&lt;=$D$16),J44,0)</f>
        <v>298094.46858432097</v>
      </c>
      <c r="G44" s="42">
        <f ca="1">IF(AND(B44&lt;&gt;"",K44&lt;&gt;$D$17,$D$16&gt;3),F44*Resumo!$F$12,IF(AND(B44&lt;&gt;"",K44&lt;&gt;$D$17,B44&gt;$D$16),F44*Resumo!$F$12,0))</f>
        <v>62.599838402707405</v>
      </c>
      <c r="H44" s="42">
        <f>IF(AND(B44&lt;&gt;"",K44&lt;&gt;$D$17,$D$16&gt;3,$B44&lt;=$D$16),$D$15*Resumo!$F$13,IF(AND(B44&lt;&gt;"",K44&lt;&gt;$D$17,B44&gt;$D$16),$D$15*Resumo!$F$13,0))</f>
        <v>34.369999999999997</v>
      </c>
      <c r="I44" s="42">
        <f>IF(AND(B44&lt;&gt;"",K44&lt;&gt;$D$17,$D$16&gt;3,$B44&lt;=$D$16),Resumo!$F$11,IF(AND(B44&lt;&gt;"",K44&lt;&gt;$D$17,B44&gt;$D$16),Resumo!$F$11,0))</f>
        <v>25</v>
      </c>
      <c r="J44" s="42">
        <f t="shared" ca="1" si="7"/>
        <v>2377.2552917894541</v>
      </c>
      <c r="K44" s="39" t="str">
        <f>IF(B44&lt;&gt;"",VLOOKUP(MONTH(C44),Sheet2!$F$1:$G$12,2,0),"")</f>
        <v>Maio</v>
      </c>
      <c r="L44" s="200">
        <f t="shared" ca="1" si="8"/>
        <v>0</v>
      </c>
      <c r="M44" s="40">
        <f t="shared" ca="1" si="0"/>
        <v>2255.2854533867467</v>
      </c>
      <c r="N44" s="40">
        <f t="shared" ca="1" si="1"/>
        <v>2377.2552917894541</v>
      </c>
      <c r="O44" s="40"/>
      <c r="P44" s="20">
        <f t="shared" ca="1" si="2"/>
        <v>834.89136490250701</v>
      </c>
      <c r="Q44" s="1">
        <f t="shared" si="3"/>
        <v>680</v>
      </c>
      <c r="R44" s="171">
        <f>IF(AND($J$2&gt;=DATEVALUE("03/04/2020"),$J$2&lt;=DATEVALUE("25/11/2020")),0,IF(Resumo!$C$19="PF",IF(Q44&lt;360,0.0082%*Q44,3%),IF(Q44&lt;360,0.0041%*Q44,1.5%)))</f>
        <v>1.4999999999999999E-2</v>
      </c>
      <c r="S44" s="172">
        <f t="shared" ca="1" si="9"/>
        <v>12.523370473537605</v>
      </c>
      <c r="W44" s="216">
        <f t="shared" ca="1" si="10"/>
        <v>2255.2854533867467</v>
      </c>
    </row>
    <row r="45" spans="2:23">
      <c r="B45" s="37">
        <f t="shared" si="4"/>
        <v>23</v>
      </c>
      <c r="C45" s="163">
        <f t="shared" si="5"/>
        <v>45458</v>
      </c>
      <c r="D45" s="38">
        <f t="shared" ca="1" si="6"/>
        <v>228.24306701336423</v>
      </c>
      <c r="E45" s="38">
        <f t="shared" ca="1" si="11"/>
        <v>2027.0423863733824</v>
      </c>
      <c r="F45" s="38">
        <f ca="1">IF(B45&lt;=$D$16,F44*(1+$D$13)^((C45-C44)/_xlfn.DAYS(EDATE(C44,1),C44)),F44-D45)+IF(B45&lt;=$D$16,F44*Resumo!$F$12,0)+IF(B45&lt;=$D$16,$D$15*Resumo!$F$13,0)+IF(B45&lt;=$D$16,25,0)-IF(AND($D$16&gt;3,B45&lt;=$D$16),J45,0)</f>
        <v>297866.22551730758</v>
      </c>
      <c r="G45" s="38">
        <f ca="1">IF(AND(B45&lt;&gt;"",K45&lt;&gt;$D$17,$D$16&gt;3),F45*Resumo!$F$12,IF(AND(B45&lt;&gt;"",K45&lt;&gt;$D$17,B45&gt;$D$16),F45*Resumo!$F$12,0))</f>
        <v>62.551907358634594</v>
      </c>
      <c r="H45" s="38">
        <f>IF(AND(B45&lt;&gt;"",K45&lt;&gt;$D$17,$D$16&gt;3,$B45&lt;=$D$16),$D$15*Resumo!$F$13,IF(AND(B45&lt;&gt;"",K45&lt;&gt;$D$17,B45&gt;$D$16),$D$15*Resumo!$F$13,0))</f>
        <v>34.369999999999997</v>
      </c>
      <c r="I45" s="38">
        <f>IF(AND(B45&lt;&gt;"",K45&lt;&gt;$D$17,$D$16&gt;3,$B45&lt;=$D$16),Resumo!$F$11,IF(AND(B45&lt;&gt;"",K45&lt;&gt;$D$17,B45&gt;$D$16),Resumo!$F$11,0))</f>
        <v>25</v>
      </c>
      <c r="J45" s="38">
        <f t="shared" ca="1" si="7"/>
        <v>2377.2073607453813</v>
      </c>
      <c r="K45" s="39" t="str">
        <f>IF(B45&lt;&gt;"",VLOOKUP(MONTH(C45),Sheet2!$F$1:$G$12,2,0),"")</f>
        <v>Junho</v>
      </c>
      <c r="L45" s="200">
        <f t="shared" ca="1" si="8"/>
        <v>0</v>
      </c>
      <c r="M45" s="40">
        <f t="shared" ca="1" si="0"/>
        <v>2255.2854533867467</v>
      </c>
      <c r="N45" s="40">
        <f t="shared" ca="1" si="1"/>
        <v>2377.2073607453813</v>
      </c>
      <c r="O45" s="40"/>
      <c r="P45" s="20">
        <f t="shared" ca="1" si="2"/>
        <v>834.89136490250701</v>
      </c>
      <c r="Q45" s="1">
        <f t="shared" si="3"/>
        <v>711</v>
      </c>
      <c r="R45" s="171">
        <f>IF(AND($J$2&gt;=DATEVALUE("03/04/2020"),$J$2&lt;=DATEVALUE("25/11/2020")),0,IF(Resumo!$C$19="PF",IF(Q45&lt;360,0.0082%*Q45,3%),IF(Q45&lt;360,0.0041%*Q45,1.5%)))</f>
        <v>1.4999999999999999E-2</v>
      </c>
      <c r="S45" s="172">
        <f t="shared" ca="1" si="9"/>
        <v>12.523370473537605</v>
      </c>
      <c r="W45" s="216">
        <f t="shared" ca="1" si="10"/>
        <v>2255.2854533867467</v>
      </c>
    </row>
    <row r="46" spans="2:23">
      <c r="B46" s="41">
        <f t="shared" si="4"/>
        <v>24</v>
      </c>
      <c r="C46" s="164">
        <f t="shared" si="5"/>
        <v>45488</v>
      </c>
      <c r="D46" s="42">
        <f t="shared" ca="1" si="6"/>
        <v>229.79511986905527</v>
      </c>
      <c r="E46" s="42">
        <f t="shared" ca="1" si="11"/>
        <v>2025.4903335176914</v>
      </c>
      <c r="F46" s="42">
        <f ca="1">IF(B46&lt;=$D$16,F45*(1+$D$13)^((C46-C45)/_xlfn.DAYS(EDATE(C45,1),C45)),F45-D46)+IF(B46&lt;=$D$16,F45*Resumo!$F$12,0)+IF(B46&lt;=$D$16,$D$15*Resumo!$F$13,0)+IF(B46&lt;=$D$16,25,0)-IF(AND($D$16&gt;3,B46&lt;=$D$16),J46,0)</f>
        <v>297636.43039743853</v>
      </c>
      <c r="G46" s="42">
        <f ca="1">IF(AND(B46&lt;&gt;"",K46&lt;&gt;$D$17,$D$16&gt;3),F46*Resumo!$F$12,IF(AND(B46&lt;&gt;"",K46&lt;&gt;$D$17,B46&gt;$D$16),F46*Resumo!$F$12,0))</f>
        <v>62.503650383462094</v>
      </c>
      <c r="H46" s="42">
        <f>IF(AND(B46&lt;&gt;"",K46&lt;&gt;$D$17,$D$16&gt;3,$B46&lt;=$D$16),$D$15*Resumo!$F$13,IF(AND(B46&lt;&gt;"",K46&lt;&gt;$D$17,B46&gt;$D$16),$D$15*Resumo!$F$13,0))</f>
        <v>34.369999999999997</v>
      </c>
      <c r="I46" s="42">
        <f>IF(AND(B46&lt;&gt;"",K46&lt;&gt;$D$17,$D$16&gt;3,$B46&lt;=$D$16),Resumo!$F$11,IF(AND(B46&lt;&gt;"",K46&lt;&gt;$D$17,B46&gt;$D$16),Resumo!$F$11,0))</f>
        <v>25</v>
      </c>
      <c r="J46" s="42">
        <f t="shared" ca="1" si="7"/>
        <v>2377.1591037702087</v>
      </c>
      <c r="K46" s="39" t="str">
        <f>IF(B46&lt;&gt;"",VLOOKUP(MONTH(C46),Sheet2!$F$1:$G$12,2,0),"")</f>
        <v>Julho</v>
      </c>
      <c r="L46" s="200">
        <f t="shared" ca="1" si="8"/>
        <v>0</v>
      </c>
      <c r="M46" s="40">
        <f t="shared" ca="1" si="0"/>
        <v>2255.2854533867467</v>
      </c>
      <c r="N46" s="40">
        <f t="shared" ca="1" si="1"/>
        <v>2377.1591037702087</v>
      </c>
      <c r="O46" s="40"/>
      <c r="P46" s="20">
        <f t="shared" ca="1" si="2"/>
        <v>834.89136490250701</v>
      </c>
      <c r="Q46" s="1">
        <f t="shared" si="3"/>
        <v>741</v>
      </c>
      <c r="R46" s="171">
        <f>IF(AND($J$2&gt;=DATEVALUE("03/04/2020"),$J$2&lt;=DATEVALUE("25/11/2020")),0,IF(Resumo!$C$19="PF",IF(Q46&lt;360,0.0082%*Q46,3%),IF(Q46&lt;360,0.0041%*Q46,1.5%)))</f>
        <v>1.4999999999999999E-2</v>
      </c>
      <c r="S46" s="172">
        <f t="shared" ca="1" si="9"/>
        <v>12.523370473537605</v>
      </c>
      <c r="W46" s="216">
        <f t="shared" ca="1" si="10"/>
        <v>2255.2854533867467</v>
      </c>
    </row>
    <row r="47" spans="2:23">
      <c r="B47" s="37">
        <f t="shared" si="4"/>
        <v>25</v>
      </c>
      <c r="C47" s="163">
        <f t="shared" si="5"/>
        <v>45519</v>
      </c>
      <c r="D47" s="38">
        <f t="shared" ca="1" si="6"/>
        <v>231.35772668416485</v>
      </c>
      <c r="E47" s="38">
        <f t="shared" ca="1" si="11"/>
        <v>2023.9277267025818</v>
      </c>
      <c r="F47" s="38">
        <f ca="1">IF(B47&lt;=$D$16,F46*(1+$D$13)^((C47-C46)/_xlfn.DAYS(EDATE(C46,1),C46)),F46-D47)+IF(B47&lt;=$D$16,F46*Resumo!$F$12,0)+IF(B47&lt;=$D$16,$D$15*Resumo!$F$13,0)+IF(B47&lt;=$D$16,25,0)-IF(AND($D$16&gt;3,B47&lt;=$D$16),J47,0)</f>
        <v>297405.07267075434</v>
      </c>
      <c r="G47" s="38">
        <f ca="1">IF(AND(B47&lt;&gt;"",K47&lt;&gt;$D$17,$D$16&gt;3),F47*Resumo!$F$12,IF(AND(B47&lt;&gt;"",K47&lt;&gt;$D$17,B47&gt;$D$16),F47*Resumo!$F$12,0))</f>
        <v>62.455065260858412</v>
      </c>
      <c r="H47" s="38">
        <f>IF(AND(B47&lt;&gt;"",K47&lt;&gt;$D$17,$D$16&gt;3,$B47&lt;=$D$16),$D$15*Resumo!$F$13,IF(AND(B47&lt;&gt;"",K47&lt;&gt;$D$17,B47&gt;$D$16),$D$15*Resumo!$F$13,0))</f>
        <v>34.369999999999997</v>
      </c>
      <c r="I47" s="38">
        <f>IF(AND(B47&lt;&gt;"",K47&lt;&gt;$D$17,$D$16&gt;3,$B47&lt;=$D$16),Resumo!$F$11,IF(AND(B47&lt;&gt;"",K47&lt;&gt;$D$17,B47&gt;$D$16),Resumo!$F$11,0))</f>
        <v>25</v>
      </c>
      <c r="J47" s="38">
        <f t="shared" ca="1" si="7"/>
        <v>2377.1105186476047</v>
      </c>
      <c r="K47" s="39" t="str">
        <f>IF(B47&lt;&gt;"",VLOOKUP(MONTH(C47),Sheet2!$F$1:$G$12,2,0),"")</f>
        <v>Agosto</v>
      </c>
      <c r="L47" s="200">
        <f t="shared" ca="1" si="8"/>
        <v>0</v>
      </c>
      <c r="M47" s="40">
        <f t="shared" ca="1" si="0"/>
        <v>2255.2854533867467</v>
      </c>
      <c r="N47" s="40">
        <f t="shared" ca="1" si="1"/>
        <v>2377.1105186476047</v>
      </c>
      <c r="O47" s="40"/>
      <c r="P47" s="20">
        <f t="shared" ca="1" si="2"/>
        <v>834.89136490250701</v>
      </c>
      <c r="Q47" s="1">
        <f t="shared" si="3"/>
        <v>772</v>
      </c>
      <c r="R47" s="171">
        <f>IF(AND($J$2&gt;=DATEVALUE("03/04/2020"),$J$2&lt;=DATEVALUE("25/11/2020")),0,IF(Resumo!$C$19="PF",IF(Q47&lt;360,0.0082%*Q47,3%),IF(Q47&lt;360,0.0041%*Q47,1.5%)))</f>
        <v>1.4999999999999999E-2</v>
      </c>
      <c r="S47" s="172">
        <f t="shared" ca="1" si="9"/>
        <v>12.523370473537605</v>
      </c>
      <c r="W47" s="216">
        <f t="shared" ca="1" si="10"/>
        <v>2255.2854533867467</v>
      </c>
    </row>
    <row r="48" spans="2:23">
      <c r="B48" s="41">
        <f t="shared" si="4"/>
        <v>26</v>
      </c>
      <c r="C48" s="164">
        <f t="shared" si="5"/>
        <v>45550</v>
      </c>
      <c r="D48" s="42">
        <f t="shared" ca="1" si="6"/>
        <v>232.93095922561724</v>
      </c>
      <c r="E48" s="42">
        <f t="shared" ca="1" si="11"/>
        <v>2022.3544941611294</v>
      </c>
      <c r="F48" s="42">
        <f ca="1">IF(B48&lt;=$D$16,F47*(1+$D$13)^((C48-C47)/_xlfn.DAYS(EDATE(C47,1),C47)),F47-D48)+IF(B48&lt;=$D$16,F47*Resumo!$F$12,0)+IF(B48&lt;=$D$16,$D$15*Resumo!$F$13,0)+IF(B48&lt;=$D$16,25,0)-IF(AND($D$16&gt;3,B48&lt;=$D$16),J48,0)</f>
        <v>297172.1417115287</v>
      </c>
      <c r="G48" s="42">
        <f ca="1">IF(AND(B48&lt;&gt;"",K48&lt;&gt;$D$17,$D$16&gt;3),F48*Resumo!$F$12,IF(AND(B48&lt;&gt;"",K48&lt;&gt;$D$17,B48&gt;$D$16),F48*Resumo!$F$12,0))</f>
        <v>62.406149759421034</v>
      </c>
      <c r="H48" s="42">
        <f>IF(AND(B48&lt;&gt;"",K48&lt;&gt;$D$17,$D$16&gt;3,$B48&lt;=$D$16),$D$15*Resumo!$F$13,IF(AND(B48&lt;&gt;"",K48&lt;&gt;$D$17,B48&gt;$D$16),$D$15*Resumo!$F$13,0))</f>
        <v>34.369999999999997</v>
      </c>
      <c r="I48" s="42">
        <f>IF(AND(B48&lt;&gt;"",K48&lt;&gt;$D$17,$D$16&gt;3,$B48&lt;=$D$16),Resumo!$F$11,IF(AND(B48&lt;&gt;"",K48&lt;&gt;$D$17,B48&gt;$D$16),Resumo!$F$11,0))</f>
        <v>25</v>
      </c>
      <c r="J48" s="42">
        <f t="shared" ca="1" si="7"/>
        <v>2377.0616031461677</v>
      </c>
      <c r="K48" s="39" t="str">
        <f>IF(B48&lt;&gt;"",VLOOKUP(MONTH(C48),Sheet2!$F$1:$G$12,2,0),"")</f>
        <v>Setembro</v>
      </c>
      <c r="L48" s="200">
        <f t="shared" ca="1" si="8"/>
        <v>0</v>
      </c>
      <c r="M48" s="40">
        <f t="shared" ca="1" si="0"/>
        <v>2255.2854533867467</v>
      </c>
      <c r="N48" s="40">
        <f t="shared" ca="1" si="1"/>
        <v>2377.0616031461677</v>
      </c>
      <c r="O48" s="40"/>
      <c r="P48" s="20">
        <f t="shared" ca="1" si="2"/>
        <v>834.89136490250701</v>
      </c>
      <c r="Q48" s="1">
        <f t="shared" si="3"/>
        <v>803</v>
      </c>
      <c r="R48" s="171">
        <f>IF(AND($J$2&gt;=DATEVALUE("03/04/2020"),$J$2&lt;=DATEVALUE("25/11/2020")),0,IF(Resumo!$C$19="PF",IF(Q48&lt;360,0.0082%*Q48,3%),IF(Q48&lt;360,0.0041%*Q48,1.5%)))</f>
        <v>1.4999999999999999E-2</v>
      </c>
      <c r="S48" s="172">
        <f t="shared" ca="1" si="9"/>
        <v>12.523370473537605</v>
      </c>
      <c r="W48" s="216">
        <f t="shared" ca="1" si="10"/>
        <v>2255.2854533867467</v>
      </c>
    </row>
    <row r="49" spans="2:23">
      <c r="B49" s="37">
        <f t="shared" si="4"/>
        <v>27</v>
      </c>
      <c r="C49" s="163">
        <f t="shared" si="5"/>
        <v>45580</v>
      </c>
      <c r="D49" s="38">
        <f t="shared" ca="1" si="6"/>
        <v>234.51488974835161</v>
      </c>
      <c r="E49" s="38">
        <f t="shared" ca="1" si="11"/>
        <v>2020.7705636383951</v>
      </c>
      <c r="F49" s="38">
        <f ca="1">IF(B49&lt;=$D$16,F48*(1+$D$13)^((C49-C48)/_xlfn.DAYS(EDATE(C48,1),C48)),F48-D49)+IF(B49&lt;=$D$16,F48*Resumo!$F$12,0)+IF(B49&lt;=$D$16,$D$15*Resumo!$F$13,0)+IF(B49&lt;=$D$16,25,0)-IF(AND($D$16&gt;3,B49&lt;=$D$16),J49,0)</f>
        <v>296937.62682178034</v>
      </c>
      <c r="G49" s="38">
        <f ca="1">IF(AND(B49&lt;&gt;"",K49&lt;&gt;$D$17,$D$16&gt;3),F49*Resumo!$F$12,IF(AND(B49&lt;&gt;"",K49&lt;&gt;$D$17,B49&gt;$D$16),F49*Resumo!$F$12,0))</f>
        <v>62.356901632573873</v>
      </c>
      <c r="H49" s="38">
        <f>IF(AND(B49&lt;&gt;"",K49&lt;&gt;$D$17,$D$16&gt;3,$B49&lt;=$D$16),$D$15*Resumo!$F$13,IF(AND(B49&lt;&gt;"",K49&lt;&gt;$D$17,B49&gt;$D$16),$D$15*Resumo!$F$13,0))</f>
        <v>34.369999999999997</v>
      </c>
      <c r="I49" s="38">
        <f>IF(AND(B49&lt;&gt;"",K49&lt;&gt;$D$17,$D$16&gt;3,$B49&lt;=$D$16),Resumo!$F$11,IF(AND(B49&lt;&gt;"",K49&lt;&gt;$D$17,B49&gt;$D$16),Resumo!$F$11,0))</f>
        <v>25</v>
      </c>
      <c r="J49" s="38">
        <f t="shared" ca="1" si="7"/>
        <v>2377.0123550193202</v>
      </c>
      <c r="K49" s="39" t="str">
        <f>IF(B49&lt;&gt;"",VLOOKUP(MONTH(C49),Sheet2!$F$1:$G$12,2,0),"")</f>
        <v>Outubro</v>
      </c>
      <c r="L49" s="200">
        <f t="shared" ca="1" si="8"/>
        <v>0</v>
      </c>
      <c r="M49" s="40">
        <f t="shared" ca="1" si="0"/>
        <v>2255.2854533867467</v>
      </c>
      <c r="N49" s="40">
        <f t="shared" ca="1" si="1"/>
        <v>2377.0123550193202</v>
      </c>
      <c r="O49" s="40"/>
      <c r="P49" s="20">
        <f t="shared" ca="1" si="2"/>
        <v>834.89136490250701</v>
      </c>
      <c r="Q49" s="1">
        <f t="shared" si="3"/>
        <v>833</v>
      </c>
      <c r="R49" s="171">
        <f>IF(AND($J$2&gt;=DATEVALUE("03/04/2020"),$J$2&lt;=DATEVALUE("25/11/2020")),0,IF(Resumo!$C$19="PF",IF(Q49&lt;360,0.0082%*Q49,3%),IF(Q49&lt;360,0.0041%*Q49,1.5%)))</f>
        <v>1.4999999999999999E-2</v>
      </c>
      <c r="S49" s="172">
        <f t="shared" ca="1" si="9"/>
        <v>12.523370473537605</v>
      </c>
      <c r="W49" s="216">
        <f t="shared" ca="1" si="10"/>
        <v>2255.2854533867467</v>
      </c>
    </row>
    <row r="50" spans="2:23">
      <c r="B50" s="41">
        <f t="shared" si="4"/>
        <v>28</v>
      </c>
      <c r="C50" s="164">
        <f t="shared" si="5"/>
        <v>45611</v>
      </c>
      <c r="D50" s="42">
        <f t="shared" ca="1" si="6"/>
        <v>236.10959099864044</v>
      </c>
      <c r="E50" s="42">
        <f t="shared" ca="1" si="11"/>
        <v>2019.1758623881062</v>
      </c>
      <c r="F50" s="42">
        <f ca="1">IF(B50&lt;=$D$16,F49*(1+$D$13)^((C50-C49)/_xlfn.DAYS(EDATE(C49,1),C49)),F49-D50)+IF(B50&lt;=$D$16,F49*Resumo!$F$12,0)+IF(B50&lt;=$D$16,$D$15*Resumo!$F$13,0)+IF(B50&lt;=$D$16,25,0)-IF(AND($D$16&gt;3,B50&lt;=$D$16),J50,0)</f>
        <v>296701.51723078173</v>
      </c>
      <c r="G50" s="42">
        <f ca="1">IF(AND(B50&lt;&gt;"",K50&lt;&gt;$D$17,$D$16&gt;3),F50*Resumo!$F$12,IF(AND(B50&lt;&gt;"",K50&lt;&gt;$D$17,B50&gt;$D$16),F50*Resumo!$F$12,0))</f>
        <v>62.307318618464166</v>
      </c>
      <c r="H50" s="42">
        <f>IF(AND(B50&lt;&gt;"",K50&lt;&gt;$D$17,$D$16&gt;3,$B50&lt;=$D$16),$D$15*Resumo!$F$13,IF(AND(B50&lt;&gt;"",K50&lt;&gt;$D$17,B50&gt;$D$16),$D$15*Resumo!$F$13,0))</f>
        <v>34.369999999999997</v>
      </c>
      <c r="I50" s="42">
        <f>IF(AND(B50&lt;&gt;"",K50&lt;&gt;$D$17,$D$16&gt;3,$B50&lt;=$D$16),Resumo!$F$11,IF(AND(B50&lt;&gt;"",K50&lt;&gt;$D$17,B50&gt;$D$16),Resumo!$F$11,0))</f>
        <v>25</v>
      </c>
      <c r="J50" s="42">
        <f t="shared" ca="1" si="7"/>
        <v>2376.9627720052108</v>
      </c>
      <c r="K50" s="39" t="str">
        <f>IF(B50&lt;&gt;"",VLOOKUP(MONTH(C50),Sheet2!$F$1:$G$12,2,0),"")</f>
        <v>Novembro</v>
      </c>
      <c r="L50" s="200">
        <f t="shared" ca="1" si="8"/>
        <v>0</v>
      </c>
      <c r="M50" s="40">
        <f t="shared" ca="1" si="0"/>
        <v>2255.2854533867467</v>
      </c>
      <c r="N50" s="40">
        <f t="shared" ca="1" si="1"/>
        <v>2376.9627720052108</v>
      </c>
      <c r="O50" s="40"/>
      <c r="P50" s="20">
        <f t="shared" ca="1" si="2"/>
        <v>834.89136490250701</v>
      </c>
      <c r="Q50" s="1">
        <f t="shared" si="3"/>
        <v>864</v>
      </c>
      <c r="R50" s="171">
        <f>IF(AND($J$2&gt;=DATEVALUE("03/04/2020"),$J$2&lt;=DATEVALUE("25/11/2020")),0,IF(Resumo!$C$19="PF",IF(Q50&lt;360,0.0082%*Q50,3%),IF(Q50&lt;360,0.0041%*Q50,1.5%)))</f>
        <v>1.4999999999999999E-2</v>
      </c>
      <c r="S50" s="172">
        <f t="shared" ca="1" si="9"/>
        <v>12.523370473537605</v>
      </c>
      <c r="W50" s="216">
        <f t="shared" ca="1" si="10"/>
        <v>2255.2854533867467</v>
      </c>
    </row>
    <row r="51" spans="2:23">
      <c r="B51" s="37">
        <f t="shared" si="4"/>
        <v>29</v>
      </c>
      <c r="C51" s="163">
        <f t="shared" si="5"/>
        <v>45641</v>
      </c>
      <c r="D51" s="38">
        <f t="shared" ca="1" si="6"/>
        <v>237.71513621743111</v>
      </c>
      <c r="E51" s="38">
        <f t="shared" ca="1" si="11"/>
        <v>2017.5703171693156</v>
      </c>
      <c r="F51" s="38">
        <f ca="1">IF(B51&lt;=$D$16,F50*(1+$D$13)^((C51-C50)/_xlfn.DAYS(EDATE(C50,1),C50)),F50-D51)+IF(B51&lt;=$D$16,F50*Resumo!$F$12,0)+IF(B51&lt;=$D$16,$D$15*Resumo!$F$13,0)+IF(B51&lt;=$D$16,25,0)-IF(AND($D$16&gt;3,B51&lt;=$D$16),J51,0)</f>
        <v>296463.80209456431</v>
      </c>
      <c r="G51" s="38">
        <f ca="1">IF(AND(B51&lt;&gt;"",K51&lt;&gt;$D$17,$D$16&gt;3),F51*Resumo!$F$12,IF(AND(B51&lt;&gt;"",K51&lt;&gt;$D$17,B51&gt;$D$16),F51*Resumo!$F$12,0))</f>
        <v>62.257398439858505</v>
      </c>
      <c r="H51" s="38">
        <f>IF(AND(B51&lt;&gt;"",K51&lt;&gt;$D$17,$D$16&gt;3,$B51&lt;=$D$16),$D$15*Resumo!$F$13,IF(AND(B51&lt;&gt;"",K51&lt;&gt;$D$17,B51&gt;$D$16),$D$15*Resumo!$F$13,0))</f>
        <v>34.369999999999997</v>
      </c>
      <c r="I51" s="38">
        <f>IF(AND(B51&lt;&gt;"",K51&lt;&gt;$D$17,$D$16&gt;3,$B51&lt;=$D$16),Resumo!$F$11,IF(AND(B51&lt;&gt;"",K51&lt;&gt;$D$17,B51&gt;$D$16),Resumo!$F$11,0))</f>
        <v>25</v>
      </c>
      <c r="J51" s="38">
        <f t="shared" ca="1" si="7"/>
        <v>2376.9128518266052</v>
      </c>
      <c r="K51" s="39" t="str">
        <f>IF(B51&lt;&gt;"",VLOOKUP(MONTH(C51),Sheet2!$F$1:$G$12,2,0),"")</f>
        <v>Dezembro</v>
      </c>
      <c r="L51" s="200">
        <f t="shared" ca="1" si="8"/>
        <v>0</v>
      </c>
      <c r="M51" s="40">
        <f t="shared" ca="1" si="0"/>
        <v>2255.2854533867467</v>
      </c>
      <c r="N51" s="40">
        <f t="shared" ca="1" si="1"/>
        <v>2376.9128518266052</v>
      </c>
      <c r="O51" s="40"/>
      <c r="P51" s="20">
        <f t="shared" ca="1" si="2"/>
        <v>834.89136490250701</v>
      </c>
      <c r="Q51" s="1">
        <f t="shared" si="3"/>
        <v>894</v>
      </c>
      <c r="R51" s="171">
        <f>IF(AND($J$2&gt;=DATEVALUE("03/04/2020"),$J$2&lt;=DATEVALUE("25/11/2020")),0,IF(Resumo!$C$19="PF",IF(Q51&lt;360,0.0082%*Q51,3%),IF(Q51&lt;360,0.0041%*Q51,1.5%)))</f>
        <v>1.4999999999999999E-2</v>
      </c>
      <c r="S51" s="172">
        <f t="shared" ca="1" si="9"/>
        <v>12.523370473537605</v>
      </c>
      <c r="W51" s="216">
        <f t="shared" ca="1" si="10"/>
        <v>2255.2854533867467</v>
      </c>
    </row>
    <row r="52" spans="2:23">
      <c r="B52" s="41">
        <f t="shared" si="4"/>
        <v>30</v>
      </c>
      <c r="C52" s="164">
        <f t="shared" si="5"/>
        <v>45672</v>
      </c>
      <c r="D52" s="42">
        <f t="shared" ca="1" si="6"/>
        <v>239.33159914370958</v>
      </c>
      <c r="E52" s="42">
        <f t="shared" ca="1" si="11"/>
        <v>2015.9538542430371</v>
      </c>
      <c r="F52" s="42">
        <f ca="1">IF(B52&lt;=$D$16,F51*(1+$D$13)^((C52-C51)/_xlfn.DAYS(EDATE(C51,1),C51)),F51-D52)+IF(B52&lt;=$D$16,F51*Resumo!$F$12,0)+IF(B52&lt;=$D$16,$D$15*Resumo!$F$13,0)+IF(B52&lt;=$D$16,25,0)-IF(AND($D$16&gt;3,B52&lt;=$D$16),J52,0)</f>
        <v>296224.47049542062</v>
      </c>
      <c r="G52" s="42">
        <f ca="1">IF(AND(B52&lt;&gt;"",K52&lt;&gt;$D$17,$D$16&gt;3),F52*Resumo!$F$12,IF(AND(B52&lt;&gt;"",K52&lt;&gt;$D$17,B52&gt;$D$16),F52*Resumo!$F$12,0))</f>
        <v>62.207138804038337</v>
      </c>
      <c r="H52" s="42">
        <f>IF(AND(B52&lt;&gt;"",K52&lt;&gt;$D$17,$D$16&gt;3,$B52&lt;=$D$16),$D$15*Resumo!$F$13,IF(AND(B52&lt;&gt;"",K52&lt;&gt;$D$17,B52&gt;$D$16),$D$15*Resumo!$F$13,0))</f>
        <v>34.369999999999997</v>
      </c>
      <c r="I52" s="42">
        <f>IF(AND(B52&lt;&gt;"",K52&lt;&gt;$D$17,$D$16&gt;3,$B52&lt;=$D$16),Resumo!$F$11,IF(AND(B52&lt;&gt;"",K52&lt;&gt;$D$17,B52&gt;$D$16),Resumo!$F$11,0))</f>
        <v>25</v>
      </c>
      <c r="J52" s="42">
        <f t="shared" ca="1" si="7"/>
        <v>2376.8625921907851</v>
      </c>
      <c r="K52" s="39" t="str">
        <f>IF(B52&lt;&gt;"",VLOOKUP(MONTH(C52),Sheet2!$F$1:$G$12,2,0),"")</f>
        <v>Janeiro</v>
      </c>
      <c r="L52" s="200">
        <f t="shared" ca="1" si="8"/>
        <v>0</v>
      </c>
      <c r="M52" s="40">
        <f t="shared" ca="1" si="0"/>
        <v>2255.2854533867467</v>
      </c>
      <c r="N52" s="40">
        <f t="shared" ca="1" si="1"/>
        <v>2376.8625921907851</v>
      </c>
      <c r="O52" s="40"/>
      <c r="P52" s="20">
        <f t="shared" ca="1" si="2"/>
        <v>834.89136490250701</v>
      </c>
      <c r="Q52" s="1">
        <f t="shared" si="3"/>
        <v>925</v>
      </c>
      <c r="R52" s="171">
        <f>IF(AND($J$2&gt;=DATEVALUE("03/04/2020"),$J$2&lt;=DATEVALUE("25/11/2020")),0,IF(Resumo!$C$19="PF",IF(Q52&lt;360,0.0082%*Q52,3%),IF(Q52&lt;360,0.0041%*Q52,1.5%)))</f>
        <v>1.4999999999999999E-2</v>
      </c>
      <c r="S52" s="172">
        <f t="shared" ca="1" si="9"/>
        <v>12.523370473537605</v>
      </c>
      <c r="W52" s="216">
        <f t="shared" ca="1" si="10"/>
        <v>2255.2854533867467</v>
      </c>
    </row>
    <row r="53" spans="2:23">
      <c r="B53" s="37">
        <f t="shared" si="4"/>
        <v>31</v>
      </c>
      <c r="C53" s="163">
        <f t="shared" si="5"/>
        <v>45703</v>
      </c>
      <c r="D53" s="38">
        <f t="shared" ca="1" si="6"/>
        <v>240.9590540178865</v>
      </c>
      <c r="E53" s="38">
        <f t="shared" ca="1" si="11"/>
        <v>2014.3263993688602</v>
      </c>
      <c r="F53" s="38">
        <f ca="1">IF(B53&lt;=$D$16,F52*(1+$D$13)^((C53-C52)/_xlfn.DAYS(EDATE(C52,1),C52)),F52-D53)+IF(B53&lt;=$D$16,F52*Resumo!$F$12,0)+IF(B53&lt;=$D$16,$D$15*Resumo!$F$13,0)+IF(B53&lt;=$D$16,25,0)-IF(AND($D$16&gt;3,B53&lt;=$D$16),J53,0)</f>
        <v>295983.51144140272</v>
      </c>
      <c r="G53" s="38">
        <f ca="1">IF(AND(B53&lt;&gt;"",K53&lt;&gt;$D$17,$D$16&gt;3),F53*Resumo!$F$12,IF(AND(B53&lt;&gt;"",K53&lt;&gt;$D$17,B53&gt;$D$16),F53*Resumo!$F$12,0))</f>
        <v>62.156537402694575</v>
      </c>
      <c r="H53" s="38">
        <f>IF(AND(B53&lt;&gt;"",K53&lt;&gt;$D$17,$D$16&gt;3,$B53&lt;=$D$16),$D$15*Resumo!$F$13,IF(AND(B53&lt;&gt;"",K53&lt;&gt;$D$17,B53&gt;$D$16),$D$15*Resumo!$F$13,0))</f>
        <v>34.369999999999997</v>
      </c>
      <c r="I53" s="38">
        <f>IF(AND(B53&lt;&gt;"",K53&lt;&gt;$D$17,$D$16&gt;3,$B53&lt;=$D$16),Resumo!$F$11,IF(AND(B53&lt;&gt;"",K53&lt;&gt;$D$17,B53&gt;$D$16),Resumo!$F$11,0))</f>
        <v>25</v>
      </c>
      <c r="J53" s="38">
        <f t="shared" ca="1" si="7"/>
        <v>2376.8119907894411</v>
      </c>
      <c r="K53" s="39" t="str">
        <f>IF(B53&lt;&gt;"",VLOOKUP(MONTH(C53),Sheet2!$F$1:$G$12,2,0),"")</f>
        <v>Fevereiro</v>
      </c>
      <c r="L53" s="200">
        <f t="shared" ca="1" si="8"/>
        <v>0</v>
      </c>
      <c r="M53" s="40">
        <f t="shared" ca="1" si="0"/>
        <v>2255.2854533867467</v>
      </c>
      <c r="N53" s="40">
        <f t="shared" ca="1" si="1"/>
        <v>2376.8119907894411</v>
      </c>
      <c r="O53" s="40"/>
      <c r="P53" s="20">
        <f t="shared" ca="1" si="2"/>
        <v>834.89136490250701</v>
      </c>
      <c r="Q53" s="1">
        <f t="shared" si="3"/>
        <v>956</v>
      </c>
      <c r="R53" s="171">
        <f>IF(AND($J$2&gt;=DATEVALUE("03/04/2020"),$J$2&lt;=DATEVALUE("25/11/2020")),0,IF(Resumo!$C$19="PF",IF(Q53&lt;360,0.0082%*Q53,3%),IF(Q53&lt;360,0.0041%*Q53,1.5%)))</f>
        <v>1.4999999999999999E-2</v>
      </c>
      <c r="S53" s="172">
        <f t="shared" ca="1" si="9"/>
        <v>12.523370473537605</v>
      </c>
      <c r="W53" s="216">
        <f t="shared" ca="1" si="10"/>
        <v>2255.2854533867467</v>
      </c>
    </row>
    <row r="54" spans="2:23">
      <c r="B54" s="41">
        <f t="shared" si="4"/>
        <v>32</v>
      </c>
      <c r="C54" s="164">
        <f t="shared" si="5"/>
        <v>45731</v>
      </c>
      <c r="D54" s="42">
        <f t="shared" ca="1" si="6"/>
        <v>242.59757558520823</v>
      </c>
      <c r="E54" s="42">
        <f t="shared" ca="1" si="11"/>
        <v>2012.6878778015384</v>
      </c>
      <c r="F54" s="42">
        <f ca="1">IF(B54&lt;=$D$16,F53*(1+$D$13)^((C54-C53)/_xlfn.DAYS(EDATE(C53,1),C53)),F53-D54)+IF(B54&lt;=$D$16,F53*Resumo!$F$12,0)+IF(B54&lt;=$D$16,$D$15*Resumo!$F$13,0)+IF(B54&lt;=$D$16,25,0)-IF(AND($D$16&gt;3,B54&lt;=$D$16),J54,0)</f>
        <v>295740.91386581754</v>
      </c>
      <c r="G54" s="42">
        <f ca="1">IF(AND(B54&lt;&gt;"",K54&lt;&gt;$D$17,$D$16&gt;3),F54*Resumo!$F$12,IF(AND(B54&lt;&gt;"",K54&lt;&gt;$D$17,B54&gt;$D$16),F54*Resumo!$F$12,0))</f>
        <v>62.105591911821683</v>
      </c>
      <c r="H54" s="42">
        <f>IF(AND(B54&lt;&gt;"",K54&lt;&gt;$D$17,$D$16&gt;3,$B54&lt;=$D$16),$D$15*Resumo!$F$13,IF(AND(B54&lt;&gt;"",K54&lt;&gt;$D$17,B54&gt;$D$16),$D$15*Resumo!$F$13,0))</f>
        <v>34.369999999999997</v>
      </c>
      <c r="I54" s="42">
        <f>IF(AND(B54&lt;&gt;"",K54&lt;&gt;$D$17,$D$16&gt;3,$B54&lt;=$D$16),Resumo!$F$11,IF(AND(B54&lt;&gt;"",K54&lt;&gt;$D$17,B54&gt;$D$16),Resumo!$F$11,0))</f>
        <v>25</v>
      </c>
      <c r="J54" s="42">
        <f t="shared" ca="1" si="7"/>
        <v>2376.7610452985682</v>
      </c>
      <c r="K54" s="39" t="str">
        <f>IF(B54&lt;&gt;"",VLOOKUP(MONTH(C54),Sheet2!$F$1:$G$12,2,0),"")</f>
        <v>Março</v>
      </c>
      <c r="L54" s="200">
        <f t="shared" ca="1" si="8"/>
        <v>0</v>
      </c>
      <c r="M54" s="40">
        <f t="shared" ca="1" si="0"/>
        <v>2255.2854533867467</v>
      </c>
      <c r="N54" s="40">
        <f t="shared" ca="1" si="1"/>
        <v>2376.7610452985682</v>
      </c>
      <c r="O54" s="40"/>
      <c r="P54" s="20">
        <f t="shared" ca="1" si="2"/>
        <v>834.89136490250701</v>
      </c>
      <c r="Q54" s="1">
        <f t="shared" si="3"/>
        <v>984</v>
      </c>
      <c r="R54" s="171">
        <f>IF(AND($J$2&gt;=DATEVALUE("03/04/2020"),$J$2&lt;=DATEVALUE("25/11/2020")),0,IF(Resumo!$C$19="PF",IF(Q54&lt;360,0.0082%*Q54,3%),IF(Q54&lt;360,0.0041%*Q54,1.5%)))</f>
        <v>1.4999999999999999E-2</v>
      </c>
      <c r="S54" s="172">
        <f t="shared" ca="1" si="9"/>
        <v>12.523370473537605</v>
      </c>
      <c r="W54" s="216">
        <f t="shared" ca="1" si="10"/>
        <v>2255.2854533867467</v>
      </c>
    </row>
    <row r="55" spans="2:23">
      <c r="B55" s="37">
        <f t="shared" si="4"/>
        <v>33</v>
      </c>
      <c r="C55" s="163">
        <f t="shared" si="5"/>
        <v>45762</v>
      </c>
      <c r="D55" s="38">
        <f t="shared" ca="1" si="6"/>
        <v>244.24723909918748</v>
      </c>
      <c r="E55" s="38">
        <f t="shared" ca="1" si="11"/>
        <v>2011.0382142875592</v>
      </c>
      <c r="F55" s="38">
        <f ca="1">IF(B55&lt;=$D$16,F54*(1+$D$13)^((C55-C54)/_xlfn.DAYS(EDATE(C54,1),C54)),F54-D55)+IF(B55&lt;=$D$16,F54*Resumo!$F$12,0)+IF(B55&lt;=$D$16,$D$15*Resumo!$F$13,0)+IF(B55&lt;=$D$16,25,0)-IF(AND($D$16&gt;3,B55&lt;=$D$16),J55,0)</f>
        <v>295496.66662671836</v>
      </c>
      <c r="G55" s="38">
        <f ca="1">IF(AND(B55&lt;&gt;"",K55&lt;&gt;$D$17,$D$16&gt;3),F55*Resumo!$F$12,IF(AND(B55&lt;&gt;"",K55&lt;&gt;$D$17,B55&gt;$D$16),F55*Resumo!$F$12,0))</f>
        <v>62.054299991610861</v>
      </c>
      <c r="H55" s="38">
        <f>IF(AND(B55&lt;&gt;"",K55&lt;&gt;$D$17,$D$16&gt;3,$B55&lt;=$D$16),$D$15*Resumo!$F$13,IF(AND(B55&lt;&gt;"",K55&lt;&gt;$D$17,B55&gt;$D$16),$D$15*Resumo!$F$13,0))</f>
        <v>34.369999999999997</v>
      </c>
      <c r="I55" s="38">
        <f>IF(AND(B55&lt;&gt;"",K55&lt;&gt;$D$17,$D$16&gt;3,$B55&lt;=$D$16),Resumo!$F$11,IF(AND(B55&lt;&gt;"",K55&lt;&gt;$D$17,B55&gt;$D$16),Resumo!$F$11,0))</f>
        <v>25</v>
      </c>
      <c r="J55" s="38">
        <f t="shared" ca="1" si="7"/>
        <v>2376.7097533783576</v>
      </c>
      <c r="K55" s="39" t="str">
        <f>IF(B55&lt;&gt;"",VLOOKUP(MONTH(C55),Sheet2!$F$1:$G$12,2,0),"")</f>
        <v>Abril</v>
      </c>
      <c r="L55" s="200">
        <f t="shared" ca="1" si="8"/>
        <v>0</v>
      </c>
      <c r="M55" s="40">
        <f t="shared" ca="1" si="0"/>
        <v>2255.2854533867467</v>
      </c>
      <c r="N55" s="40">
        <f t="shared" ca="1" si="1"/>
        <v>2376.7097533783576</v>
      </c>
      <c r="O55" s="40"/>
      <c r="P55" s="20">
        <f t="shared" ca="1" si="2"/>
        <v>834.89136490250701</v>
      </c>
      <c r="Q55" s="1">
        <f t="shared" si="3"/>
        <v>1015</v>
      </c>
      <c r="R55" s="171">
        <f>IF(AND($J$2&gt;=DATEVALUE("03/04/2020"),$J$2&lt;=DATEVALUE("25/11/2020")),0,IF(Resumo!$C$19="PF",IF(Q55&lt;360,0.0082%*Q55,3%),IF(Q55&lt;360,0.0041%*Q55,1.5%)))</f>
        <v>1.4999999999999999E-2</v>
      </c>
      <c r="S55" s="172">
        <f t="shared" ca="1" si="9"/>
        <v>12.523370473537605</v>
      </c>
      <c r="W55" s="216">
        <f t="shared" ca="1" si="10"/>
        <v>2255.2854533867467</v>
      </c>
    </row>
    <row r="56" spans="2:23">
      <c r="B56" s="41">
        <f t="shared" si="4"/>
        <v>34</v>
      </c>
      <c r="C56" s="164">
        <f t="shared" si="5"/>
        <v>45792</v>
      </c>
      <c r="D56" s="42">
        <f t="shared" ca="1" si="6"/>
        <v>245.90812032506187</v>
      </c>
      <c r="E56" s="42">
        <f t="shared" ca="1" si="11"/>
        <v>2009.3773330616848</v>
      </c>
      <c r="F56" s="42">
        <f ca="1">IF(B56&lt;=$D$16,F55*(1+$D$13)^((C56-C55)/_xlfn.DAYS(EDATE(C55,1),C55)),F55-D56)+IF(B56&lt;=$D$16,F55*Resumo!$F$12,0)+IF(B56&lt;=$D$16,$D$15*Resumo!$F$13,0)+IF(B56&lt;=$D$16,25,0)-IF(AND($D$16&gt;3,B56&lt;=$D$16),J56,0)</f>
        <v>295250.75850639329</v>
      </c>
      <c r="G56" s="42">
        <f ca="1">IF(AND(B56&lt;&gt;"",K56&lt;&gt;$D$17,$D$16&gt;3),F56*Resumo!$F$12,IF(AND(B56&lt;&gt;"",K56&lt;&gt;$D$17,B56&gt;$D$16),F56*Resumo!$F$12,0))</f>
        <v>62.002659286342592</v>
      </c>
      <c r="H56" s="42">
        <f>IF(AND(B56&lt;&gt;"",K56&lt;&gt;$D$17,$D$16&gt;3,$B56&lt;=$D$16),$D$15*Resumo!$F$13,IF(AND(B56&lt;&gt;"",K56&lt;&gt;$D$17,B56&gt;$D$16),$D$15*Resumo!$F$13,0))</f>
        <v>34.369999999999997</v>
      </c>
      <c r="I56" s="42">
        <f>IF(AND(B56&lt;&gt;"",K56&lt;&gt;$D$17,$D$16&gt;3,$B56&lt;=$D$16),Resumo!$F$11,IF(AND(B56&lt;&gt;"",K56&lt;&gt;$D$17,B56&gt;$D$16),Resumo!$F$11,0))</f>
        <v>25</v>
      </c>
      <c r="J56" s="42">
        <f t="shared" ca="1" si="7"/>
        <v>2376.6581126730894</v>
      </c>
      <c r="K56" s="39" t="str">
        <f>IF(B56&lt;&gt;"",VLOOKUP(MONTH(C56),Sheet2!$F$1:$G$12,2,0),"")</f>
        <v>Maio</v>
      </c>
      <c r="L56" s="200">
        <f t="shared" ca="1" si="8"/>
        <v>0</v>
      </c>
      <c r="M56" s="40">
        <f t="shared" ca="1" si="0"/>
        <v>2255.2854533867467</v>
      </c>
      <c r="N56" s="40">
        <f t="shared" ca="1" si="1"/>
        <v>2376.6581126730894</v>
      </c>
      <c r="O56" s="40"/>
      <c r="P56" s="20">
        <f t="shared" ca="1" si="2"/>
        <v>834.89136490250701</v>
      </c>
      <c r="Q56" s="1">
        <f t="shared" si="3"/>
        <v>1045</v>
      </c>
      <c r="R56" s="171">
        <f>IF(AND($J$2&gt;=DATEVALUE("03/04/2020"),$J$2&lt;=DATEVALUE("25/11/2020")),0,IF(Resumo!$C$19="PF",IF(Q56&lt;360,0.0082%*Q56,3%),IF(Q56&lt;360,0.0041%*Q56,1.5%)))</f>
        <v>1.4999999999999999E-2</v>
      </c>
      <c r="S56" s="172">
        <f t="shared" ca="1" si="9"/>
        <v>12.523370473537605</v>
      </c>
      <c r="W56" s="216">
        <f t="shared" ca="1" si="10"/>
        <v>2255.2854533867467</v>
      </c>
    </row>
    <row r="57" spans="2:23">
      <c r="B57" s="37">
        <f t="shared" si="4"/>
        <v>35</v>
      </c>
      <c r="C57" s="163">
        <f t="shared" si="5"/>
        <v>45823</v>
      </c>
      <c r="D57" s="38">
        <f t="shared" ca="1" si="6"/>
        <v>247.58029554327231</v>
      </c>
      <c r="E57" s="38">
        <f t="shared" ca="1" si="11"/>
        <v>2007.7051578434744</v>
      </c>
      <c r="F57" s="38">
        <f ca="1">IF(B57&lt;=$D$16,F56*(1+$D$13)^((C57-C56)/_xlfn.DAYS(EDATE(C56,1),C56)),F56-D57)+IF(B57&lt;=$D$16,F56*Resumo!$F$12,0)+IF(B57&lt;=$D$16,$D$15*Resumo!$F$13,0)+IF(B57&lt;=$D$16,25,0)-IF(AND($D$16&gt;3,B57&lt;=$D$16),J57,0)</f>
        <v>295003.17821085005</v>
      </c>
      <c r="G57" s="38">
        <f ca="1">IF(AND(B57&lt;&gt;"",K57&lt;&gt;$D$17,$D$16&gt;3),F57*Resumo!$F$12,IF(AND(B57&lt;&gt;"",K57&lt;&gt;$D$17,B57&gt;$D$16),F57*Resumo!$F$12,0))</f>
        <v>61.950667424278514</v>
      </c>
      <c r="H57" s="38">
        <f>IF(AND(B57&lt;&gt;"",K57&lt;&gt;$D$17,$D$16&gt;3,$B57&lt;=$D$16),$D$15*Resumo!$F$13,IF(AND(B57&lt;&gt;"",K57&lt;&gt;$D$17,B57&gt;$D$16),$D$15*Resumo!$F$13,0))</f>
        <v>34.369999999999997</v>
      </c>
      <c r="I57" s="38">
        <f>IF(AND(B57&lt;&gt;"",K57&lt;&gt;$D$17,$D$16&gt;3,$B57&lt;=$D$16),Resumo!$F$11,IF(AND(B57&lt;&gt;"",K57&lt;&gt;$D$17,B57&gt;$D$16),Resumo!$F$11,0))</f>
        <v>25</v>
      </c>
      <c r="J57" s="38">
        <f t="shared" ca="1" si="7"/>
        <v>2376.606120811025</v>
      </c>
      <c r="K57" s="39" t="str">
        <f>IF(B57&lt;&gt;"",VLOOKUP(MONTH(C57),Sheet2!$F$1:$G$12,2,0),"")</f>
        <v>Junho</v>
      </c>
      <c r="L57" s="200">
        <f t="shared" ca="1" si="8"/>
        <v>0</v>
      </c>
      <c r="M57" s="40">
        <f t="shared" ca="1" si="0"/>
        <v>2255.2854533867467</v>
      </c>
      <c r="N57" s="40">
        <f t="shared" ca="1" si="1"/>
        <v>2376.606120811025</v>
      </c>
      <c r="O57" s="40"/>
      <c r="P57" s="20">
        <f t="shared" ca="1" si="2"/>
        <v>834.89136490250701</v>
      </c>
      <c r="Q57" s="1">
        <f t="shared" si="3"/>
        <v>1076</v>
      </c>
      <c r="R57" s="171">
        <f>IF(AND($J$2&gt;=DATEVALUE("03/04/2020"),$J$2&lt;=DATEVALUE("25/11/2020")),0,IF(Resumo!$C$19="PF",IF(Q57&lt;360,0.0082%*Q57,3%),IF(Q57&lt;360,0.0041%*Q57,1.5%)))</f>
        <v>1.4999999999999999E-2</v>
      </c>
      <c r="S57" s="172">
        <f t="shared" ca="1" si="9"/>
        <v>12.523370473537605</v>
      </c>
      <c r="W57" s="216">
        <f t="shared" ca="1" si="10"/>
        <v>2255.2854533867467</v>
      </c>
    </row>
    <row r="58" spans="2:23">
      <c r="B58" s="41">
        <f t="shared" si="4"/>
        <v>36</v>
      </c>
      <c r="C58" s="164">
        <f t="shared" si="5"/>
        <v>45853</v>
      </c>
      <c r="D58" s="42">
        <f t="shared" ca="1" si="6"/>
        <v>249.26384155296637</v>
      </c>
      <c r="E58" s="42">
        <f t="shared" ca="1" si="11"/>
        <v>2006.0216118337803</v>
      </c>
      <c r="F58" s="42">
        <f ca="1">IF(B58&lt;=$D$16,F57*(1+$D$13)^((C58-C57)/_xlfn.DAYS(EDATE(C57,1),C57)),F57-D58)+IF(B58&lt;=$D$16,F57*Resumo!$F$12,0)+IF(B58&lt;=$D$16,$D$15*Resumo!$F$13,0)+IF(B58&lt;=$D$16,25,0)-IF(AND($D$16&gt;3,B58&lt;=$D$16),J58,0)</f>
        <v>294753.9143692971</v>
      </c>
      <c r="G58" s="42">
        <f ca="1">IF(AND(B58&lt;&gt;"",K58&lt;&gt;$D$17,$D$16&gt;3),F58*Resumo!$F$12,IF(AND(B58&lt;&gt;"",K58&lt;&gt;$D$17,B58&gt;$D$16),F58*Resumo!$F$12,0))</f>
        <v>61.898322017552395</v>
      </c>
      <c r="H58" s="42">
        <f>IF(AND(B58&lt;&gt;"",K58&lt;&gt;$D$17,$D$16&gt;3,$B58&lt;=$D$16),$D$15*Resumo!$F$13,IF(AND(B58&lt;&gt;"",K58&lt;&gt;$D$17,B58&gt;$D$16),$D$15*Resumo!$F$13,0))</f>
        <v>34.369999999999997</v>
      </c>
      <c r="I58" s="42">
        <f>IF(AND(B58&lt;&gt;"",K58&lt;&gt;$D$17,$D$16&gt;3,$B58&lt;=$D$16),Resumo!$F$11,IF(AND(B58&lt;&gt;"",K58&lt;&gt;$D$17,B58&gt;$D$16),Resumo!$F$11,0))</f>
        <v>25</v>
      </c>
      <c r="J58" s="42">
        <f t="shared" ca="1" si="7"/>
        <v>2376.5537754042989</v>
      </c>
      <c r="K58" s="39" t="str">
        <f>IF(B58&lt;&gt;"",VLOOKUP(MONTH(C58),Sheet2!$F$1:$G$12,2,0),"")</f>
        <v>Julho</v>
      </c>
      <c r="L58" s="200">
        <f t="shared" ca="1" si="8"/>
        <v>0</v>
      </c>
      <c r="M58" s="40">
        <f t="shared" ca="1" si="0"/>
        <v>2255.2854533867467</v>
      </c>
      <c r="N58" s="40">
        <f t="shared" ca="1" si="1"/>
        <v>2376.5537754042989</v>
      </c>
      <c r="O58" s="40"/>
      <c r="P58" s="20">
        <f t="shared" ca="1" si="2"/>
        <v>834.89136490250701</v>
      </c>
      <c r="Q58" s="1">
        <f t="shared" si="3"/>
        <v>1106</v>
      </c>
      <c r="R58" s="171">
        <f>IF(AND($J$2&gt;=DATEVALUE("03/04/2020"),$J$2&lt;=DATEVALUE("25/11/2020")),0,IF(Resumo!$C$19="PF",IF(Q58&lt;360,0.0082%*Q58,3%),IF(Q58&lt;360,0.0041%*Q58,1.5%)))</f>
        <v>1.4999999999999999E-2</v>
      </c>
      <c r="S58" s="172">
        <f t="shared" ca="1" si="9"/>
        <v>12.523370473537605</v>
      </c>
      <c r="W58" s="216">
        <f t="shared" ca="1" si="10"/>
        <v>2255.2854533867467</v>
      </c>
    </row>
    <row r="59" spans="2:23">
      <c r="B59" s="37">
        <f t="shared" si="4"/>
        <v>37</v>
      </c>
      <c r="C59" s="163">
        <f t="shared" si="5"/>
        <v>45884</v>
      </c>
      <c r="D59" s="38">
        <f t="shared" ca="1" si="6"/>
        <v>250.95883567552642</v>
      </c>
      <c r="E59" s="38">
        <f t="shared" ca="1" si="11"/>
        <v>2004.3266177112203</v>
      </c>
      <c r="F59" s="38">
        <f ca="1">IF(B59&lt;=$D$16,F58*(1+$D$13)^((C59-C58)/_xlfn.DAYS(EDATE(C58,1),C58)),F58-D59)+IF(B59&lt;=$D$16,F58*Resumo!$F$12,0)+IF(B59&lt;=$D$16,$D$15*Resumo!$F$13,0)+IF(B59&lt;=$D$16,25,0)-IF(AND($D$16&gt;3,B59&lt;=$D$16),J59,0)</f>
        <v>294502.9555336216</v>
      </c>
      <c r="G59" s="38">
        <f ca="1">IF(AND(B59&lt;&gt;"",K59&lt;&gt;$D$17,$D$16&gt;3),F59*Resumo!$F$12,IF(AND(B59&lt;&gt;"",K59&lt;&gt;$D$17,B59&gt;$D$16),F59*Resumo!$F$12,0))</f>
        <v>61.84562066206054</v>
      </c>
      <c r="H59" s="38">
        <f>IF(AND(B59&lt;&gt;"",K59&lt;&gt;$D$17,$D$16&gt;3,$B59&lt;=$D$16),$D$15*Resumo!$F$13,IF(AND(B59&lt;&gt;"",K59&lt;&gt;$D$17,B59&gt;$D$16),$D$15*Resumo!$F$13,0))</f>
        <v>34.369999999999997</v>
      </c>
      <c r="I59" s="38">
        <f>IF(AND(B59&lt;&gt;"",K59&lt;&gt;$D$17,$D$16&gt;3,$B59&lt;=$D$16),Resumo!$F$11,IF(AND(B59&lt;&gt;"",K59&lt;&gt;$D$17,B59&gt;$D$16),Resumo!$F$11,0))</f>
        <v>25</v>
      </c>
      <c r="J59" s="38">
        <f t="shared" ca="1" si="7"/>
        <v>2376.5010740488069</v>
      </c>
      <c r="K59" s="39" t="str">
        <f>IF(B59&lt;&gt;"",VLOOKUP(MONTH(C59),Sheet2!$F$1:$G$12,2,0),"")</f>
        <v>Agosto</v>
      </c>
      <c r="L59" s="200">
        <f t="shared" ca="1" si="8"/>
        <v>0</v>
      </c>
      <c r="M59" s="40">
        <f t="shared" ca="1" si="0"/>
        <v>2255.2854533867467</v>
      </c>
      <c r="N59" s="40">
        <f t="shared" ca="1" si="1"/>
        <v>2376.5010740488069</v>
      </c>
      <c r="O59" s="40"/>
      <c r="P59" s="20">
        <f t="shared" ca="1" si="2"/>
        <v>834.89136490250701</v>
      </c>
      <c r="Q59" s="1">
        <f t="shared" si="3"/>
        <v>1137</v>
      </c>
      <c r="R59" s="171">
        <f>IF(AND($J$2&gt;=DATEVALUE("03/04/2020"),$J$2&lt;=DATEVALUE("25/11/2020")),0,IF(Resumo!$C$19="PF",IF(Q59&lt;360,0.0082%*Q59,3%),IF(Q59&lt;360,0.0041%*Q59,1.5%)))</f>
        <v>1.4999999999999999E-2</v>
      </c>
      <c r="S59" s="172">
        <f t="shared" ca="1" si="9"/>
        <v>12.523370473537605</v>
      </c>
      <c r="W59" s="216">
        <f t="shared" ca="1" si="10"/>
        <v>2255.2854533867467</v>
      </c>
    </row>
    <row r="60" spans="2:23">
      <c r="B60" s="41">
        <f t="shared" si="4"/>
        <v>38</v>
      </c>
      <c r="C60" s="164">
        <f t="shared" si="5"/>
        <v>45915</v>
      </c>
      <c r="D60" s="42">
        <f t="shared" ca="1" si="6"/>
        <v>252.66535575811986</v>
      </c>
      <c r="E60" s="42">
        <f t="shared" ca="1" si="11"/>
        <v>2002.6200976286268</v>
      </c>
      <c r="F60" s="42">
        <f ca="1">IF(B60&lt;=$D$16,F59*(1+$D$13)^((C60-C59)/_xlfn.DAYS(EDATE(C59,1),C59)),F59-D60)+IF(B60&lt;=$D$16,F59*Resumo!$F$12,0)+IF(B60&lt;=$D$16,$D$15*Resumo!$F$13,0)+IF(B60&lt;=$D$16,25,0)-IF(AND($D$16&gt;3,B60&lt;=$D$16),J60,0)</f>
        <v>294250.2901778635</v>
      </c>
      <c r="G60" s="42">
        <f ca="1">IF(AND(B60&lt;&gt;"",K60&lt;&gt;$D$17,$D$16&gt;3),F60*Resumo!$F$12,IF(AND(B60&lt;&gt;"",K60&lt;&gt;$D$17,B60&gt;$D$16),F60*Resumo!$F$12,0))</f>
        <v>61.79256093735134</v>
      </c>
      <c r="H60" s="42">
        <f>IF(AND(B60&lt;&gt;"",K60&lt;&gt;$D$17,$D$16&gt;3,$B60&lt;=$D$16),$D$15*Resumo!$F$13,IF(AND(B60&lt;&gt;"",K60&lt;&gt;$D$17,B60&gt;$D$16),$D$15*Resumo!$F$13,0))</f>
        <v>34.369999999999997</v>
      </c>
      <c r="I60" s="42">
        <f>IF(AND(B60&lt;&gt;"",K60&lt;&gt;$D$17,$D$16&gt;3,$B60&lt;=$D$16),Resumo!$F$11,IF(AND(B60&lt;&gt;"",K60&lt;&gt;$D$17,B60&gt;$D$16),Resumo!$F$11,0))</f>
        <v>25</v>
      </c>
      <c r="J60" s="42">
        <f t="shared" ca="1" si="7"/>
        <v>2376.448014324098</v>
      </c>
      <c r="K60" s="39" t="str">
        <f>IF(B60&lt;&gt;"",VLOOKUP(MONTH(C60),Sheet2!$F$1:$G$12,2,0),"")</f>
        <v>Setembro</v>
      </c>
      <c r="L60" s="200">
        <f t="shared" ca="1" si="8"/>
        <v>0</v>
      </c>
      <c r="M60" s="40">
        <f t="shared" ca="1" si="0"/>
        <v>2255.2854533867467</v>
      </c>
      <c r="N60" s="40">
        <f t="shared" ca="1" si="1"/>
        <v>2376.448014324098</v>
      </c>
      <c r="O60" s="40"/>
      <c r="P60" s="20">
        <f t="shared" ca="1" si="2"/>
        <v>834.89136490250701</v>
      </c>
      <c r="Q60" s="1">
        <f t="shared" si="3"/>
        <v>1168</v>
      </c>
      <c r="R60" s="171">
        <f>IF(AND($J$2&gt;=DATEVALUE("03/04/2020"),$J$2&lt;=DATEVALUE("25/11/2020")),0,IF(Resumo!$C$19="PF",IF(Q60&lt;360,0.0082%*Q60,3%),IF(Q60&lt;360,0.0041%*Q60,1.5%)))</f>
        <v>1.4999999999999999E-2</v>
      </c>
      <c r="S60" s="172">
        <f t="shared" ca="1" si="9"/>
        <v>12.523370473537605</v>
      </c>
      <c r="W60" s="216">
        <f t="shared" ca="1" si="10"/>
        <v>2255.2854533867467</v>
      </c>
    </row>
    <row r="61" spans="2:23">
      <c r="B61" s="37">
        <f t="shared" si="4"/>
        <v>39</v>
      </c>
      <c r="C61" s="163">
        <f t="shared" si="5"/>
        <v>45945</v>
      </c>
      <c r="D61" s="38">
        <f t="shared" ca="1" si="6"/>
        <v>254.38348017727503</v>
      </c>
      <c r="E61" s="38">
        <f t="shared" ca="1" si="11"/>
        <v>2000.9019732094716</v>
      </c>
      <c r="F61" s="38">
        <f ca="1">IF(B61&lt;=$D$16,F60*(1+$D$13)^((C61-C60)/_xlfn.DAYS(EDATE(C60,1),C60)),F60-D61)+IF(B61&lt;=$D$16,F60*Resumo!$F$12,0)+IF(B61&lt;=$D$16,$D$15*Resumo!$F$13,0)+IF(B61&lt;=$D$16,25,0)-IF(AND($D$16&gt;3,B61&lt;=$D$16),J61,0)</f>
        <v>293995.90669768624</v>
      </c>
      <c r="G61" s="38">
        <f ca="1">IF(AND(B61&lt;&gt;"",K61&lt;&gt;$D$17,$D$16&gt;3),F61*Resumo!$F$12,IF(AND(B61&lt;&gt;"",K61&lt;&gt;$D$17,B61&gt;$D$16),F61*Resumo!$F$12,0))</f>
        <v>61.73914040651411</v>
      </c>
      <c r="H61" s="38">
        <f>IF(AND(B61&lt;&gt;"",K61&lt;&gt;$D$17,$D$16&gt;3,$B61&lt;=$D$16),$D$15*Resumo!$F$13,IF(AND(B61&lt;&gt;"",K61&lt;&gt;$D$17,B61&gt;$D$16),$D$15*Resumo!$F$13,0))</f>
        <v>34.369999999999997</v>
      </c>
      <c r="I61" s="38">
        <f>IF(AND(B61&lt;&gt;"",K61&lt;&gt;$D$17,$D$16&gt;3,$B61&lt;=$D$16),Resumo!$F$11,IF(AND(B61&lt;&gt;"",K61&lt;&gt;$D$17,B61&gt;$D$16),Resumo!$F$11,0))</f>
        <v>25</v>
      </c>
      <c r="J61" s="38">
        <f t="shared" ca="1" si="7"/>
        <v>2376.3945937932608</v>
      </c>
      <c r="K61" s="39" t="str">
        <f>IF(B61&lt;&gt;"",VLOOKUP(MONTH(C61),Sheet2!$F$1:$G$12,2,0),"")</f>
        <v>Outubro</v>
      </c>
      <c r="L61" s="200">
        <f t="shared" ca="1" si="8"/>
        <v>0</v>
      </c>
      <c r="M61" s="40">
        <f t="shared" ca="1" si="0"/>
        <v>2255.2854533867467</v>
      </c>
      <c r="N61" s="40">
        <f t="shared" ca="1" si="1"/>
        <v>2376.3945937932608</v>
      </c>
      <c r="O61" s="40"/>
      <c r="P61" s="20">
        <f t="shared" ca="1" si="2"/>
        <v>834.89136490250701</v>
      </c>
      <c r="Q61" s="1">
        <f t="shared" si="3"/>
        <v>1198</v>
      </c>
      <c r="R61" s="171">
        <f>IF(AND($J$2&gt;=DATEVALUE("03/04/2020"),$J$2&lt;=DATEVALUE("25/11/2020")),0,IF(Resumo!$C$19="PF",IF(Q61&lt;360,0.0082%*Q61,3%),IF(Q61&lt;360,0.0041%*Q61,1.5%)))</f>
        <v>1.4999999999999999E-2</v>
      </c>
      <c r="S61" s="172">
        <f t="shared" ca="1" si="9"/>
        <v>12.523370473537605</v>
      </c>
      <c r="W61" s="216">
        <f t="shared" ca="1" si="10"/>
        <v>2255.2854533867467</v>
      </c>
    </row>
    <row r="62" spans="2:23">
      <c r="B62" s="41">
        <f t="shared" si="4"/>
        <v>40</v>
      </c>
      <c r="C62" s="164">
        <f t="shared" si="5"/>
        <v>45976</v>
      </c>
      <c r="D62" s="42">
        <f t="shared" ca="1" si="6"/>
        <v>256.1132878424803</v>
      </c>
      <c r="E62" s="42">
        <f t="shared" ca="1" si="11"/>
        <v>1999.1721655442664</v>
      </c>
      <c r="F62" s="42">
        <f ca="1">IF(B62&lt;=$D$16,F61*(1+$D$13)^((C62-C61)/_xlfn.DAYS(EDATE(C61,1),C61)),F61-D62)+IF(B62&lt;=$D$16,F61*Resumo!$F$12,0)+IF(B62&lt;=$D$16,$D$15*Resumo!$F$13,0)+IF(B62&lt;=$D$16,25,0)-IF(AND($D$16&gt;3,B62&lt;=$D$16),J62,0)</f>
        <v>293739.79340984375</v>
      </c>
      <c r="G62" s="42">
        <f ca="1">IF(AND(B62&lt;&gt;"",K62&lt;&gt;$D$17,$D$16&gt;3),F62*Resumo!$F$12,IF(AND(B62&lt;&gt;"",K62&lt;&gt;$D$17,B62&gt;$D$16),F62*Resumo!$F$12,0))</f>
        <v>61.685356616067189</v>
      </c>
      <c r="H62" s="42">
        <f>IF(AND(B62&lt;&gt;"",K62&lt;&gt;$D$17,$D$16&gt;3,$B62&lt;=$D$16),$D$15*Resumo!$F$13,IF(AND(B62&lt;&gt;"",K62&lt;&gt;$D$17,B62&gt;$D$16),$D$15*Resumo!$F$13,0))</f>
        <v>34.369999999999997</v>
      </c>
      <c r="I62" s="42">
        <f>IF(AND(B62&lt;&gt;"",K62&lt;&gt;$D$17,$D$16&gt;3,$B62&lt;=$D$16),Resumo!$F$11,IF(AND(B62&lt;&gt;"",K62&lt;&gt;$D$17,B62&gt;$D$16),Resumo!$F$11,0))</f>
        <v>25</v>
      </c>
      <c r="J62" s="42">
        <f t="shared" ca="1" si="7"/>
        <v>2376.3408100028137</v>
      </c>
      <c r="K62" s="39" t="str">
        <f>IF(B62&lt;&gt;"",VLOOKUP(MONTH(C62),Sheet2!$F$1:$G$12,2,0),"")</f>
        <v>Novembro</v>
      </c>
      <c r="L62" s="200">
        <f t="shared" ca="1" si="8"/>
        <v>0</v>
      </c>
      <c r="M62" s="40">
        <f t="shared" ca="1" si="0"/>
        <v>2255.2854533867467</v>
      </c>
      <c r="N62" s="40">
        <f t="shared" ca="1" si="1"/>
        <v>2376.3408100028137</v>
      </c>
      <c r="O62" s="40"/>
      <c r="P62" s="20">
        <f t="shared" ca="1" si="2"/>
        <v>834.89136490250701</v>
      </c>
      <c r="Q62" s="1">
        <f t="shared" si="3"/>
        <v>1229</v>
      </c>
      <c r="R62" s="171">
        <f>IF(AND($J$2&gt;=DATEVALUE("03/04/2020"),$J$2&lt;=DATEVALUE("25/11/2020")),0,IF(Resumo!$C$19="PF",IF(Q62&lt;360,0.0082%*Q62,3%),IF(Q62&lt;360,0.0041%*Q62,1.5%)))</f>
        <v>1.4999999999999999E-2</v>
      </c>
      <c r="S62" s="172">
        <f t="shared" ca="1" si="9"/>
        <v>12.523370473537605</v>
      </c>
      <c r="W62" s="216">
        <f t="shared" ca="1" si="10"/>
        <v>2255.2854533867467</v>
      </c>
    </row>
    <row r="63" spans="2:23">
      <c r="B63" s="37">
        <f t="shared" si="4"/>
        <v>41</v>
      </c>
      <c r="C63" s="163">
        <f t="shared" si="5"/>
        <v>46006</v>
      </c>
      <c r="D63" s="38">
        <f t="shared" ca="1" si="6"/>
        <v>257.85485819980931</v>
      </c>
      <c r="E63" s="38">
        <f t="shared" ca="1" si="11"/>
        <v>1997.4305951869374</v>
      </c>
      <c r="F63" s="38">
        <f ca="1">IF(B63&lt;=$D$16,F62*(1+$D$13)^((C63-C62)/_xlfn.DAYS(EDATE(C62,1),C62)),F62-D63)+IF(B63&lt;=$D$16,F62*Resumo!$F$12,0)+IF(B63&lt;=$D$16,$D$15*Resumo!$F$13,0)+IF(B63&lt;=$D$16,25,0)-IF(AND($D$16&gt;3,B63&lt;=$D$16),J63,0)</f>
        <v>293481.93855164392</v>
      </c>
      <c r="G63" s="38">
        <f ca="1">IF(AND(B63&lt;&gt;"",K63&lt;&gt;$D$17,$D$16&gt;3),F63*Resumo!$F$12,IF(AND(B63&lt;&gt;"",K63&lt;&gt;$D$17,B63&gt;$D$16),F63*Resumo!$F$12,0))</f>
        <v>61.631207095845227</v>
      </c>
      <c r="H63" s="38">
        <f>IF(AND(B63&lt;&gt;"",K63&lt;&gt;$D$17,$D$16&gt;3,$B63&lt;=$D$16),$D$15*Resumo!$F$13,IF(AND(B63&lt;&gt;"",K63&lt;&gt;$D$17,B63&gt;$D$16),$D$15*Resumo!$F$13,0))</f>
        <v>34.369999999999997</v>
      </c>
      <c r="I63" s="38">
        <f>IF(AND(B63&lt;&gt;"",K63&lt;&gt;$D$17,$D$16&gt;3,$B63&lt;=$D$16),Resumo!$F$11,IF(AND(B63&lt;&gt;"",K63&lt;&gt;$D$17,B63&gt;$D$16),Resumo!$F$11,0))</f>
        <v>25</v>
      </c>
      <c r="J63" s="38">
        <f t="shared" ca="1" si="7"/>
        <v>2376.2866604825917</v>
      </c>
      <c r="K63" s="39" t="str">
        <f>IF(B63&lt;&gt;"",VLOOKUP(MONTH(C63),Sheet2!$F$1:$G$12,2,0),"")</f>
        <v>Dezembro</v>
      </c>
      <c r="L63" s="200">
        <f t="shared" ca="1" si="8"/>
        <v>0</v>
      </c>
      <c r="M63" s="40">
        <f t="shared" ca="1" si="0"/>
        <v>2255.2854533867467</v>
      </c>
      <c r="N63" s="40">
        <f t="shared" ca="1" si="1"/>
        <v>2376.2866604825917</v>
      </c>
      <c r="O63" s="40"/>
      <c r="P63" s="20">
        <f t="shared" ca="1" si="2"/>
        <v>834.89136490250701</v>
      </c>
      <c r="Q63" s="1">
        <f t="shared" si="3"/>
        <v>1259</v>
      </c>
      <c r="R63" s="171">
        <f>IF(AND($J$2&gt;=DATEVALUE("03/04/2020"),$J$2&lt;=DATEVALUE("25/11/2020")),0,IF(Resumo!$C$19="PF",IF(Q63&lt;360,0.0082%*Q63,3%),IF(Q63&lt;360,0.0041%*Q63,1.5%)))</f>
        <v>1.4999999999999999E-2</v>
      </c>
      <c r="S63" s="172">
        <f t="shared" ca="1" si="9"/>
        <v>12.523370473537605</v>
      </c>
      <c r="W63" s="216">
        <f t="shared" ca="1" si="10"/>
        <v>2255.2854533867467</v>
      </c>
    </row>
    <row r="64" spans="2:23">
      <c r="B64" s="41">
        <f t="shared" si="4"/>
        <v>42</v>
      </c>
      <c r="C64" s="164">
        <f t="shared" si="5"/>
        <v>46037</v>
      </c>
      <c r="D64" s="42">
        <f t="shared" ca="1" si="6"/>
        <v>259.60827123556805</v>
      </c>
      <c r="E64" s="42">
        <f t="shared" ca="1" si="11"/>
        <v>1995.6771821511786</v>
      </c>
      <c r="F64" s="42">
        <f ca="1">IF(B64&lt;=$D$16,F63*(1+$D$13)^((C64-C63)/_xlfn.DAYS(EDATE(C63,1),C63)),F63-D64)+IF(B64&lt;=$D$16,F63*Resumo!$F$12,0)+IF(B64&lt;=$D$16,$D$15*Resumo!$F$13,0)+IF(B64&lt;=$D$16,25,0)-IF(AND($D$16&gt;3,B64&lt;=$D$16),J64,0)</f>
        <v>293222.33028040838</v>
      </c>
      <c r="G64" s="42">
        <f ca="1">IF(AND(B64&lt;&gt;"",K64&lt;&gt;$D$17,$D$16&gt;3),F64*Resumo!$F$12,IF(AND(B64&lt;&gt;"",K64&lt;&gt;$D$17,B64&gt;$D$16),F64*Resumo!$F$12,0))</f>
        <v>61.576689358885766</v>
      </c>
      <c r="H64" s="42">
        <f>IF(AND(B64&lt;&gt;"",K64&lt;&gt;$D$17,$D$16&gt;3,$B64&lt;=$D$16),$D$15*Resumo!$F$13,IF(AND(B64&lt;&gt;"",K64&lt;&gt;$D$17,B64&gt;$D$16),$D$15*Resumo!$F$13,0))</f>
        <v>34.369999999999997</v>
      </c>
      <c r="I64" s="42">
        <f>IF(AND(B64&lt;&gt;"",K64&lt;&gt;$D$17,$D$16&gt;3,$B64&lt;=$D$16),Resumo!$F$11,IF(AND(B64&lt;&gt;"",K64&lt;&gt;$D$17,B64&gt;$D$16),Resumo!$F$11,0))</f>
        <v>25</v>
      </c>
      <c r="J64" s="42">
        <f t="shared" ca="1" si="7"/>
        <v>2376.2321427456322</v>
      </c>
      <c r="K64" s="39" t="str">
        <f>IF(B64&lt;&gt;"",VLOOKUP(MONTH(C64),Sheet2!$F$1:$G$12,2,0),"")</f>
        <v>Janeiro</v>
      </c>
      <c r="L64" s="200">
        <f t="shared" ca="1" si="8"/>
        <v>0</v>
      </c>
      <c r="M64" s="40">
        <f t="shared" ca="1" si="0"/>
        <v>2255.2854533867467</v>
      </c>
      <c r="N64" s="40">
        <f t="shared" ca="1" si="1"/>
        <v>2376.2321427456322</v>
      </c>
      <c r="O64" s="40"/>
      <c r="P64" s="20">
        <f t="shared" ca="1" si="2"/>
        <v>834.89136490250701</v>
      </c>
      <c r="Q64" s="1">
        <f t="shared" si="3"/>
        <v>1290</v>
      </c>
      <c r="R64" s="171">
        <f>IF(AND($J$2&gt;=DATEVALUE("03/04/2020"),$J$2&lt;=DATEVALUE("25/11/2020")),0,IF(Resumo!$C$19="PF",IF(Q64&lt;360,0.0082%*Q64,3%),IF(Q64&lt;360,0.0041%*Q64,1.5%)))</f>
        <v>1.4999999999999999E-2</v>
      </c>
      <c r="S64" s="172">
        <f t="shared" ca="1" si="9"/>
        <v>12.523370473537605</v>
      </c>
      <c r="W64" s="216">
        <f t="shared" ca="1" si="10"/>
        <v>2255.2854533867467</v>
      </c>
    </row>
    <row r="65" spans="2:23">
      <c r="B65" s="37">
        <f t="shared" si="4"/>
        <v>43</v>
      </c>
      <c r="C65" s="163">
        <f t="shared" si="5"/>
        <v>46068</v>
      </c>
      <c r="D65" s="38">
        <f t="shared" ca="1" si="6"/>
        <v>261.37360747996991</v>
      </c>
      <c r="E65" s="38">
        <f t="shared" ca="1" si="11"/>
        <v>1993.9118459067768</v>
      </c>
      <c r="F65" s="38">
        <f ca="1">IF(B65&lt;=$D$16,F64*(1+$D$13)^((C65-C64)/_xlfn.DAYS(EDATE(C64,1),C64)),F64-D65)+IF(B65&lt;=$D$16,F64*Resumo!$F$12,0)+IF(B65&lt;=$D$16,$D$15*Resumo!$F$13,0)+IF(B65&lt;=$D$16,25,0)-IF(AND($D$16&gt;3,B65&lt;=$D$16),J65,0)</f>
        <v>292960.95667292841</v>
      </c>
      <c r="G65" s="38">
        <f ca="1">IF(AND(B65&lt;&gt;"",K65&lt;&gt;$D$17,$D$16&gt;3),F65*Resumo!$F$12,IF(AND(B65&lt;&gt;"",K65&lt;&gt;$D$17,B65&gt;$D$16),F65*Resumo!$F$12,0))</f>
        <v>61.521800901314968</v>
      </c>
      <c r="H65" s="38">
        <f>IF(AND(B65&lt;&gt;"",K65&lt;&gt;$D$17,$D$16&gt;3,$B65&lt;=$D$16),$D$15*Resumo!$F$13,IF(AND(B65&lt;&gt;"",K65&lt;&gt;$D$17,B65&gt;$D$16),$D$15*Resumo!$F$13,0))</f>
        <v>34.369999999999997</v>
      </c>
      <c r="I65" s="38">
        <f>IF(AND(B65&lt;&gt;"",K65&lt;&gt;$D$17,$D$16&gt;3,$B65&lt;=$D$16),Resumo!$F$11,IF(AND(B65&lt;&gt;"",K65&lt;&gt;$D$17,B65&gt;$D$16),Resumo!$F$11,0))</f>
        <v>25</v>
      </c>
      <c r="J65" s="38">
        <f t="shared" ca="1" si="7"/>
        <v>2376.1772542880617</v>
      </c>
      <c r="K65" s="39" t="str">
        <f>IF(B65&lt;&gt;"",VLOOKUP(MONTH(C65),Sheet2!$F$1:$G$12,2,0),"")</f>
        <v>Fevereiro</v>
      </c>
      <c r="L65" s="200">
        <f t="shared" ca="1" si="8"/>
        <v>0</v>
      </c>
      <c r="M65" s="40">
        <f t="shared" ca="1" si="0"/>
        <v>2255.2854533867467</v>
      </c>
      <c r="N65" s="40">
        <f t="shared" ca="1" si="1"/>
        <v>2376.1772542880617</v>
      </c>
      <c r="O65" s="40"/>
      <c r="P65" s="20">
        <f t="shared" ca="1" si="2"/>
        <v>834.89136490250701</v>
      </c>
      <c r="Q65" s="1">
        <f t="shared" si="3"/>
        <v>1321</v>
      </c>
      <c r="R65" s="171">
        <f>IF(AND($J$2&gt;=DATEVALUE("03/04/2020"),$J$2&lt;=DATEVALUE("25/11/2020")),0,IF(Resumo!$C$19="PF",IF(Q65&lt;360,0.0082%*Q65,3%),IF(Q65&lt;360,0.0041%*Q65,1.5%)))</f>
        <v>1.4999999999999999E-2</v>
      </c>
      <c r="S65" s="172">
        <f t="shared" ca="1" si="9"/>
        <v>12.523370473537605</v>
      </c>
      <c r="W65" s="216">
        <f t="shared" ca="1" si="10"/>
        <v>2255.2854533867467</v>
      </c>
    </row>
    <row r="66" spans="2:23">
      <c r="B66" s="41">
        <f t="shared" si="4"/>
        <v>44</v>
      </c>
      <c r="C66" s="164">
        <f t="shared" si="5"/>
        <v>46096</v>
      </c>
      <c r="D66" s="42">
        <f t="shared" ca="1" si="6"/>
        <v>263.15094801083364</v>
      </c>
      <c r="E66" s="42">
        <f t="shared" ca="1" si="11"/>
        <v>1992.134505375913</v>
      </c>
      <c r="F66" s="42">
        <f ca="1">IF(B66&lt;=$D$16,F65*(1+$D$13)^((C66-C65)/_xlfn.DAYS(EDATE(C65,1),C65)),F65-D66)+IF(B66&lt;=$D$16,F65*Resumo!$F$12,0)+IF(B66&lt;=$D$16,$D$15*Resumo!$F$13,0)+IF(B66&lt;=$D$16,25,0)-IF(AND($D$16&gt;3,B66&lt;=$D$16),J66,0)</f>
        <v>292697.80572491756</v>
      </c>
      <c r="G66" s="42">
        <f ca="1">IF(AND(B66&lt;&gt;"",K66&lt;&gt;$D$17,$D$16&gt;3),F66*Resumo!$F$12,IF(AND(B66&lt;&gt;"",K66&lt;&gt;$D$17,B66&gt;$D$16),F66*Resumo!$F$12,0))</f>
        <v>61.466539202232688</v>
      </c>
      <c r="H66" s="42">
        <f>IF(AND(B66&lt;&gt;"",K66&lt;&gt;$D$17,$D$16&gt;3,$B66&lt;=$D$16),$D$15*Resumo!$F$13,IF(AND(B66&lt;&gt;"",K66&lt;&gt;$D$17,B66&gt;$D$16),$D$15*Resumo!$F$13,0))</f>
        <v>34.369999999999997</v>
      </c>
      <c r="I66" s="42">
        <f>IF(AND(B66&lt;&gt;"",K66&lt;&gt;$D$17,$D$16&gt;3,$B66&lt;=$D$16),Resumo!$F$11,IF(AND(B66&lt;&gt;"",K66&lt;&gt;$D$17,B66&gt;$D$16),Resumo!$F$11,0))</f>
        <v>25</v>
      </c>
      <c r="J66" s="42">
        <f t="shared" ca="1" si="7"/>
        <v>2376.1219925889791</v>
      </c>
      <c r="K66" s="39" t="str">
        <f>IF(B66&lt;&gt;"",VLOOKUP(MONTH(C66),Sheet2!$F$1:$G$12,2,0),"")</f>
        <v>Março</v>
      </c>
      <c r="L66" s="200">
        <f t="shared" ca="1" si="8"/>
        <v>0</v>
      </c>
      <c r="M66" s="40">
        <f t="shared" ca="1" si="0"/>
        <v>2255.2854533867467</v>
      </c>
      <c r="N66" s="40">
        <f t="shared" ca="1" si="1"/>
        <v>2376.1219925889791</v>
      </c>
      <c r="O66" s="40"/>
      <c r="P66" s="20">
        <f t="shared" ca="1" si="2"/>
        <v>834.89136490250701</v>
      </c>
      <c r="Q66" s="1">
        <f t="shared" si="3"/>
        <v>1349</v>
      </c>
      <c r="R66" s="171">
        <f>IF(AND($J$2&gt;=DATEVALUE("03/04/2020"),$J$2&lt;=DATEVALUE("25/11/2020")),0,IF(Resumo!$C$19="PF",IF(Q66&lt;360,0.0082%*Q66,3%),IF(Q66&lt;360,0.0041%*Q66,1.5%)))</f>
        <v>1.4999999999999999E-2</v>
      </c>
      <c r="S66" s="172">
        <f t="shared" ca="1" si="9"/>
        <v>12.523370473537605</v>
      </c>
      <c r="W66" s="216">
        <f t="shared" ca="1" si="10"/>
        <v>2255.2854533867467</v>
      </c>
    </row>
    <row r="67" spans="2:23">
      <c r="B67" s="37">
        <f t="shared" si="4"/>
        <v>45</v>
      </c>
      <c r="C67" s="163">
        <f t="shared" si="5"/>
        <v>46127</v>
      </c>
      <c r="D67" s="38">
        <f t="shared" ca="1" si="6"/>
        <v>264.94037445730737</v>
      </c>
      <c r="E67" s="38">
        <f t="shared" ca="1" si="11"/>
        <v>1990.3450789294393</v>
      </c>
      <c r="F67" s="38">
        <f ca="1">IF(B67&lt;=$D$16,F66*(1+$D$13)^((C67-C66)/_xlfn.DAYS(EDATE(C66,1),C66)),F66-D67)+IF(B67&lt;=$D$16,F66*Resumo!$F$12,0)+IF(B67&lt;=$D$16,$D$15*Resumo!$F$13,0)+IF(B67&lt;=$D$16,25,0)-IF(AND($D$16&gt;3,B67&lt;=$D$16),J67,0)</f>
        <v>292432.86535046023</v>
      </c>
      <c r="G67" s="38">
        <f ca="1">IF(AND(B67&lt;&gt;"",K67&lt;&gt;$D$17,$D$16&gt;3),F67*Resumo!$F$12,IF(AND(B67&lt;&gt;"",K67&lt;&gt;$D$17,B67&gt;$D$16),F67*Resumo!$F$12,0))</f>
        <v>61.410901723596652</v>
      </c>
      <c r="H67" s="38">
        <f>IF(AND(B67&lt;&gt;"",K67&lt;&gt;$D$17,$D$16&gt;3,$B67&lt;=$D$16),$D$15*Resumo!$F$13,IF(AND(B67&lt;&gt;"",K67&lt;&gt;$D$17,B67&gt;$D$16),$D$15*Resumo!$F$13,0))</f>
        <v>34.369999999999997</v>
      </c>
      <c r="I67" s="38">
        <f>IF(AND(B67&lt;&gt;"",K67&lt;&gt;$D$17,$D$16&gt;3,$B67&lt;=$D$16),Resumo!$F$11,IF(AND(B67&lt;&gt;"",K67&lt;&gt;$D$17,B67&gt;$D$16),Resumo!$F$11,0))</f>
        <v>25</v>
      </c>
      <c r="J67" s="38">
        <f t="shared" ca="1" si="7"/>
        <v>2376.066355110343</v>
      </c>
      <c r="K67" s="39" t="str">
        <f>IF(B67&lt;&gt;"",VLOOKUP(MONTH(C67),Sheet2!$F$1:$G$12,2,0),"")</f>
        <v>Abril</v>
      </c>
      <c r="L67" s="200">
        <f t="shared" ca="1" si="8"/>
        <v>0</v>
      </c>
      <c r="M67" s="40">
        <f t="shared" ca="1" si="0"/>
        <v>2255.2854533867467</v>
      </c>
      <c r="N67" s="40">
        <f t="shared" ca="1" si="1"/>
        <v>2376.066355110343</v>
      </c>
      <c r="O67" s="40"/>
      <c r="P67" s="20">
        <f t="shared" ca="1" si="2"/>
        <v>834.89136490250701</v>
      </c>
      <c r="Q67" s="1">
        <f t="shared" si="3"/>
        <v>1380</v>
      </c>
      <c r="R67" s="171">
        <f>IF(AND($J$2&gt;=DATEVALUE("03/04/2020"),$J$2&lt;=DATEVALUE("25/11/2020")),0,IF(Resumo!$C$19="PF",IF(Q67&lt;360,0.0082%*Q67,3%),IF(Q67&lt;360,0.0041%*Q67,1.5%)))</f>
        <v>1.4999999999999999E-2</v>
      </c>
      <c r="S67" s="172">
        <f t="shared" ca="1" si="9"/>
        <v>12.523370473537605</v>
      </c>
      <c r="W67" s="216">
        <f t="shared" ca="1" si="10"/>
        <v>2255.2854533867467</v>
      </c>
    </row>
    <row r="68" spans="2:23">
      <c r="B68" s="41">
        <f t="shared" si="4"/>
        <v>46</v>
      </c>
      <c r="C68" s="164">
        <f t="shared" si="5"/>
        <v>46157</v>
      </c>
      <c r="D68" s="42">
        <f t="shared" ca="1" si="6"/>
        <v>266.74196900361721</v>
      </c>
      <c r="E68" s="42">
        <f t="shared" ca="1" si="11"/>
        <v>1988.5434843831295</v>
      </c>
      <c r="F68" s="42">
        <f ca="1">IF(B68&lt;=$D$16,F67*(1+$D$13)^((C68-C67)/_xlfn.DAYS(EDATE(C67,1),C67)),F67-D68)+IF(B68&lt;=$D$16,F67*Resumo!$F$12,0)+IF(B68&lt;=$D$16,$D$15*Resumo!$F$13,0)+IF(B68&lt;=$D$16,25,0)-IF(AND($D$16&gt;3,B68&lt;=$D$16),J68,0)</f>
        <v>292166.12338145659</v>
      </c>
      <c r="G68" s="42">
        <f ca="1">IF(AND(B68&lt;&gt;"",K68&lt;&gt;$D$17,$D$16&gt;3),F68*Resumo!$F$12,IF(AND(B68&lt;&gt;"",K68&lt;&gt;$D$17,B68&gt;$D$16),F68*Resumo!$F$12,0))</f>
        <v>61.354885910105885</v>
      </c>
      <c r="H68" s="42">
        <f>IF(AND(B68&lt;&gt;"",K68&lt;&gt;$D$17,$D$16&gt;3,$B68&lt;=$D$16),$D$15*Resumo!$F$13,IF(AND(B68&lt;&gt;"",K68&lt;&gt;$D$17,B68&gt;$D$16),$D$15*Resumo!$F$13,0))</f>
        <v>34.369999999999997</v>
      </c>
      <c r="I68" s="42">
        <f>IF(AND(B68&lt;&gt;"",K68&lt;&gt;$D$17,$D$16&gt;3,$B68&lt;=$D$16),Resumo!$F$11,IF(AND(B68&lt;&gt;"",K68&lt;&gt;$D$17,B68&gt;$D$16),Resumo!$F$11,0))</f>
        <v>25</v>
      </c>
      <c r="J68" s="42">
        <f t="shared" ca="1" si="7"/>
        <v>2376.0103392968526</v>
      </c>
      <c r="K68" s="39" t="str">
        <f>IF(B68&lt;&gt;"",VLOOKUP(MONTH(C68),Sheet2!$F$1:$G$12,2,0),"")</f>
        <v>Maio</v>
      </c>
      <c r="L68" s="200">
        <f t="shared" ca="1" si="8"/>
        <v>0</v>
      </c>
      <c r="M68" s="40">
        <f t="shared" ca="1" si="0"/>
        <v>2255.2854533867467</v>
      </c>
      <c r="N68" s="40">
        <f t="shared" ca="1" si="1"/>
        <v>2376.0103392968526</v>
      </c>
      <c r="O68" s="40"/>
      <c r="P68" s="20">
        <f t="shared" ca="1" si="2"/>
        <v>834.89136490250701</v>
      </c>
      <c r="Q68" s="1">
        <f t="shared" si="3"/>
        <v>1410</v>
      </c>
      <c r="R68" s="171">
        <f>IF(AND($J$2&gt;=DATEVALUE("03/04/2020"),$J$2&lt;=DATEVALUE("25/11/2020")),0,IF(Resumo!$C$19="PF",IF(Q68&lt;360,0.0082%*Q68,3%),IF(Q68&lt;360,0.0041%*Q68,1.5%)))</f>
        <v>1.4999999999999999E-2</v>
      </c>
      <c r="S68" s="172">
        <f t="shared" ca="1" si="9"/>
        <v>12.523370473537605</v>
      </c>
      <c r="W68" s="216">
        <f t="shared" ca="1" si="10"/>
        <v>2255.2854533867467</v>
      </c>
    </row>
    <row r="69" spans="2:23">
      <c r="B69" s="37">
        <f t="shared" si="4"/>
        <v>47</v>
      </c>
      <c r="C69" s="163">
        <f t="shared" si="5"/>
        <v>46188</v>
      </c>
      <c r="D69" s="38">
        <f t="shared" ca="1" si="6"/>
        <v>268.55581439284197</v>
      </c>
      <c r="E69" s="38">
        <f t="shared" ca="1" si="11"/>
        <v>1986.7296389939047</v>
      </c>
      <c r="F69" s="38">
        <f ca="1">IF(B69&lt;=$D$16,F68*(1+$D$13)^((C69-C68)/_xlfn.DAYS(EDATE(C68,1),C68)),F68-D69)+IF(B69&lt;=$D$16,F68*Resumo!$F$12,0)+IF(B69&lt;=$D$16,$D$15*Resumo!$F$13,0)+IF(B69&lt;=$D$16,25,0)-IF(AND($D$16&gt;3,B69&lt;=$D$16),J69,0)</f>
        <v>291897.56756706373</v>
      </c>
      <c r="G69" s="38">
        <f ca="1">IF(AND(B69&lt;&gt;"",K69&lt;&gt;$D$17,$D$16&gt;3),F69*Resumo!$F$12,IF(AND(B69&lt;&gt;"",K69&lt;&gt;$D$17,B69&gt;$D$16),F69*Resumo!$F$12,0))</f>
        <v>61.298489189083384</v>
      </c>
      <c r="H69" s="38">
        <f>IF(AND(B69&lt;&gt;"",K69&lt;&gt;$D$17,$D$16&gt;3,$B69&lt;=$D$16),$D$15*Resumo!$F$13,IF(AND(B69&lt;&gt;"",K69&lt;&gt;$D$17,B69&gt;$D$16),$D$15*Resumo!$F$13,0))</f>
        <v>34.369999999999997</v>
      </c>
      <c r="I69" s="38">
        <f>IF(AND(B69&lt;&gt;"",K69&lt;&gt;$D$17,$D$16&gt;3,$B69&lt;=$D$16),Resumo!$F$11,IF(AND(B69&lt;&gt;"",K69&lt;&gt;$D$17,B69&gt;$D$16),Resumo!$F$11,0))</f>
        <v>25</v>
      </c>
      <c r="J69" s="38">
        <f t="shared" ca="1" si="7"/>
        <v>2375.9539425758298</v>
      </c>
      <c r="K69" s="39" t="str">
        <f>IF(B69&lt;&gt;"",VLOOKUP(MONTH(C69),Sheet2!$F$1:$G$12,2,0),"")</f>
        <v>Junho</v>
      </c>
      <c r="L69" s="200">
        <f t="shared" ca="1" si="8"/>
        <v>0</v>
      </c>
      <c r="M69" s="40">
        <f t="shared" ca="1" si="0"/>
        <v>2255.2854533867467</v>
      </c>
      <c r="N69" s="40">
        <f t="shared" ca="1" si="1"/>
        <v>2375.9539425758298</v>
      </c>
      <c r="O69" s="40"/>
      <c r="P69" s="20">
        <f t="shared" ca="1" si="2"/>
        <v>834.89136490250701</v>
      </c>
      <c r="Q69" s="1">
        <f t="shared" si="3"/>
        <v>1441</v>
      </c>
      <c r="R69" s="171">
        <f>IF(AND($J$2&gt;=DATEVALUE("03/04/2020"),$J$2&lt;=DATEVALUE("25/11/2020")),0,IF(Resumo!$C$19="PF",IF(Q69&lt;360,0.0082%*Q69,3%),IF(Q69&lt;360,0.0041%*Q69,1.5%)))</f>
        <v>1.4999999999999999E-2</v>
      </c>
      <c r="S69" s="172">
        <f t="shared" ca="1" si="9"/>
        <v>12.523370473537605</v>
      </c>
      <c r="W69" s="216">
        <f t="shared" ca="1" si="10"/>
        <v>2255.2854533867467</v>
      </c>
    </row>
    <row r="70" spans="2:23">
      <c r="B70" s="41">
        <f t="shared" si="4"/>
        <v>48</v>
      </c>
      <c r="C70" s="164">
        <f t="shared" si="5"/>
        <v>46218</v>
      </c>
      <c r="D70" s="42">
        <f t="shared" ca="1" si="6"/>
        <v>270.38199393071341</v>
      </c>
      <c r="E70" s="42">
        <f t="shared" ca="1" si="11"/>
        <v>1984.9034594560333</v>
      </c>
      <c r="F70" s="42">
        <f ca="1">IF(B70&lt;=$D$16,F69*(1+$D$13)^((C70-C69)/_xlfn.DAYS(EDATE(C69,1),C69)),F69-D70)+IF(B70&lt;=$D$16,F69*Resumo!$F$12,0)+IF(B70&lt;=$D$16,$D$15*Resumo!$F$13,0)+IF(B70&lt;=$D$16,25,0)-IF(AND($D$16&gt;3,B70&lt;=$D$16),J70,0)</f>
        <v>291627.185573133</v>
      </c>
      <c r="G70" s="42">
        <f ca="1">IF(AND(B70&lt;&gt;"",K70&lt;&gt;$D$17,$D$16&gt;3),F70*Resumo!$F$12,IF(AND(B70&lt;&gt;"",K70&lt;&gt;$D$17,B70&gt;$D$16),F70*Resumo!$F$12,0))</f>
        <v>61.241708970357934</v>
      </c>
      <c r="H70" s="42">
        <f>IF(AND(B70&lt;&gt;"",K70&lt;&gt;$D$17,$D$16&gt;3,$B70&lt;=$D$16),$D$15*Resumo!$F$13,IF(AND(B70&lt;&gt;"",K70&lt;&gt;$D$17,B70&gt;$D$16),$D$15*Resumo!$F$13,0))</f>
        <v>34.369999999999997</v>
      </c>
      <c r="I70" s="42">
        <f>IF(AND(B70&lt;&gt;"",K70&lt;&gt;$D$17,$D$16&gt;3,$B70&lt;=$D$16),Resumo!$F$11,IF(AND(B70&lt;&gt;"",K70&lt;&gt;$D$17,B70&gt;$D$16),Resumo!$F$11,0))</f>
        <v>25</v>
      </c>
      <c r="J70" s="42">
        <f t="shared" ca="1" si="7"/>
        <v>2375.8971623571047</v>
      </c>
      <c r="K70" s="39" t="str">
        <f>IF(B70&lt;&gt;"",VLOOKUP(MONTH(C70),Sheet2!$F$1:$G$12,2,0),"")</f>
        <v>Julho</v>
      </c>
      <c r="L70" s="200">
        <f t="shared" ca="1" si="8"/>
        <v>0</v>
      </c>
      <c r="M70" s="40">
        <f t="shared" ca="1" si="0"/>
        <v>2255.2854533867467</v>
      </c>
      <c r="N70" s="40">
        <f t="shared" ca="1" si="1"/>
        <v>2375.8971623571047</v>
      </c>
      <c r="O70" s="40"/>
      <c r="P70" s="20">
        <f t="shared" ca="1" si="2"/>
        <v>834.89136490250701</v>
      </c>
      <c r="Q70" s="1">
        <f t="shared" si="3"/>
        <v>1471</v>
      </c>
      <c r="R70" s="171">
        <f>IF(AND($J$2&gt;=DATEVALUE("03/04/2020"),$J$2&lt;=DATEVALUE("25/11/2020")),0,IF(Resumo!$C$19="PF",IF(Q70&lt;360,0.0082%*Q70,3%),IF(Q70&lt;360,0.0041%*Q70,1.5%)))</f>
        <v>1.4999999999999999E-2</v>
      </c>
      <c r="S70" s="172">
        <f t="shared" ca="1" si="9"/>
        <v>12.523370473537605</v>
      </c>
      <c r="W70" s="216">
        <f t="shared" ca="1" si="10"/>
        <v>2255.2854533867467</v>
      </c>
    </row>
    <row r="71" spans="2:23">
      <c r="B71" s="37">
        <f t="shared" si="4"/>
        <v>49</v>
      </c>
      <c r="C71" s="163">
        <f t="shared" si="5"/>
        <v>46249</v>
      </c>
      <c r="D71" s="38">
        <f t="shared" ca="1" si="6"/>
        <v>272.22059148944231</v>
      </c>
      <c r="E71" s="38">
        <f t="shared" ca="1" si="11"/>
        <v>1983.0648618973044</v>
      </c>
      <c r="F71" s="38">
        <f ca="1">IF(B71&lt;=$D$16,F70*(1+$D$13)^((C71-C70)/_xlfn.DAYS(EDATE(C70,1),C70)),F70-D71)+IF(B71&lt;=$D$16,F70*Resumo!$F$12,0)+IF(B71&lt;=$D$16,$D$15*Resumo!$F$13,0)+IF(B71&lt;=$D$16,25,0)-IF(AND($D$16&gt;3,B71&lt;=$D$16),J71,0)</f>
        <v>291354.96498164354</v>
      </c>
      <c r="G71" s="38">
        <f ca="1">IF(AND(B71&lt;&gt;"",K71&lt;&gt;$D$17,$D$16&gt;3),F71*Resumo!$F$12,IF(AND(B71&lt;&gt;"",K71&lt;&gt;$D$17,B71&gt;$D$16),F71*Resumo!$F$12,0))</f>
        <v>61.184542646145147</v>
      </c>
      <c r="H71" s="38">
        <f>IF(AND(B71&lt;&gt;"",K71&lt;&gt;$D$17,$D$16&gt;3,$B71&lt;=$D$16),$D$15*Resumo!$F$13,IF(AND(B71&lt;&gt;"",K71&lt;&gt;$D$17,B71&gt;$D$16),$D$15*Resumo!$F$13,0))</f>
        <v>34.369999999999997</v>
      </c>
      <c r="I71" s="38">
        <f>IF(AND(B71&lt;&gt;"",K71&lt;&gt;$D$17,$D$16&gt;3,$B71&lt;=$D$16),Resumo!$F$11,IF(AND(B71&lt;&gt;"",K71&lt;&gt;$D$17,B71&gt;$D$16),Resumo!$F$11,0))</f>
        <v>25</v>
      </c>
      <c r="J71" s="38">
        <f t="shared" ca="1" si="7"/>
        <v>2375.8399960328916</v>
      </c>
      <c r="K71" s="39" t="str">
        <f>IF(B71&lt;&gt;"",VLOOKUP(MONTH(C71),Sheet2!$F$1:$G$12,2,0),"")</f>
        <v>Agosto</v>
      </c>
      <c r="L71" s="200">
        <f t="shared" ca="1" si="8"/>
        <v>0</v>
      </c>
      <c r="M71" s="40">
        <f t="shared" ca="1" si="0"/>
        <v>2255.2854533867467</v>
      </c>
      <c r="N71" s="40">
        <f t="shared" ca="1" si="1"/>
        <v>2375.8399960328916</v>
      </c>
      <c r="O71" s="40"/>
      <c r="P71" s="20">
        <f t="shared" ca="1" si="2"/>
        <v>834.89136490250701</v>
      </c>
      <c r="Q71" s="1">
        <f t="shared" si="3"/>
        <v>1502</v>
      </c>
      <c r="R71" s="171">
        <f>IF(AND($J$2&gt;=DATEVALUE("03/04/2020"),$J$2&lt;=DATEVALUE("25/11/2020")),0,IF(Resumo!$C$19="PF",IF(Q71&lt;360,0.0082%*Q71,3%),IF(Q71&lt;360,0.0041%*Q71,1.5%)))</f>
        <v>1.4999999999999999E-2</v>
      </c>
      <c r="S71" s="172">
        <f t="shared" ca="1" si="9"/>
        <v>12.523370473537605</v>
      </c>
      <c r="W71" s="216">
        <f t="shared" ca="1" si="10"/>
        <v>2255.2854533867467</v>
      </c>
    </row>
    <row r="72" spans="2:23">
      <c r="B72" s="41">
        <f t="shared" si="4"/>
        <v>50</v>
      </c>
      <c r="C72" s="164">
        <f t="shared" si="5"/>
        <v>46280</v>
      </c>
      <c r="D72" s="42">
        <f t="shared" ca="1" si="6"/>
        <v>274.07169151157063</v>
      </c>
      <c r="E72" s="42">
        <f t="shared" ca="1" si="11"/>
        <v>1981.213761875176</v>
      </c>
      <c r="F72" s="42">
        <f ca="1">IF(B72&lt;=$D$16,F71*(1+$D$13)^((C72-C71)/_xlfn.DAYS(EDATE(C71,1),C71)),F71-D72)+IF(B72&lt;=$D$16,F71*Resumo!$F$12,0)+IF(B72&lt;=$D$16,$D$15*Resumo!$F$13,0)+IF(B72&lt;=$D$16,25,0)-IF(AND($D$16&gt;3,B72&lt;=$D$16),J72,0)</f>
        <v>291080.89329013199</v>
      </c>
      <c r="G72" s="42">
        <f ca="1">IF(AND(B72&lt;&gt;"",K72&lt;&gt;$D$17,$D$16&gt;3),F72*Resumo!$F$12,IF(AND(B72&lt;&gt;"",K72&lt;&gt;$D$17,B72&gt;$D$16),F72*Resumo!$F$12,0))</f>
        <v>61.126987590927719</v>
      </c>
      <c r="H72" s="42">
        <f>IF(AND(B72&lt;&gt;"",K72&lt;&gt;$D$17,$D$16&gt;3,$B72&lt;=$D$16),$D$15*Resumo!$F$13,IF(AND(B72&lt;&gt;"",K72&lt;&gt;$D$17,B72&gt;$D$16),$D$15*Resumo!$F$13,0))</f>
        <v>34.369999999999997</v>
      </c>
      <c r="I72" s="42">
        <f>IF(AND(B72&lt;&gt;"",K72&lt;&gt;$D$17,$D$16&gt;3,$B72&lt;=$D$16),Resumo!$F$11,IF(AND(B72&lt;&gt;"",K72&lt;&gt;$D$17,B72&gt;$D$16),Resumo!$F$11,0))</f>
        <v>25</v>
      </c>
      <c r="J72" s="42">
        <f t="shared" ca="1" si="7"/>
        <v>2375.7824409776745</v>
      </c>
      <c r="K72" s="39" t="str">
        <f>IF(B72&lt;&gt;"",VLOOKUP(MONTH(C72),Sheet2!$F$1:$G$12,2,0),"")</f>
        <v>Setembro</v>
      </c>
      <c r="L72" s="200">
        <f t="shared" ca="1" si="8"/>
        <v>0</v>
      </c>
      <c r="M72" s="40">
        <f t="shared" ca="1" si="0"/>
        <v>2255.2854533867467</v>
      </c>
      <c r="N72" s="40">
        <f t="shared" ca="1" si="1"/>
        <v>2375.7824409776745</v>
      </c>
      <c r="O72" s="40"/>
      <c r="P72" s="20">
        <f t="shared" ca="1" si="2"/>
        <v>834.89136490250701</v>
      </c>
      <c r="Q72" s="1">
        <f t="shared" si="3"/>
        <v>1533</v>
      </c>
      <c r="R72" s="171">
        <f>IF(AND($J$2&gt;=DATEVALUE("03/04/2020"),$J$2&lt;=DATEVALUE("25/11/2020")),0,IF(Resumo!$C$19="PF",IF(Q72&lt;360,0.0082%*Q72,3%),IF(Q72&lt;360,0.0041%*Q72,1.5%)))</f>
        <v>1.4999999999999999E-2</v>
      </c>
      <c r="S72" s="172">
        <f t="shared" ca="1" si="9"/>
        <v>12.523370473537605</v>
      </c>
      <c r="W72" s="216">
        <f t="shared" ca="1" si="10"/>
        <v>2255.2854533867467</v>
      </c>
    </row>
    <row r="73" spans="2:23">
      <c r="B73" s="37">
        <f t="shared" si="4"/>
        <v>51</v>
      </c>
      <c r="C73" s="163">
        <f t="shared" si="5"/>
        <v>46310</v>
      </c>
      <c r="D73" s="38">
        <f t="shared" ca="1" si="6"/>
        <v>275.93537901384911</v>
      </c>
      <c r="E73" s="38">
        <f t="shared" ca="1" si="11"/>
        <v>1979.3500743728976</v>
      </c>
      <c r="F73" s="38">
        <f ca="1">IF(B73&lt;=$D$16,F72*(1+$D$13)^((C73-C72)/_xlfn.DAYS(EDATE(C72,1),C72)),F72-D73)+IF(B73&lt;=$D$16,F72*Resumo!$F$12,0)+IF(B73&lt;=$D$16,$D$15*Resumo!$F$13,0)+IF(B73&lt;=$D$16,25,0)-IF(AND($D$16&gt;3,B73&lt;=$D$16),J73,0)</f>
        <v>290804.95791111817</v>
      </c>
      <c r="G73" s="38">
        <f ca="1">IF(AND(B73&lt;&gt;"",K73&lt;&gt;$D$17,$D$16&gt;3),F73*Resumo!$F$12,IF(AND(B73&lt;&gt;"",K73&lt;&gt;$D$17,B73&gt;$D$16),F73*Resumo!$F$12,0))</f>
        <v>61.069041161334816</v>
      </c>
      <c r="H73" s="38">
        <f>IF(AND(B73&lt;&gt;"",K73&lt;&gt;$D$17,$D$16&gt;3,$B73&lt;=$D$16),$D$15*Resumo!$F$13,IF(AND(B73&lt;&gt;"",K73&lt;&gt;$D$17,B73&gt;$D$16),$D$15*Resumo!$F$13,0))</f>
        <v>34.369999999999997</v>
      </c>
      <c r="I73" s="38">
        <f>IF(AND(B73&lt;&gt;"",K73&lt;&gt;$D$17,$D$16&gt;3,$B73&lt;=$D$16),Resumo!$F$11,IF(AND(B73&lt;&gt;"",K73&lt;&gt;$D$17,B73&gt;$D$16),Resumo!$F$11,0))</f>
        <v>25</v>
      </c>
      <c r="J73" s="38">
        <f t="shared" ca="1" si="7"/>
        <v>2375.7244945480816</v>
      </c>
      <c r="K73" s="39" t="str">
        <f>IF(B73&lt;&gt;"",VLOOKUP(MONTH(C73),Sheet2!$F$1:$G$12,2,0),"")</f>
        <v>Outubro</v>
      </c>
      <c r="L73" s="200">
        <f t="shared" ca="1" si="8"/>
        <v>0</v>
      </c>
      <c r="M73" s="40">
        <f t="shared" ca="1" si="0"/>
        <v>2255.2854533867467</v>
      </c>
      <c r="N73" s="40">
        <f t="shared" ca="1" si="1"/>
        <v>2375.7244945480816</v>
      </c>
      <c r="O73" s="40"/>
      <c r="P73" s="20">
        <f t="shared" ca="1" si="2"/>
        <v>834.89136490250701</v>
      </c>
      <c r="Q73" s="1">
        <f t="shared" si="3"/>
        <v>1563</v>
      </c>
      <c r="R73" s="171">
        <f>IF(AND($J$2&gt;=DATEVALUE("03/04/2020"),$J$2&lt;=DATEVALUE("25/11/2020")),0,IF(Resumo!$C$19="PF",IF(Q73&lt;360,0.0082%*Q73,3%),IF(Q73&lt;360,0.0041%*Q73,1.5%)))</f>
        <v>1.4999999999999999E-2</v>
      </c>
      <c r="S73" s="172">
        <f t="shared" ca="1" si="9"/>
        <v>12.523370473537605</v>
      </c>
      <c r="W73" s="216">
        <f t="shared" ca="1" si="10"/>
        <v>2255.2854533867467</v>
      </c>
    </row>
    <row r="74" spans="2:23">
      <c r="B74" s="41">
        <f t="shared" si="4"/>
        <v>52</v>
      </c>
      <c r="C74" s="164">
        <f t="shared" si="5"/>
        <v>46341</v>
      </c>
      <c r="D74" s="42">
        <f t="shared" ca="1" si="6"/>
        <v>277.81173959114335</v>
      </c>
      <c r="E74" s="42">
        <f t="shared" ca="1" si="11"/>
        <v>1977.4737137956033</v>
      </c>
      <c r="F74" s="42">
        <f ca="1">IF(B74&lt;=$D$16,F73*(1+$D$13)^((C74-C73)/_xlfn.DAYS(EDATE(C73,1),C73)),F73-D74)+IF(B74&lt;=$D$16,F73*Resumo!$F$12,0)+IF(B74&lt;=$D$16,$D$15*Resumo!$F$13,0)+IF(B74&lt;=$D$16,25,0)-IF(AND($D$16&gt;3,B74&lt;=$D$16),J74,0)</f>
        <v>290527.14617152704</v>
      </c>
      <c r="G74" s="42">
        <f ca="1">IF(AND(B74&lt;&gt;"",K74&lt;&gt;$D$17,$D$16&gt;3),F74*Resumo!$F$12,IF(AND(B74&lt;&gt;"",K74&lt;&gt;$D$17,B74&gt;$D$16),F74*Resumo!$F$12,0))</f>
        <v>61.010700696020685</v>
      </c>
      <c r="H74" s="42">
        <f>IF(AND(B74&lt;&gt;"",K74&lt;&gt;$D$17,$D$16&gt;3,$B74&lt;=$D$16),$D$15*Resumo!$F$13,IF(AND(B74&lt;&gt;"",K74&lt;&gt;$D$17,B74&gt;$D$16),$D$15*Resumo!$F$13,0))</f>
        <v>34.369999999999997</v>
      </c>
      <c r="I74" s="42">
        <f>IF(AND(B74&lt;&gt;"",K74&lt;&gt;$D$17,$D$16&gt;3,$B74&lt;=$D$16),Resumo!$F$11,IF(AND(B74&lt;&gt;"",K74&lt;&gt;$D$17,B74&gt;$D$16),Resumo!$F$11,0))</f>
        <v>25</v>
      </c>
      <c r="J74" s="42">
        <f t="shared" ca="1" si="7"/>
        <v>2375.6661540827672</v>
      </c>
      <c r="K74" s="39" t="str">
        <f>IF(B74&lt;&gt;"",VLOOKUP(MONTH(C74),Sheet2!$F$1:$G$12,2,0),"")</f>
        <v>Novembro</v>
      </c>
      <c r="L74" s="200">
        <f t="shared" ca="1" si="8"/>
        <v>0</v>
      </c>
      <c r="M74" s="40">
        <f t="shared" ca="1" si="0"/>
        <v>2255.2854533867467</v>
      </c>
      <c r="N74" s="40">
        <f t="shared" ca="1" si="1"/>
        <v>2375.6661540827672</v>
      </c>
      <c r="O74" s="40"/>
      <c r="P74" s="20">
        <f t="shared" ca="1" si="2"/>
        <v>834.89136490250701</v>
      </c>
      <c r="Q74" s="1">
        <f t="shared" si="3"/>
        <v>1594</v>
      </c>
      <c r="R74" s="171">
        <f>IF(AND($J$2&gt;=DATEVALUE("03/04/2020"),$J$2&lt;=DATEVALUE("25/11/2020")),0,IF(Resumo!$C$19="PF",IF(Q74&lt;360,0.0082%*Q74,3%),IF(Q74&lt;360,0.0041%*Q74,1.5%)))</f>
        <v>1.4999999999999999E-2</v>
      </c>
      <c r="S74" s="172">
        <f t="shared" ca="1" si="9"/>
        <v>12.523370473537605</v>
      </c>
      <c r="W74" s="216">
        <f t="shared" ca="1" si="10"/>
        <v>2255.2854533867467</v>
      </c>
    </row>
    <row r="75" spans="2:23">
      <c r="B75" s="37">
        <f t="shared" si="4"/>
        <v>53</v>
      </c>
      <c r="C75" s="163">
        <f t="shared" si="5"/>
        <v>46371</v>
      </c>
      <c r="D75" s="38">
        <f t="shared" ca="1" si="6"/>
        <v>279.7008594203628</v>
      </c>
      <c r="E75" s="38">
        <f t="shared" ca="1" si="11"/>
        <v>1975.5845939663839</v>
      </c>
      <c r="F75" s="38">
        <f ca="1">IF(B75&lt;=$D$16,F74*(1+$D$13)^((C75-C74)/_xlfn.DAYS(EDATE(C74,1),C74)),F74-D75)+IF(B75&lt;=$D$16,F74*Resumo!$F$12,0)+IF(B75&lt;=$D$16,$D$15*Resumo!$F$13,0)+IF(B75&lt;=$D$16,25,0)-IF(AND($D$16&gt;3,B75&lt;=$D$16),J75,0)</f>
        <v>290247.44531210669</v>
      </c>
      <c r="G75" s="38">
        <f ca="1">IF(AND(B75&lt;&gt;"",K75&lt;&gt;$D$17,$D$16&gt;3),F75*Resumo!$F$12,IF(AND(B75&lt;&gt;"",K75&lt;&gt;$D$17,B75&gt;$D$16),F75*Resumo!$F$12,0))</f>
        <v>60.95196351554241</v>
      </c>
      <c r="H75" s="38">
        <f>IF(AND(B75&lt;&gt;"",K75&lt;&gt;$D$17,$D$16&gt;3,$B75&lt;=$D$16),$D$15*Resumo!$F$13,IF(AND(B75&lt;&gt;"",K75&lt;&gt;$D$17,B75&gt;$D$16),$D$15*Resumo!$F$13,0))</f>
        <v>34.369999999999997</v>
      </c>
      <c r="I75" s="38">
        <f>IF(AND(B75&lt;&gt;"",K75&lt;&gt;$D$17,$D$16&gt;3,$B75&lt;=$D$16),Resumo!$F$11,IF(AND(B75&lt;&gt;"",K75&lt;&gt;$D$17,B75&gt;$D$16),Resumo!$F$11,0))</f>
        <v>25</v>
      </c>
      <c r="J75" s="38">
        <f t="shared" ca="1" si="7"/>
        <v>2375.6074169022891</v>
      </c>
      <c r="K75" s="39" t="str">
        <f>IF(B75&lt;&gt;"",VLOOKUP(MONTH(C75),Sheet2!$F$1:$G$12,2,0),"")</f>
        <v>Dezembro</v>
      </c>
      <c r="L75" s="200">
        <f t="shared" ca="1" si="8"/>
        <v>0</v>
      </c>
      <c r="M75" s="40">
        <f t="shared" ca="1" si="0"/>
        <v>2255.2854533867467</v>
      </c>
      <c r="N75" s="40">
        <f t="shared" ca="1" si="1"/>
        <v>2375.6074169022891</v>
      </c>
      <c r="O75" s="40"/>
      <c r="P75" s="20">
        <f t="shared" ca="1" si="2"/>
        <v>834.89136490250701</v>
      </c>
      <c r="Q75" s="1">
        <f t="shared" si="3"/>
        <v>1624</v>
      </c>
      <c r="R75" s="171">
        <f>IF(AND($J$2&gt;=DATEVALUE("03/04/2020"),$J$2&lt;=DATEVALUE("25/11/2020")),0,IF(Resumo!$C$19="PF",IF(Q75&lt;360,0.0082%*Q75,3%),IF(Q75&lt;360,0.0041%*Q75,1.5%)))</f>
        <v>1.4999999999999999E-2</v>
      </c>
      <c r="S75" s="172">
        <f t="shared" ca="1" si="9"/>
        <v>12.523370473537605</v>
      </c>
      <c r="W75" s="216">
        <f t="shared" ca="1" si="10"/>
        <v>2255.2854533867467</v>
      </c>
    </row>
    <row r="76" spans="2:23">
      <c r="B76" s="41">
        <f t="shared" si="4"/>
        <v>54</v>
      </c>
      <c r="C76" s="164">
        <f t="shared" si="5"/>
        <v>46402</v>
      </c>
      <c r="D76" s="42">
        <f t="shared" ca="1" si="6"/>
        <v>281.6028252644212</v>
      </c>
      <c r="E76" s="42">
        <f t="shared" ca="1" si="11"/>
        <v>1973.6826281223255</v>
      </c>
      <c r="F76" s="42">
        <f ca="1">IF(B76&lt;=$D$16,F75*(1+$D$13)^((C76-C75)/_xlfn.DAYS(EDATE(C75,1),C75)),F75-D76)+IF(B76&lt;=$D$16,F75*Resumo!$F$12,0)+IF(B76&lt;=$D$16,$D$15*Resumo!$F$13,0)+IF(B76&lt;=$D$16,25,0)-IF(AND($D$16&gt;3,B76&lt;=$D$16),J76,0)</f>
        <v>289965.84248684224</v>
      </c>
      <c r="G76" s="42">
        <f ca="1">IF(AND(B76&lt;&gt;"",K76&lt;&gt;$D$17,$D$16&gt;3),F76*Resumo!$F$12,IF(AND(B76&lt;&gt;"",K76&lt;&gt;$D$17,B76&gt;$D$16),F76*Resumo!$F$12,0))</f>
        <v>60.892826922236871</v>
      </c>
      <c r="H76" s="42">
        <f>IF(AND(B76&lt;&gt;"",K76&lt;&gt;$D$17,$D$16&gt;3,$B76&lt;=$D$16),$D$15*Resumo!$F$13,IF(AND(B76&lt;&gt;"",K76&lt;&gt;$D$17,B76&gt;$D$16),$D$15*Resumo!$F$13,0))</f>
        <v>34.369999999999997</v>
      </c>
      <c r="I76" s="42">
        <f>IF(AND(B76&lt;&gt;"",K76&lt;&gt;$D$17,$D$16&gt;3,$B76&lt;=$D$16),Resumo!$F$11,IF(AND(B76&lt;&gt;"",K76&lt;&gt;$D$17,B76&gt;$D$16),Resumo!$F$11,0))</f>
        <v>25</v>
      </c>
      <c r="J76" s="42">
        <f t="shared" ca="1" si="7"/>
        <v>2375.5482803089835</v>
      </c>
      <c r="K76" s="39" t="str">
        <f>IF(B76&lt;&gt;"",VLOOKUP(MONTH(C76),Sheet2!$F$1:$G$12,2,0),"")</f>
        <v>Janeiro</v>
      </c>
      <c r="L76" s="200">
        <f t="shared" ca="1" si="8"/>
        <v>0</v>
      </c>
      <c r="M76" s="40">
        <f t="shared" ca="1" si="0"/>
        <v>2255.2854533867467</v>
      </c>
      <c r="N76" s="40">
        <f t="shared" ca="1" si="1"/>
        <v>2375.5482803089835</v>
      </c>
      <c r="O76" s="40"/>
      <c r="P76" s="20">
        <f t="shared" ca="1" si="2"/>
        <v>834.89136490250701</v>
      </c>
      <c r="Q76" s="1">
        <f t="shared" si="3"/>
        <v>1655</v>
      </c>
      <c r="R76" s="171">
        <f>IF(AND($J$2&gt;=DATEVALUE("03/04/2020"),$J$2&lt;=DATEVALUE("25/11/2020")),0,IF(Resumo!$C$19="PF",IF(Q76&lt;360,0.0082%*Q76,3%),IF(Q76&lt;360,0.0041%*Q76,1.5%)))</f>
        <v>1.4999999999999999E-2</v>
      </c>
      <c r="S76" s="172">
        <f t="shared" ca="1" si="9"/>
        <v>12.523370473537605</v>
      </c>
      <c r="W76" s="216">
        <f t="shared" ca="1" si="10"/>
        <v>2255.2854533867467</v>
      </c>
    </row>
    <row r="77" spans="2:23">
      <c r="B77" s="37">
        <f t="shared" si="4"/>
        <v>55</v>
      </c>
      <c r="C77" s="163">
        <f t="shared" si="5"/>
        <v>46433</v>
      </c>
      <c r="D77" s="38">
        <f t="shared" ca="1" si="6"/>
        <v>283.51772447621943</v>
      </c>
      <c r="E77" s="38">
        <f t="shared" ca="1" si="11"/>
        <v>1971.7677289105272</v>
      </c>
      <c r="F77" s="38">
        <f ca="1">IF(B77&lt;=$D$16,F76*(1+$D$13)^((C77-C76)/_xlfn.DAYS(EDATE(C76,1),C76)),F76-D77)+IF(B77&lt;=$D$16,F76*Resumo!$F$12,0)+IF(B77&lt;=$D$16,$D$15*Resumo!$F$13,0)+IF(B77&lt;=$D$16,25,0)-IF(AND($D$16&gt;3,B77&lt;=$D$16),J77,0)</f>
        <v>289682.32476236601</v>
      </c>
      <c r="G77" s="38">
        <f ca="1">IF(AND(B77&lt;&gt;"",K77&lt;&gt;$D$17,$D$16&gt;3),F77*Resumo!$F$12,IF(AND(B77&lt;&gt;"",K77&lt;&gt;$D$17,B77&gt;$D$16),F77*Resumo!$F$12,0))</f>
        <v>60.833288200096867</v>
      </c>
      <c r="H77" s="38">
        <f>IF(AND(B77&lt;&gt;"",K77&lt;&gt;$D$17,$D$16&gt;3,$B77&lt;=$D$16),$D$15*Resumo!$F$13,IF(AND(B77&lt;&gt;"",K77&lt;&gt;$D$17,B77&gt;$D$16),$D$15*Resumo!$F$13,0))</f>
        <v>34.369999999999997</v>
      </c>
      <c r="I77" s="38">
        <f>IF(AND(B77&lt;&gt;"",K77&lt;&gt;$D$17,$D$16&gt;3,$B77&lt;=$D$16),Resumo!$F$11,IF(AND(B77&lt;&gt;"",K77&lt;&gt;$D$17,B77&gt;$D$16),Resumo!$F$11,0))</f>
        <v>25</v>
      </c>
      <c r="J77" s="38">
        <f t="shared" ca="1" si="7"/>
        <v>2375.4887415868434</v>
      </c>
      <c r="K77" s="39" t="str">
        <f>IF(B77&lt;&gt;"",VLOOKUP(MONTH(C77),Sheet2!$F$1:$G$12,2,0),"")</f>
        <v>Fevereiro</v>
      </c>
      <c r="L77" s="200">
        <f t="shared" ca="1" si="8"/>
        <v>0</v>
      </c>
      <c r="M77" s="40">
        <f t="shared" ca="1" si="0"/>
        <v>2255.2854533867467</v>
      </c>
      <c r="N77" s="40">
        <f t="shared" ca="1" si="1"/>
        <v>2375.4887415868434</v>
      </c>
      <c r="O77" s="40"/>
      <c r="P77" s="20">
        <f t="shared" ca="1" si="2"/>
        <v>834.89136490250701</v>
      </c>
      <c r="Q77" s="1">
        <f t="shared" si="3"/>
        <v>1686</v>
      </c>
      <c r="R77" s="171">
        <f>IF(AND($J$2&gt;=DATEVALUE("03/04/2020"),$J$2&lt;=DATEVALUE("25/11/2020")),0,IF(Resumo!$C$19="PF",IF(Q77&lt;360,0.0082%*Q77,3%),IF(Q77&lt;360,0.0041%*Q77,1.5%)))</f>
        <v>1.4999999999999999E-2</v>
      </c>
      <c r="S77" s="172">
        <f t="shared" ca="1" si="9"/>
        <v>12.523370473537605</v>
      </c>
      <c r="W77" s="216">
        <f t="shared" ca="1" si="10"/>
        <v>2255.2854533867467</v>
      </c>
    </row>
    <row r="78" spans="2:23">
      <c r="B78" s="41">
        <f t="shared" si="4"/>
        <v>56</v>
      </c>
      <c r="C78" s="164">
        <f t="shared" si="5"/>
        <v>46461</v>
      </c>
      <c r="D78" s="42">
        <f t="shared" ca="1" si="6"/>
        <v>285.44564500265778</v>
      </c>
      <c r="E78" s="42">
        <f t="shared" ca="1" si="11"/>
        <v>1969.8398083840889</v>
      </c>
      <c r="F78" s="42">
        <f ca="1">IF(B78&lt;=$D$16,F77*(1+$D$13)^((C78-C77)/_xlfn.DAYS(EDATE(C77,1),C77)),F77-D78)+IF(B78&lt;=$D$16,F77*Resumo!$F$12,0)+IF(B78&lt;=$D$16,$D$15*Resumo!$F$13,0)+IF(B78&lt;=$D$16,25,0)-IF(AND($D$16&gt;3,B78&lt;=$D$16),J78,0)</f>
        <v>289396.87911736337</v>
      </c>
      <c r="G78" s="42">
        <f ca="1">IF(AND(B78&lt;&gt;"",K78&lt;&gt;$D$17,$D$16&gt;3),F78*Resumo!$F$12,IF(AND(B78&lt;&gt;"",K78&lt;&gt;$D$17,B78&gt;$D$16),F78*Resumo!$F$12,0))</f>
        <v>60.773344614646312</v>
      </c>
      <c r="H78" s="42">
        <f>IF(AND(B78&lt;&gt;"",K78&lt;&gt;$D$17,$D$16&gt;3,$B78&lt;=$D$16),$D$15*Resumo!$F$13,IF(AND(B78&lt;&gt;"",K78&lt;&gt;$D$17,B78&gt;$D$16),$D$15*Resumo!$F$13,0))</f>
        <v>34.369999999999997</v>
      </c>
      <c r="I78" s="42">
        <f>IF(AND(B78&lt;&gt;"",K78&lt;&gt;$D$17,$D$16&gt;3,$B78&lt;=$D$16),Resumo!$F$11,IF(AND(B78&lt;&gt;"",K78&lt;&gt;$D$17,B78&gt;$D$16),Resumo!$F$11,0))</f>
        <v>25</v>
      </c>
      <c r="J78" s="42">
        <f t="shared" ca="1" si="7"/>
        <v>2375.4287980013928</v>
      </c>
      <c r="K78" s="39" t="str">
        <f>IF(B78&lt;&gt;"",VLOOKUP(MONTH(C78),Sheet2!$F$1:$G$12,2,0),"")</f>
        <v>Março</v>
      </c>
      <c r="L78" s="200">
        <f t="shared" ca="1" si="8"/>
        <v>0</v>
      </c>
      <c r="M78" s="40">
        <f t="shared" ca="1" si="0"/>
        <v>2255.2854533867467</v>
      </c>
      <c r="N78" s="40">
        <f t="shared" ca="1" si="1"/>
        <v>2375.4287980013928</v>
      </c>
      <c r="O78" s="40"/>
      <c r="P78" s="20">
        <f t="shared" ca="1" si="2"/>
        <v>834.89136490250701</v>
      </c>
      <c r="Q78" s="1">
        <f t="shared" si="3"/>
        <v>1714</v>
      </c>
      <c r="R78" s="171">
        <f>IF(AND($J$2&gt;=DATEVALUE("03/04/2020"),$J$2&lt;=DATEVALUE("25/11/2020")),0,IF(Resumo!$C$19="PF",IF(Q78&lt;360,0.0082%*Q78,3%),IF(Q78&lt;360,0.0041%*Q78,1.5%)))</f>
        <v>1.4999999999999999E-2</v>
      </c>
      <c r="S78" s="172">
        <f t="shared" ca="1" si="9"/>
        <v>12.523370473537605</v>
      </c>
      <c r="W78" s="216">
        <f t="shared" ca="1" si="10"/>
        <v>2255.2854533867467</v>
      </c>
    </row>
    <row r="79" spans="2:23">
      <c r="B79" s="37">
        <f t="shared" si="4"/>
        <v>57</v>
      </c>
      <c r="C79" s="163">
        <f t="shared" si="5"/>
        <v>46492</v>
      </c>
      <c r="D79" s="38">
        <f t="shared" ca="1" si="6"/>
        <v>287.38667538867594</v>
      </c>
      <c r="E79" s="38">
        <f t="shared" ca="1" si="11"/>
        <v>1967.8987779980707</v>
      </c>
      <c r="F79" s="38">
        <f ca="1">IF(B79&lt;=$D$16,F78*(1+$D$13)^((C79-C78)/_xlfn.DAYS(EDATE(C78,1),C78)),F78-D79)+IF(B79&lt;=$D$16,F78*Resumo!$F$12,0)+IF(B79&lt;=$D$16,$D$15*Resumo!$F$13,0)+IF(B79&lt;=$D$16,25,0)-IF(AND($D$16&gt;3,B79&lt;=$D$16),J79,0)</f>
        <v>289109.4924419747</v>
      </c>
      <c r="G79" s="38">
        <f ca="1">IF(AND(B79&lt;&gt;"",K79&lt;&gt;$D$17,$D$16&gt;3),F79*Resumo!$F$12,IF(AND(B79&lt;&gt;"",K79&lt;&gt;$D$17,B79&gt;$D$16),F79*Resumo!$F$12,0))</f>
        <v>60.71299341281469</v>
      </c>
      <c r="H79" s="38">
        <f>IF(AND(B79&lt;&gt;"",K79&lt;&gt;$D$17,$D$16&gt;3,$B79&lt;=$D$16),$D$15*Resumo!$F$13,IF(AND(B79&lt;&gt;"",K79&lt;&gt;$D$17,B79&gt;$D$16),$D$15*Resumo!$F$13,0))</f>
        <v>34.369999999999997</v>
      </c>
      <c r="I79" s="38">
        <f>IF(AND(B79&lt;&gt;"",K79&lt;&gt;$D$17,$D$16&gt;3,$B79&lt;=$D$16),Resumo!$F$11,IF(AND(B79&lt;&gt;"",K79&lt;&gt;$D$17,B79&gt;$D$16),Resumo!$F$11,0))</f>
        <v>25</v>
      </c>
      <c r="J79" s="38">
        <f t="shared" ca="1" si="7"/>
        <v>2375.3684467995613</v>
      </c>
      <c r="K79" s="39" t="str">
        <f>IF(B79&lt;&gt;"",VLOOKUP(MONTH(C79),Sheet2!$F$1:$G$12,2,0),"")</f>
        <v>Abril</v>
      </c>
      <c r="L79" s="200">
        <f t="shared" ca="1" si="8"/>
        <v>0</v>
      </c>
      <c r="M79" s="40">
        <f t="shared" ca="1" si="0"/>
        <v>2255.2854533867467</v>
      </c>
      <c r="N79" s="40">
        <f t="shared" ca="1" si="1"/>
        <v>2375.3684467995613</v>
      </c>
      <c r="O79" s="40"/>
      <c r="P79" s="20">
        <f t="shared" ca="1" si="2"/>
        <v>834.89136490250701</v>
      </c>
      <c r="Q79" s="1">
        <f t="shared" si="3"/>
        <v>1745</v>
      </c>
      <c r="R79" s="171">
        <f>IF(AND($J$2&gt;=DATEVALUE("03/04/2020"),$J$2&lt;=DATEVALUE("25/11/2020")),0,IF(Resumo!$C$19="PF",IF(Q79&lt;360,0.0082%*Q79,3%),IF(Q79&lt;360,0.0041%*Q79,1.5%)))</f>
        <v>1.4999999999999999E-2</v>
      </c>
      <c r="S79" s="172">
        <f t="shared" ca="1" si="9"/>
        <v>12.523370473537605</v>
      </c>
      <c r="W79" s="216">
        <f t="shared" ca="1" si="10"/>
        <v>2255.2854533867467</v>
      </c>
    </row>
    <row r="80" spans="2:23">
      <c r="B80" s="41">
        <f t="shared" si="4"/>
        <v>58</v>
      </c>
      <c r="C80" s="164">
        <f t="shared" si="5"/>
        <v>46522</v>
      </c>
      <c r="D80" s="42">
        <f t="shared" ca="1" si="6"/>
        <v>289.34090478131884</v>
      </c>
      <c r="E80" s="42">
        <f t="shared" ca="1" si="11"/>
        <v>1965.9445486054278</v>
      </c>
      <c r="F80" s="42">
        <f ca="1">IF(B80&lt;=$D$16,F79*(1+$D$13)^((C80-C79)/_xlfn.DAYS(EDATE(C79,1),C79)),F79-D80)+IF(B80&lt;=$D$16,F79*Resumo!$F$12,0)+IF(B80&lt;=$D$16,$D$15*Resumo!$F$13,0)+IF(B80&lt;=$D$16,25,0)-IF(AND($D$16&gt;3,B80&lt;=$D$16),J80,0)</f>
        <v>288820.15153719339</v>
      </c>
      <c r="G80" s="42">
        <f ca="1">IF(AND(B80&lt;&gt;"",K80&lt;&gt;$D$17,$D$16&gt;3),F80*Resumo!$F$12,IF(AND(B80&lt;&gt;"",K80&lt;&gt;$D$17,B80&gt;$D$16),F80*Resumo!$F$12,0))</f>
        <v>60.652231822810613</v>
      </c>
      <c r="H80" s="42">
        <f>IF(AND(B80&lt;&gt;"",K80&lt;&gt;$D$17,$D$16&gt;3,$B80&lt;=$D$16),$D$15*Resumo!$F$13,IF(AND(B80&lt;&gt;"",K80&lt;&gt;$D$17,B80&gt;$D$16),$D$15*Resumo!$F$13,0))</f>
        <v>34.369999999999997</v>
      </c>
      <c r="I80" s="42">
        <f>IF(AND(B80&lt;&gt;"",K80&lt;&gt;$D$17,$D$16&gt;3,$B80&lt;=$D$16),Resumo!$F$11,IF(AND(B80&lt;&gt;"",K80&lt;&gt;$D$17,B80&gt;$D$16),Resumo!$F$11,0))</f>
        <v>25</v>
      </c>
      <c r="J80" s="42">
        <f t="shared" ca="1" si="7"/>
        <v>2375.3076852095573</v>
      </c>
      <c r="K80" s="39" t="str">
        <f>IF(B80&lt;&gt;"",VLOOKUP(MONTH(C80),Sheet2!$F$1:$G$12,2,0),"")</f>
        <v>Maio</v>
      </c>
      <c r="L80" s="200">
        <f t="shared" ca="1" si="8"/>
        <v>0</v>
      </c>
      <c r="M80" s="40">
        <f t="shared" ca="1" si="0"/>
        <v>2255.2854533867467</v>
      </c>
      <c r="N80" s="40">
        <f t="shared" ca="1" si="1"/>
        <v>2375.3076852095573</v>
      </c>
      <c r="O80" s="40"/>
      <c r="P80" s="20">
        <f t="shared" ca="1" si="2"/>
        <v>834.89136490250701</v>
      </c>
      <c r="Q80" s="1">
        <f t="shared" si="3"/>
        <v>1775</v>
      </c>
      <c r="R80" s="171">
        <f>IF(AND($J$2&gt;=DATEVALUE("03/04/2020"),$J$2&lt;=DATEVALUE("25/11/2020")),0,IF(Resumo!$C$19="PF",IF(Q80&lt;360,0.0082%*Q80,3%),IF(Q80&lt;360,0.0041%*Q80,1.5%)))</f>
        <v>1.4999999999999999E-2</v>
      </c>
      <c r="S80" s="172">
        <f t="shared" ca="1" si="9"/>
        <v>12.523370473537605</v>
      </c>
      <c r="W80" s="216">
        <f t="shared" ca="1" si="10"/>
        <v>2255.2854533867467</v>
      </c>
    </row>
    <row r="81" spans="2:23">
      <c r="B81" s="37">
        <f t="shared" si="4"/>
        <v>59</v>
      </c>
      <c r="C81" s="163">
        <f t="shared" si="5"/>
        <v>46553</v>
      </c>
      <c r="D81" s="38">
        <f t="shared" ca="1" si="6"/>
        <v>291.30842293383171</v>
      </c>
      <c r="E81" s="38">
        <f t="shared" ca="1" si="11"/>
        <v>1963.977030452915</v>
      </c>
      <c r="F81" s="38">
        <f ca="1">IF(B81&lt;=$D$16,F80*(1+$D$13)^((C81-C80)/_xlfn.DAYS(EDATE(C80,1),C80)),F80-D81)+IF(B81&lt;=$D$16,F80*Resumo!$F$12,0)+IF(B81&lt;=$D$16,$D$15*Resumo!$F$13,0)+IF(B81&lt;=$D$16,25,0)-IF(AND($D$16&gt;3,B81&lt;=$D$16),J81,0)</f>
        <v>288528.84311425954</v>
      </c>
      <c r="G81" s="38">
        <f ca="1">IF(AND(B81&lt;&gt;"",K81&lt;&gt;$D$17,$D$16&gt;3),F81*Resumo!$F$12,IF(AND(B81&lt;&gt;"",K81&lt;&gt;$D$17,B81&gt;$D$16),F81*Resumo!$F$12,0))</f>
        <v>60.591057053994504</v>
      </c>
      <c r="H81" s="38">
        <f>IF(AND(B81&lt;&gt;"",K81&lt;&gt;$D$17,$D$16&gt;3,$B81&lt;=$D$16),$D$15*Resumo!$F$13,IF(AND(B81&lt;&gt;"",K81&lt;&gt;$D$17,B81&gt;$D$16),$D$15*Resumo!$F$13,0))</f>
        <v>34.369999999999997</v>
      </c>
      <c r="I81" s="38">
        <f>IF(AND(B81&lt;&gt;"",K81&lt;&gt;$D$17,$D$16&gt;3,$B81&lt;=$D$16),Resumo!$F$11,IF(AND(B81&lt;&gt;"",K81&lt;&gt;$D$17,B81&gt;$D$16),Resumo!$F$11,0))</f>
        <v>25</v>
      </c>
      <c r="J81" s="38">
        <f t="shared" ca="1" si="7"/>
        <v>2375.2465104407411</v>
      </c>
      <c r="K81" s="39" t="str">
        <f>IF(B81&lt;&gt;"",VLOOKUP(MONTH(C81),Sheet2!$F$1:$G$12,2,0),"")</f>
        <v>Junho</v>
      </c>
      <c r="L81" s="200">
        <f t="shared" ca="1" si="8"/>
        <v>0</v>
      </c>
      <c r="M81" s="40">
        <f t="shared" ca="1" si="0"/>
        <v>2255.2854533867467</v>
      </c>
      <c r="N81" s="40">
        <f t="shared" ca="1" si="1"/>
        <v>2375.2465104407411</v>
      </c>
      <c r="O81" s="40"/>
      <c r="P81" s="20">
        <f t="shared" ca="1" si="2"/>
        <v>834.89136490250701</v>
      </c>
      <c r="Q81" s="1">
        <f t="shared" si="3"/>
        <v>1806</v>
      </c>
      <c r="R81" s="171">
        <f>IF(AND($J$2&gt;=DATEVALUE("03/04/2020"),$J$2&lt;=DATEVALUE("25/11/2020")),0,IF(Resumo!$C$19="PF",IF(Q81&lt;360,0.0082%*Q81,3%),IF(Q81&lt;360,0.0041%*Q81,1.5%)))</f>
        <v>1.4999999999999999E-2</v>
      </c>
      <c r="S81" s="172">
        <f t="shared" ca="1" si="9"/>
        <v>12.523370473537605</v>
      </c>
      <c r="W81" s="216">
        <f t="shared" ca="1" si="10"/>
        <v>2255.2854533867467</v>
      </c>
    </row>
    <row r="82" spans="2:23">
      <c r="B82" s="41">
        <f t="shared" si="4"/>
        <v>60</v>
      </c>
      <c r="C82" s="164">
        <f t="shared" si="5"/>
        <v>46583</v>
      </c>
      <c r="D82" s="42">
        <f t="shared" ca="1" si="6"/>
        <v>293.28932020978186</v>
      </c>
      <c r="E82" s="42">
        <f t="shared" ca="1" si="11"/>
        <v>1961.9961331769648</v>
      </c>
      <c r="F82" s="42">
        <f ca="1">IF(B82&lt;=$D$16,F81*(1+$D$13)^((C82-C81)/_xlfn.DAYS(EDATE(C81,1),C81)),F81-D82)+IF(B82&lt;=$D$16,F81*Resumo!$F$12,0)+IF(B82&lt;=$D$16,$D$15*Resumo!$F$13,0)+IF(B82&lt;=$D$16,25,0)-IF(AND($D$16&gt;3,B82&lt;=$D$16),J82,0)</f>
        <v>288235.55379404977</v>
      </c>
      <c r="G82" s="42">
        <f ca="1">IF(AND(B82&lt;&gt;"",K82&lt;&gt;$D$17,$D$16&gt;3),F82*Resumo!$F$12,IF(AND(B82&lt;&gt;"",K82&lt;&gt;$D$17,B82&gt;$D$16),F82*Resumo!$F$12,0))</f>
        <v>60.529466296750456</v>
      </c>
      <c r="H82" s="42">
        <f>IF(AND(B82&lt;&gt;"",K82&lt;&gt;$D$17,$D$16&gt;3,$B82&lt;=$D$16),$D$15*Resumo!$F$13,IF(AND(B82&lt;&gt;"",K82&lt;&gt;$D$17,B82&gt;$D$16),$D$15*Resumo!$F$13,0))</f>
        <v>34.369999999999997</v>
      </c>
      <c r="I82" s="42">
        <f>IF(AND(B82&lt;&gt;"",K82&lt;&gt;$D$17,$D$16&gt;3,$B82&lt;=$D$16),Resumo!$F$11,IF(AND(B82&lt;&gt;"",K82&lt;&gt;$D$17,B82&gt;$D$16),Resumo!$F$11,0))</f>
        <v>25</v>
      </c>
      <c r="J82" s="42">
        <f t="shared" ca="1" si="7"/>
        <v>2375.1849196834969</v>
      </c>
      <c r="K82" s="39" t="str">
        <f>IF(B82&lt;&gt;"",VLOOKUP(MONTH(C82),Sheet2!$F$1:$G$12,2,0),"")</f>
        <v>Julho</v>
      </c>
      <c r="L82" s="200">
        <f t="shared" ca="1" si="8"/>
        <v>0</v>
      </c>
      <c r="M82" s="40">
        <f t="shared" ca="1" si="0"/>
        <v>2255.2854533867467</v>
      </c>
      <c r="N82" s="40">
        <f t="shared" ca="1" si="1"/>
        <v>2375.1849196834969</v>
      </c>
      <c r="O82" s="40"/>
      <c r="P82" s="20">
        <f t="shared" ca="1" si="2"/>
        <v>834.89136490250701</v>
      </c>
      <c r="Q82" s="1">
        <f t="shared" si="3"/>
        <v>1836</v>
      </c>
      <c r="R82" s="171">
        <f>IF(AND($J$2&gt;=DATEVALUE("03/04/2020"),$J$2&lt;=DATEVALUE("25/11/2020")),0,IF(Resumo!$C$19="PF",IF(Q82&lt;360,0.0082%*Q82,3%),IF(Q82&lt;360,0.0041%*Q82,1.5%)))</f>
        <v>1.4999999999999999E-2</v>
      </c>
      <c r="S82" s="172">
        <f t="shared" ca="1" si="9"/>
        <v>12.523370473537605</v>
      </c>
      <c r="W82" s="216">
        <f t="shared" ca="1" si="10"/>
        <v>2255.2854533867467</v>
      </c>
    </row>
    <row r="83" spans="2:23">
      <c r="B83" s="37">
        <f t="shared" si="4"/>
        <v>61</v>
      </c>
      <c r="C83" s="163">
        <f t="shared" si="5"/>
        <v>46614</v>
      </c>
      <c r="D83" s="38">
        <f t="shared" ca="1" si="6"/>
        <v>295.28368758720831</v>
      </c>
      <c r="E83" s="38">
        <f t="shared" ca="1" si="11"/>
        <v>1960.0017657995384</v>
      </c>
      <c r="F83" s="38">
        <f ca="1">IF(B83&lt;=$D$16,F82*(1+$D$13)^((C83-C82)/_xlfn.DAYS(EDATE(C82,1),C82)),F82-D83)+IF(B83&lt;=$D$16,F82*Resumo!$F$12,0)+IF(B83&lt;=$D$16,$D$15*Resumo!$F$13,0)+IF(B83&lt;=$D$16,25,0)-IF(AND($D$16&gt;3,B83&lt;=$D$16),J83,0)</f>
        <v>287940.27010646259</v>
      </c>
      <c r="G83" s="38">
        <f ca="1">IF(AND(B83&lt;&gt;"",K83&lt;&gt;$D$17,$D$16&gt;3),F83*Resumo!$F$12,IF(AND(B83&lt;&gt;"",K83&lt;&gt;$D$17,B83&gt;$D$16),F83*Resumo!$F$12,0))</f>
        <v>60.467456722357149</v>
      </c>
      <c r="H83" s="38">
        <f>IF(AND(B83&lt;&gt;"",K83&lt;&gt;$D$17,$D$16&gt;3,$B83&lt;=$D$16),$D$15*Resumo!$F$13,IF(AND(B83&lt;&gt;"",K83&lt;&gt;$D$17,B83&gt;$D$16),$D$15*Resumo!$F$13,0))</f>
        <v>34.369999999999997</v>
      </c>
      <c r="I83" s="38">
        <f>IF(AND(B83&lt;&gt;"",K83&lt;&gt;$D$17,$D$16&gt;3,$B83&lt;=$D$16),Resumo!$F$11,IF(AND(B83&lt;&gt;"",K83&lt;&gt;$D$17,B83&gt;$D$16),Resumo!$F$11,0))</f>
        <v>25</v>
      </c>
      <c r="J83" s="38">
        <f t="shared" ca="1" si="7"/>
        <v>2375.1229101091035</v>
      </c>
      <c r="K83" s="39" t="str">
        <f>IF(B83&lt;&gt;"",VLOOKUP(MONTH(C83),Sheet2!$F$1:$G$12,2,0),"")</f>
        <v>Agosto</v>
      </c>
      <c r="L83" s="200">
        <f t="shared" ca="1" si="8"/>
        <v>0</v>
      </c>
      <c r="M83" s="40">
        <f t="shared" ca="1" si="0"/>
        <v>2255.2854533867467</v>
      </c>
      <c r="N83" s="40">
        <f t="shared" ca="1" si="1"/>
        <v>2375.1229101091035</v>
      </c>
      <c r="O83" s="40"/>
      <c r="P83" s="20">
        <f t="shared" ca="1" si="2"/>
        <v>834.89136490250701</v>
      </c>
      <c r="Q83" s="1">
        <f t="shared" si="3"/>
        <v>1867</v>
      </c>
      <c r="R83" s="171">
        <f>IF(AND($J$2&gt;=DATEVALUE("03/04/2020"),$J$2&lt;=DATEVALUE("25/11/2020")),0,IF(Resumo!$C$19="PF",IF(Q83&lt;360,0.0082%*Q83,3%),IF(Q83&lt;360,0.0041%*Q83,1.5%)))</f>
        <v>1.4999999999999999E-2</v>
      </c>
      <c r="S83" s="172">
        <f t="shared" ca="1" si="9"/>
        <v>12.523370473537605</v>
      </c>
      <c r="W83" s="216">
        <f t="shared" ca="1" si="10"/>
        <v>2255.2854533867467</v>
      </c>
    </row>
    <row r="84" spans="2:23">
      <c r="B84" s="41">
        <f t="shared" si="4"/>
        <v>62</v>
      </c>
      <c r="C84" s="164">
        <f t="shared" si="5"/>
        <v>46645</v>
      </c>
      <c r="D84" s="42">
        <f t="shared" ca="1" si="6"/>
        <v>297.29161666280129</v>
      </c>
      <c r="E84" s="42">
        <f t="shared" ca="1" si="11"/>
        <v>1957.9938367239454</v>
      </c>
      <c r="F84" s="42">
        <f ca="1">IF(B84&lt;=$D$16,F83*(1+$D$13)^((C84-C83)/_xlfn.DAYS(EDATE(C83,1),C83)),F83-D84)+IF(B84&lt;=$D$16,F83*Resumo!$F$12,0)+IF(B84&lt;=$D$16,$D$15*Resumo!$F$13,0)+IF(B84&lt;=$D$16,25,0)-IF(AND($D$16&gt;3,B84&lt;=$D$16),J84,0)</f>
        <v>287642.97848979977</v>
      </c>
      <c r="G84" s="42">
        <f ca="1">IF(AND(B84&lt;&gt;"",K84&lt;&gt;$D$17,$D$16&gt;3),F84*Resumo!$F$12,IF(AND(B84&lt;&gt;"",K84&lt;&gt;$D$17,B84&gt;$D$16),F84*Resumo!$F$12,0))</f>
        <v>60.405025482857958</v>
      </c>
      <c r="H84" s="42">
        <f>IF(AND(B84&lt;&gt;"",K84&lt;&gt;$D$17,$D$16&gt;3,$B84&lt;=$D$16),$D$15*Resumo!$F$13,IF(AND(B84&lt;&gt;"",K84&lt;&gt;$D$17,B84&gt;$D$16),$D$15*Resumo!$F$13,0))</f>
        <v>34.369999999999997</v>
      </c>
      <c r="I84" s="42">
        <f>IF(AND(B84&lt;&gt;"",K84&lt;&gt;$D$17,$D$16&gt;3,$B84&lt;=$D$16),Resumo!$F$11,IF(AND(B84&lt;&gt;"",K84&lt;&gt;$D$17,B84&gt;$D$16),Resumo!$F$11,0))</f>
        <v>25</v>
      </c>
      <c r="J84" s="42">
        <f t="shared" ca="1" si="7"/>
        <v>2375.0604788696046</v>
      </c>
      <c r="K84" s="39" t="str">
        <f>IF(B84&lt;&gt;"",VLOOKUP(MONTH(C84),Sheet2!$F$1:$G$12,2,0),"")</f>
        <v>Setembro</v>
      </c>
      <c r="L84" s="200">
        <f t="shared" ca="1" si="8"/>
        <v>0</v>
      </c>
      <c r="M84" s="40">
        <f t="shared" ca="1" si="0"/>
        <v>2255.2854533867467</v>
      </c>
      <c r="N84" s="40">
        <f t="shared" ca="1" si="1"/>
        <v>2375.0604788696046</v>
      </c>
      <c r="O84" s="40"/>
      <c r="P84" s="20">
        <f t="shared" ca="1" si="2"/>
        <v>834.89136490250701</v>
      </c>
      <c r="Q84" s="1">
        <f t="shared" si="3"/>
        <v>1898</v>
      </c>
      <c r="R84" s="171">
        <f>IF(AND($J$2&gt;=DATEVALUE("03/04/2020"),$J$2&lt;=DATEVALUE("25/11/2020")),0,IF(Resumo!$C$19="PF",IF(Q84&lt;360,0.0082%*Q84,3%),IF(Q84&lt;360,0.0041%*Q84,1.5%)))</f>
        <v>1.4999999999999999E-2</v>
      </c>
      <c r="S84" s="172">
        <f t="shared" ca="1" si="9"/>
        <v>12.523370473537605</v>
      </c>
      <c r="W84" s="216">
        <f t="shared" ca="1" si="10"/>
        <v>2255.2854533867467</v>
      </c>
    </row>
    <row r="85" spans="2:23">
      <c r="B85" s="37">
        <f t="shared" si="4"/>
        <v>63</v>
      </c>
      <c r="C85" s="163">
        <f t="shared" si="5"/>
        <v>46675</v>
      </c>
      <c r="D85" s="38">
        <f t="shared" ca="1" si="6"/>
        <v>299.31319965610828</v>
      </c>
      <c r="E85" s="38">
        <f t="shared" ca="1" si="11"/>
        <v>1955.9722537306384</v>
      </c>
      <c r="F85" s="38">
        <f ca="1">IF(B85&lt;=$D$16,F84*(1+$D$13)^((C85-C84)/_xlfn.DAYS(EDATE(C84,1),C84)),F84-D85)+IF(B85&lt;=$D$16,F84*Resumo!$F$12,0)+IF(B85&lt;=$D$16,$D$15*Resumo!$F$13,0)+IF(B85&lt;=$D$16,25,0)-IF(AND($D$16&gt;3,B85&lt;=$D$16),J85,0)</f>
        <v>287343.66529014369</v>
      </c>
      <c r="G85" s="38">
        <f ca="1">IF(AND(B85&lt;&gt;"",K85&lt;&gt;$D$17,$D$16&gt;3),F85*Resumo!$F$12,IF(AND(B85&lt;&gt;"",K85&lt;&gt;$D$17,B85&gt;$D$16),F85*Resumo!$F$12,0))</f>
        <v>60.342169710930179</v>
      </c>
      <c r="H85" s="38">
        <f>IF(AND(B85&lt;&gt;"",K85&lt;&gt;$D$17,$D$16&gt;3,$B85&lt;=$D$16),$D$15*Resumo!$F$13,IF(AND(B85&lt;&gt;"",K85&lt;&gt;$D$17,B85&gt;$D$16),$D$15*Resumo!$F$13,0))</f>
        <v>34.369999999999997</v>
      </c>
      <c r="I85" s="38">
        <f>IF(AND(B85&lt;&gt;"",K85&lt;&gt;$D$17,$D$16&gt;3,$B85&lt;=$D$16),Resumo!$F$11,IF(AND(B85&lt;&gt;"",K85&lt;&gt;$D$17,B85&gt;$D$16),Resumo!$F$11,0))</f>
        <v>25</v>
      </c>
      <c r="J85" s="38">
        <f t="shared" ca="1" si="7"/>
        <v>2374.9976230976768</v>
      </c>
      <c r="K85" s="39" t="str">
        <f>IF(B85&lt;&gt;"",VLOOKUP(MONTH(C85),Sheet2!$F$1:$G$12,2,0),"")</f>
        <v>Outubro</v>
      </c>
      <c r="L85" s="200">
        <f t="shared" ca="1" si="8"/>
        <v>0</v>
      </c>
      <c r="M85" s="40">
        <f t="shared" ca="1" si="0"/>
        <v>2255.2854533867467</v>
      </c>
      <c r="N85" s="40">
        <f t="shared" ca="1" si="1"/>
        <v>2374.9976230976768</v>
      </c>
      <c r="O85" s="40"/>
      <c r="P85" s="20">
        <f t="shared" ca="1" si="2"/>
        <v>834.89136490250701</v>
      </c>
      <c r="Q85" s="1">
        <f t="shared" si="3"/>
        <v>1928</v>
      </c>
      <c r="R85" s="171">
        <f>IF(AND($J$2&gt;=DATEVALUE("03/04/2020"),$J$2&lt;=DATEVALUE("25/11/2020")),0,IF(Resumo!$C$19="PF",IF(Q85&lt;360,0.0082%*Q85,3%),IF(Q85&lt;360,0.0041%*Q85,1.5%)))</f>
        <v>1.4999999999999999E-2</v>
      </c>
      <c r="S85" s="172">
        <f t="shared" ca="1" si="9"/>
        <v>12.523370473537605</v>
      </c>
      <c r="W85" s="216">
        <f t="shared" ca="1" si="10"/>
        <v>2255.2854533867467</v>
      </c>
    </row>
    <row r="86" spans="2:23">
      <c r="B86" s="41">
        <f t="shared" si="4"/>
        <v>64</v>
      </c>
      <c r="C86" s="164">
        <f t="shared" si="5"/>
        <v>46706</v>
      </c>
      <c r="D86" s="42">
        <f t="shared" ca="1" si="6"/>
        <v>301.34852941376971</v>
      </c>
      <c r="E86" s="42">
        <f t="shared" ca="1" si="11"/>
        <v>1953.936923972977</v>
      </c>
      <c r="F86" s="42">
        <f ca="1">IF(B86&lt;=$D$16,F85*(1+$D$13)^((C86-C85)/_xlfn.DAYS(EDATE(C85,1),C85)),F85-D86)+IF(B86&lt;=$D$16,F85*Resumo!$F$12,0)+IF(B86&lt;=$D$16,$D$15*Resumo!$F$13,0)+IF(B86&lt;=$D$16,25,0)-IF(AND($D$16&gt;3,B86&lt;=$D$16),J86,0)</f>
        <v>287042.31676072994</v>
      </c>
      <c r="G86" s="42">
        <f ca="1">IF(AND(B86&lt;&gt;"",K86&lt;&gt;$D$17,$D$16&gt;3),F86*Resumo!$F$12,IF(AND(B86&lt;&gt;"",K86&lt;&gt;$D$17,B86&gt;$D$16),F86*Resumo!$F$12,0))</f>
        <v>60.278886519753293</v>
      </c>
      <c r="H86" s="42">
        <f>IF(AND(B86&lt;&gt;"",K86&lt;&gt;$D$17,$D$16&gt;3,$B86&lt;=$D$16),$D$15*Resumo!$F$13,IF(AND(B86&lt;&gt;"",K86&lt;&gt;$D$17,B86&gt;$D$16),$D$15*Resumo!$F$13,0))</f>
        <v>34.369999999999997</v>
      </c>
      <c r="I86" s="42">
        <f>IF(AND(B86&lt;&gt;"",K86&lt;&gt;$D$17,$D$16&gt;3,$B86&lt;=$D$16),Resumo!$F$11,IF(AND(B86&lt;&gt;"",K86&lt;&gt;$D$17,B86&gt;$D$16),Resumo!$F$11,0))</f>
        <v>25</v>
      </c>
      <c r="J86" s="42">
        <f t="shared" ca="1" si="7"/>
        <v>2374.9343399064996</v>
      </c>
      <c r="K86" s="39" t="str">
        <f>IF(B86&lt;&gt;"",VLOOKUP(MONTH(C86),Sheet2!$F$1:$G$12,2,0),"")</f>
        <v>Novembro</v>
      </c>
      <c r="L86" s="200">
        <f t="shared" ca="1" si="8"/>
        <v>0</v>
      </c>
      <c r="M86" s="40">
        <f t="shared" ca="1" si="0"/>
        <v>2255.2854533867467</v>
      </c>
      <c r="N86" s="40">
        <f t="shared" ca="1" si="1"/>
        <v>2374.9343399064996</v>
      </c>
      <c r="O86" s="40"/>
      <c r="P86" s="20">
        <f t="shared" ca="1" si="2"/>
        <v>834.89136490250701</v>
      </c>
      <c r="Q86" s="1">
        <f t="shared" si="3"/>
        <v>1959</v>
      </c>
      <c r="R86" s="171">
        <f>IF(AND($J$2&gt;=DATEVALUE("03/04/2020"),$J$2&lt;=DATEVALUE("25/11/2020")),0,IF(Resumo!$C$19="PF",IF(Q86&lt;360,0.0082%*Q86,3%),IF(Q86&lt;360,0.0041%*Q86,1.5%)))</f>
        <v>1.4999999999999999E-2</v>
      </c>
      <c r="S86" s="172">
        <f t="shared" ca="1" si="9"/>
        <v>12.523370473537605</v>
      </c>
      <c r="W86" s="216">
        <f t="shared" ca="1" si="10"/>
        <v>2255.2854533867467</v>
      </c>
    </row>
    <row r="87" spans="2:23">
      <c r="B87" s="37">
        <f t="shared" si="4"/>
        <v>65</v>
      </c>
      <c r="C87" s="163">
        <f t="shared" si="5"/>
        <v>46736</v>
      </c>
      <c r="D87" s="38">
        <f t="shared" ca="1" si="6"/>
        <v>303.39769941378313</v>
      </c>
      <c r="E87" s="38">
        <f t="shared" ca="1" si="11"/>
        <v>1951.8877539729635</v>
      </c>
      <c r="F87" s="38">
        <f ca="1">IF(B87&lt;=$D$16,F86*(1+$D$13)^((C87-C86)/_xlfn.DAYS(EDATE(C86,1),C86)),F86-D87)+IF(B87&lt;=$D$16,F86*Resumo!$F$12,0)+IF(B87&lt;=$D$16,$D$15*Resumo!$F$13,0)+IF(B87&lt;=$D$16,25,0)-IF(AND($D$16&gt;3,B87&lt;=$D$16),J87,0)</f>
        <v>286738.91906131618</v>
      </c>
      <c r="G87" s="38">
        <f ca="1">IF(AND(B87&lt;&gt;"",K87&lt;&gt;$D$17,$D$16&gt;3),F87*Resumo!$F$12,IF(AND(B87&lt;&gt;"",K87&lt;&gt;$D$17,B87&gt;$D$16),F87*Resumo!$F$12,0))</f>
        <v>60.215173002876398</v>
      </c>
      <c r="H87" s="38">
        <f>IF(AND(B87&lt;&gt;"",K87&lt;&gt;$D$17,$D$16&gt;3,$B87&lt;=$D$16),$D$15*Resumo!$F$13,IF(AND(B87&lt;&gt;"",K87&lt;&gt;$D$17,B87&gt;$D$16),$D$15*Resumo!$F$13,0))</f>
        <v>34.369999999999997</v>
      </c>
      <c r="I87" s="38">
        <f>IF(AND(B87&lt;&gt;"",K87&lt;&gt;$D$17,$D$16&gt;3,$B87&lt;=$D$16),Resumo!$F$11,IF(AND(B87&lt;&gt;"",K87&lt;&gt;$D$17,B87&gt;$D$16),Resumo!$F$11,0))</f>
        <v>25</v>
      </c>
      <c r="J87" s="38">
        <f t="shared" ca="1" si="7"/>
        <v>2374.8706263896229</v>
      </c>
      <c r="K87" s="39" t="str">
        <f>IF(B87&lt;&gt;"",VLOOKUP(MONTH(C87),Sheet2!$F$1:$G$12,2,0),"")</f>
        <v>Dezembro</v>
      </c>
      <c r="L87" s="200">
        <f t="shared" ca="1" si="8"/>
        <v>0</v>
      </c>
      <c r="M87" s="40">
        <f t="shared" ref="M87:M150" ca="1" si="12">D87+E87</f>
        <v>2255.2854533867467</v>
      </c>
      <c r="N87" s="40">
        <f t="shared" ref="N87:N150" ca="1" si="13">J87</f>
        <v>2374.8706263896229</v>
      </c>
      <c r="O87" s="40"/>
      <c r="P87" s="20">
        <f t="shared" ref="P87:P150" ca="1" si="14">IF(D87=0,0,$F$21/($D$12-$E$17-$D$16))</f>
        <v>834.89136490250701</v>
      </c>
      <c r="Q87" s="1">
        <f t="shared" ref="Q87:Q150" si="15">IFERROR(C87-$J$2,0)</f>
        <v>1989</v>
      </c>
      <c r="R87" s="171">
        <f>IF(AND($J$2&gt;=DATEVALUE("03/04/2020"),$J$2&lt;=DATEVALUE("25/11/2020")),0,IF(Resumo!$C$19="PF",IF(Q87&lt;360,0.0082%*Q87,3%),IF(Q87&lt;360,0.0041%*Q87,1.5%)))</f>
        <v>1.4999999999999999E-2</v>
      </c>
      <c r="S87" s="172">
        <f t="shared" ref="S87:S150" ca="1" si="16">R87*P87</f>
        <v>12.523370473537605</v>
      </c>
      <c r="W87" s="216">
        <f t="shared" ca="1" si="10"/>
        <v>2255.2854533867467</v>
      </c>
    </row>
    <row r="88" spans="2:23">
      <c r="B88" s="41">
        <f t="shared" ref="B88:B151" si="17">IF(B87&lt;$D$12,B87+1,"")</f>
        <v>66</v>
      </c>
      <c r="C88" s="164">
        <f t="shared" ref="C88:C151" si="18">IF(B88&lt;&gt;"",EDATE($C$22,B88),"")</f>
        <v>46767</v>
      </c>
      <c r="D88" s="42">
        <f t="shared" ref="D88:D151" ca="1" si="19">IF(AND(J88&lt;&gt;"",B88&gt;$D$16),$U$20-E88,0)</f>
        <v>305.46080376979671</v>
      </c>
      <c r="E88" s="42">
        <f t="shared" ca="1" si="11"/>
        <v>1949.82464961695</v>
      </c>
      <c r="F88" s="42">
        <f ca="1">IF(B88&lt;=$D$16,F87*(1+$D$13)^((C88-C87)/_xlfn.DAYS(EDATE(C87,1),C87)),F87-D88)+IF(B88&lt;=$D$16,F87*Resumo!$F$12,0)+IF(B88&lt;=$D$16,$D$15*Resumo!$F$13,0)+IF(B88&lt;=$D$16,25,0)-IF(AND($D$16&gt;3,B88&lt;=$D$16),J88,0)</f>
        <v>286433.45825754636</v>
      </c>
      <c r="G88" s="42">
        <f ca="1">IF(AND(B88&lt;&gt;"",K88&lt;&gt;$D$17,$D$16&gt;3),F88*Resumo!$F$12,IF(AND(B88&lt;&gt;"",K88&lt;&gt;$D$17,B88&gt;$D$16),F88*Resumo!$F$12,0))</f>
        <v>60.151026234084739</v>
      </c>
      <c r="H88" s="42">
        <f>IF(AND(B88&lt;&gt;"",K88&lt;&gt;$D$17,$D$16&gt;3,$B88&lt;=$D$16),$D$15*Resumo!$F$13,IF(AND(B88&lt;&gt;"",K88&lt;&gt;$D$17,B88&gt;$D$16),$D$15*Resumo!$F$13,0))</f>
        <v>34.369999999999997</v>
      </c>
      <c r="I88" s="42">
        <f>IF(AND(B88&lt;&gt;"",K88&lt;&gt;$D$17,$D$16&gt;3,$B88&lt;=$D$16),Resumo!$F$11,IF(AND(B88&lt;&gt;"",K88&lt;&gt;$D$17,B88&gt;$D$16),Resumo!$F$11,0))</f>
        <v>25</v>
      </c>
      <c r="J88" s="42">
        <f t="shared" ref="J88:J151" ca="1" si="20">IF(B88&lt;&gt;"",D88+E88+H88+I88+G88,"")</f>
        <v>2374.8064796208314</v>
      </c>
      <c r="K88" s="39" t="str">
        <f>IF(B88&lt;&gt;"",VLOOKUP(MONTH(C88),Sheet2!$F$1:$G$12,2,0),"")</f>
        <v>Janeiro</v>
      </c>
      <c r="L88" s="200">
        <f t="shared" ref="L88:L151" ca="1" si="21">IF(AND(L87=0,J88&gt;J87),C88,0)</f>
        <v>0</v>
      </c>
      <c r="M88" s="40">
        <f t="shared" ca="1" si="12"/>
        <v>2255.2854533867467</v>
      </c>
      <c r="N88" s="40">
        <f t="shared" ca="1" si="13"/>
        <v>2374.8064796208314</v>
      </c>
      <c r="O88" s="40"/>
      <c r="P88" s="20">
        <f t="shared" ca="1" si="14"/>
        <v>834.89136490250701</v>
      </c>
      <c r="Q88" s="1">
        <f t="shared" si="15"/>
        <v>2020</v>
      </c>
      <c r="R88" s="171">
        <f>IF(AND($J$2&gt;=DATEVALUE("03/04/2020"),$J$2&lt;=DATEVALUE("25/11/2020")),0,IF(Resumo!$C$19="PF",IF(Q88&lt;360,0.0082%*Q88,3%),IF(Q88&lt;360,0.0041%*Q88,1.5%)))</f>
        <v>1.4999999999999999E-2</v>
      </c>
      <c r="S88" s="172">
        <f t="shared" ca="1" si="16"/>
        <v>12.523370473537605</v>
      </c>
      <c r="W88" s="216">
        <f t="shared" ref="W88:W151" ca="1" si="22">D88+E88</f>
        <v>2255.2854533867467</v>
      </c>
    </row>
    <row r="89" spans="2:23">
      <c r="B89" s="37">
        <f t="shared" si="17"/>
        <v>67</v>
      </c>
      <c r="C89" s="163">
        <f t="shared" si="18"/>
        <v>46798</v>
      </c>
      <c r="D89" s="38">
        <f t="shared" ca="1" si="19"/>
        <v>307.53793723543163</v>
      </c>
      <c r="E89" s="38">
        <f t="shared" ca="1" si="11"/>
        <v>1947.747516151315</v>
      </c>
      <c r="F89" s="38">
        <f ca="1">IF(B89&lt;=$D$16,F88*(1+$D$13)^((C89-C88)/_xlfn.DAYS(EDATE(C88,1),C88)),F88-D89)+IF(B89&lt;=$D$16,F88*Resumo!$F$12,0)+IF(B89&lt;=$D$16,$D$15*Resumo!$F$13,0)+IF(B89&lt;=$D$16,25,0)-IF(AND($D$16&gt;3,B89&lt;=$D$16),J89,0)</f>
        <v>286125.92032031092</v>
      </c>
      <c r="G89" s="38">
        <f ca="1">IF(AND(B89&lt;&gt;"",K89&lt;&gt;$D$17,$D$16&gt;3),F89*Resumo!$F$12,IF(AND(B89&lt;&gt;"",K89&lt;&gt;$D$17,B89&gt;$D$16),F89*Resumo!$F$12,0))</f>
        <v>60.086443267265295</v>
      </c>
      <c r="H89" s="38">
        <f>IF(AND(B89&lt;&gt;"",K89&lt;&gt;$D$17,$D$16&gt;3,$B89&lt;=$D$16),$D$15*Resumo!$F$13,IF(AND(B89&lt;&gt;"",K89&lt;&gt;$D$17,B89&gt;$D$16),$D$15*Resumo!$F$13,0))</f>
        <v>34.369999999999997</v>
      </c>
      <c r="I89" s="38">
        <f>IF(AND(B89&lt;&gt;"",K89&lt;&gt;$D$17,$D$16&gt;3,$B89&lt;=$D$16),Resumo!$F$11,IF(AND(B89&lt;&gt;"",K89&lt;&gt;$D$17,B89&gt;$D$16),Resumo!$F$11,0))</f>
        <v>25</v>
      </c>
      <c r="J89" s="38">
        <f t="shared" ca="1" si="20"/>
        <v>2374.7418966540117</v>
      </c>
      <c r="K89" s="39" t="str">
        <f>IF(B89&lt;&gt;"",VLOOKUP(MONTH(C89),Sheet2!$F$1:$G$12,2,0),"")</f>
        <v>Fevereiro</v>
      </c>
      <c r="L89" s="200">
        <f t="shared" ca="1" si="21"/>
        <v>0</v>
      </c>
      <c r="M89" s="40">
        <f t="shared" ca="1" si="12"/>
        <v>2255.2854533867467</v>
      </c>
      <c r="N89" s="40">
        <f t="shared" ca="1" si="13"/>
        <v>2374.7418966540117</v>
      </c>
      <c r="O89" s="40"/>
      <c r="P89" s="20">
        <f t="shared" ca="1" si="14"/>
        <v>834.89136490250701</v>
      </c>
      <c r="Q89" s="1">
        <f t="shared" si="15"/>
        <v>2051</v>
      </c>
      <c r="R89" s="171">
        <f>IF(AND($J$2&gt;=DATEVALUE("03/04/2020"),$J$2&lt;=DATEVALUE("25/11/2020")),0,IF(Resumo!$C$19="PF",IF(Q89&lt;360,0.0082%*Q89,3%),IF(Q89&lt;360,0.0041%*Q89,1.5%)))</f>
        <v>1.4999999999999999E-2</v>
      </c>
      <c r="S89" s="172">
        <f t="shared" ca="1" si="16"/>
        <v>12.523370473537605</v>
      </c>
      <c r="W89" s="216">
        <f t="shared" ca="1" si="22"/>
        <v>2255.2854533867467</v>
      </c>
    </row>
    <row r="90" spans="2:23">
      <c r="B90" s="41">
        <f t="shared" si="17"/>
        <v>68</v>
      </c>
      <c r="C90" s="164">
        <f t="shared" si="18"/>
        <v>46827</v>
      </c>
      <c r="D90" s="42">
        <f t="shared" ca="1" si="19"/>
        <v>309.62919520863261</v>
      </c>
      <c r="E90" s="42">
        <f t="shared" ca="1" si="11"/>
        <v>1945.6562581781141</v>
      </c>
      <c r="F90" s="42">
        <f ca="1">IF(B90&lt;=$D$16,F89*(1+$D$13)^((C90-C89)/_xlfn.DAYS(EDATE(C89,1),C89)),F89-D90)+IF(B90&lt;=$D$16,F89*Resumo!$F$12,0)+IF(B90&lt;=$D$16,$D$15*Resumo!$F$13,0)+IF(B90&lt;=$D$16,25,0)-IF(AND($D$16&gt;3,B90&lt;=$D$16),J90,0)</f>
        <v>285816.29112510226</v>
      </c>
      <c r="G90" s="42">
        <f ca="1">IF(AND(B90&lt;&gt;"",K90&lt;&gt;$D$17,$D$16&gt;3),F90*Resumo!$F$12,IF(AND(B90&lt;&gt;"",K90&lt;&gt;$D$17,B90&gt;$D$16),F90*Resumo!$F$12,0))</f>
        <v>60.021421136271478</v>
      </c>
      <c r="H90" s="42">
        <f>IF(AND(B90&lt;&gt;"",K90&lt;&gt;$D$17,$D$16&gt;3,$B90&lt;=$D$16),$D$15*Resumo!$F$13,IF(AND(B90&lt;&gt;"",K90&lt;&gt;$D$17,B90&gt;$D$16),$D$15*Resumo!$F$13,0))</f>
        <v>34.369999999999997</v>
      </c>
      <c r="I90" s="42">
        <f>IF(AND(B90&lt;&gt;"",K90&lt;&gt;$D$17,$D$16&gt;3,$B90&lt;=$D$16),Resumo!$F$11,IF(AND(B90&lt;&gt;"",K90&lt;&gt;$D$17,B90&gt;$D$16),Resumo!$F$11,0))</f>
        <v>25</v>
      </c>
      <c r="J90" s="42">
        <f t="shared" ca="1" si="20"/>
        <v>2374.6768745230179</v>
      </c>
      <c r="K90" s="39" t="str">
        <f>IF(B90&lt;&gt;"",VLOOKUP(MONTH(C90),Sheet2!$F$1:$G$12,2,0),"")</f>
        <v>Março</v>
      </c>
      <c r="L90" s="200">
        <f t="shared" ca="1" si="21"/>
        <v>0</v>
      </c>
      <c r="M90" s="40">
        <f t="shared" ca="1" si="12"/>
        <v>2255.2854533867467</v>
      </c>
      <c r="N90" s="40">
        <f t="shared" ca="1" si="13"/>
        <v>2374.6768745230179</v>
      </c>
      <c r="O90" s="40"/>
      <c r="P90" s="20">
        <f t="shared" ca="1" si="14"/>
        <v>834.89136490250701</v>
      </c>
      <c r="Q90" s="1">
        <f t="shared" si="15"/>
        <v>2080</v>
      </c>
      <c r="R90" s="171">
        <f>IF(AND($J$2&gt;=DATEVALUE("03/04/2020"),$J$2&lt;=DATEVALUE("25/11/2020")),0,IF(Resumo!$C$19="PF",IF(Q90&lt;360,0.0082%*Q90,3%),IF(Q90&lt;360,0.0041%*Q90,1.5%)))</f>
        <v>1.4999999999999999E-2</v>
      </c>
      <c r="S90" s="172">
        <f t="shared" ca="1" si="16"/>
        <v>12.523370473537605</v>
      </c>
      <c r="W90" s="216">
        <f t="shared" ca="1" si="22"/>
        <v>2255.2854533867467</v>
      </c>
    </row>
    <row r="91" spans="2:23">
      <c r="B91" s="37">
        <f t="shared" si="17"/>
        <v>69</v>
      </c>
      <c r="C91" s="163">
        <f t="shared" si="18"/>
        <v>46858</v>
      </c>
      <c r="D91" s="38">
        <f t="shared" ca="1" si="19"/>
        <v>311.73467373605149</v>
      </c>
      <c r="E91" s="38">
        <f t="shared" ref="E91:E154" ca="1" si="23">IF(AND(B91&lt;&gt;"",L91&lt;&gt;$D$17,B91&lt;$D$16,$D$16&lt;4),0,IF(AND(B91&lt;&gt;"",L91&lt;&gt;$D$17,B91&lt;=$D$16,$D$16&gt;3),F90*$D$13,IF(AND(B91&lt;&gt;"",L91&lt;&gt;$D$17,B91&gt;$D$16),F90*$D$13,0)))</f>
        <v>1943.5507796506952</v>
      </c>
      <c r="F91" s="38">
        <f ca="1">IF(B91&lt;=$D$16,F90*(1+$D$13)^((C91-C90)/_xlfn.DAYS(EDATE(C90,1),C90)),F90-D91)+IF(B91&lt;=$D$16,F90*Resumo!$F$12,0)+IF(B91&lt;=$D$16,$D$15*Resumo!$F$13,0)+IF(B91&lt;=$D$16,25,0)-IF(AND($D$16&gt;3,B91&lt;=$D$16),J91,0)</f>
        <v>285504.55645136622</v>
      </c>
      <c r="G91" s="38">
        <f ca="1">IF(AND(B91&lt;&gt;"",K91&lt;&gt;$D$17,$D$16&gt;3),F91*Resumo!$F$12,IF(AND(B91&lt;&gt;"",K91&lt;&gt;$D$17,B91&gt;$D$16),F91*Resumo!$F$12,0))</f>
        <v>59.955956854786912</v>
      </c>
      <c r="H91" s="38">
        <f>IF(AND(B91&lt;&gt;"",K91&lt;&gt;$D$17,$D$16&gt;3,$B91&lt;=$D$16),$D$15*Resumo!$F$13,IF(AND(B91&lt;&gt;"",K91&lt;&gt;$D$17,B91&gt;$D$16),$D$15*Resumo!$F$13,0))</f>
        <v>34.369999999999997</v>
      </c>
      <c r="I91" s="38">
        <f>IF(AND(B91&lt;&gt;"",K91&lt;&gt;$D$17,$D$16&gt;3,$B91&lt;=$D$16),Resumo!$F$11,IF(AND(B91&lt;&gt;"",K91&lt;&gt;$D$17,B91&gt;$D$16),Resumo!$F$11,0))</f>
        <v>25</v>
      </c>
      <c r="J91" s="38">
        <f t="shared" ca="1" si="20"/>
        <v>2374.6114102415336</v>
      </c>
      <c r="K91" s="39" t="str">
        <f>IF(B91&lt;&gt;"",VLOOKUP(MONTH(C91),Sheet2!$F$1:$G$12,2,0),"")</f>
        <v>Abril</v>
      </c>
      <c r="L91" s="200">
        <f t="shared" ca="1" si="21"/>
        <v>0</v>
      </c>
      <c r="M91" s="40">
        <f t="shared" ca="1" si="12"/>
        <v>2255.2854533867467</v>
      </c>
      <c r="N91" s="40">
        <f t="shared" ca="1" si="13"/>
        <v>2374.6114102415336</v>
      </c>
      <c r="O91" s="40"/>
      <c r="P91" s="20">
        <f t="shared" ca="1" si="14"/>
        <v>834.89136490250701</v>
      </c>
      <c r="Q91" s="1">
        <f t="shared" si="15"/>
        <v>2111</v>
      </c>
      <c r="R91" s="171">
        <f>IF(AND($J$2&gt;=DATEVALUE("03/04/2020"),$J$2&lt;=DATEVALUE("25/11/2020")),0,IF(Resumo!$C$19="PF",IF(Q91&lt;360,0.0082%*Q91,3%),IF(Q91&lt;360,0.0041%*Q91,1.5%)))</f>
        <v>1.4999999999999999E-2</v>
      </c>
      <c r="S91" s="172">
        <f t="shared" ca="1" si="16"/>
        <v>12.523370473537605</v>
      </c>
      <c r="W91" s="216">
        <f t="shared" ca="1" si="22"/>
        <v>2255.2854533867467</v>
      </c>
    </row>
    <row r="92" spans="2:23">
      <c r="B92" s="41">
        <f t="shared" si="17"/>
        <v>70</v>
      </c>
      <c r="C92" s="164">
        <f t="shared" si="18"/>
        <v>46888</v>
      </c>
      <c r="D92" s="42">
        <f t="shared" ca="1" si="19"/>
        <v>313.85446951745644</v>
      </c>
      <c r="E92" s="42">
        <f t="shared" ca="1" si="23"/>
        <v>1941.4309838692902</v>
      </c>
      <c r="F92" s="42">
        <f ca="1">IF(B92&lt;=$D$16,F91*(1+$D$13)^((C92-C91)/_xlfn.DAYS(EDATE(C91,1),C91)),F91-D92)+IF(B92&lt;=$D$16,F91*Resumo!$F$12,0)+IF(B92&lt;=$D$16,$D$15*Resumo!$F$13,0)+IF(B92&lt;=$D$16,25,0)-IF(AND($D$16&gt;3,B92&lt;=$D$16),J92,0)</f>
        <v>285190.70198184875</v>
      </c>
      <c r="G92" s="42">
        <f ca="1">IF(AND(B92&lt;&gt;"",K92&lt;&gt;$D$17,$D$16&gt;3),F92*Resumo!$F$12,IF(AND(B92&lt;&gt;"",K92&lt;&gt;$D$17,B92&gt;$D$16),F92*Resumo!$F$12,0))</f>
        <v>59.890047416188239</v>
      </c>
      <c r="H92" s="42">
        <f>IF(AND(B92&lt;&gt;"",K92&lt;&gt;$D$17,$D$16&gt;3,$B92&lt;=$D$16),$D$15*Resumo!$F$13,IF(AND(B92&lt;&gt;"",K92&lt;&gt;$D$17,B92&gt;$D$16),$D$15*Resumo!$F$13,0))</f>
        <v>34.369999999999997</v>
      </c>
      <c r="I92" s="42">
        <f>IF(AND(B92&lt;&gt;"",K92&lt;&gt;$D$17,$D$16&gt;3,$B92&lt;=$D$16),Resumo!$F$11,IF(AND(B92&lt;&gt;"",K92&lt;&gt;$D$17,B92&gt;$D$16),Resumo!$F$11,0))</f>
        <v>25</v>
      </c>
      <c r="J92" s="42">
        <f t="shared" ca="1" si="20"/>
        <v>2374.5455008029348</v>
      </c>
      <c r="K92" s="39" t="str">
        <f>IF(B92&lt;&gt;"",VLOOKUP(MONTH(C92),Sheet2!$F$1:$G$12,2,0),"")</f>
        <v>Maio</v>
      </c>
      <c r="L92" s="200">
        <f t="shared" ca="1" si="21"/>
        <v>0</v>
      </c>
      <c r="M92" s="40">
        <f t="shared" ca="1" si="12"/>
        <v>2255.2854533867467</v>
      </c>
      <c r="N92" s="40">
        <f t="shared" ca="1" si="13"/>
        <v>2374.5455008029348</v>
      </c>
      <c r="O92" s="40"/>
      <c r="P92" s="20">
        <f t="shared" ca="1" si="14"/>
        <v>834.89136490250701</v>
      </c>
      <c r="Q92" s="1">
        <f t="shared" si="15"/>
        <v>2141</v>
      </c>
      <c r="R92" s="171">
        <f>IF(AND($J$2&gt;=DATEVALUE("03/04/2020"),$J$2&lt;=DATEVALUE("25/11/2020")),0,IF(Resumo!$C$19="PF",IF(Q92&lt;360,0.0082%*Q92,3%),IF(Q92&lt;360,0.0041%*Q92,1.5%)))</f>
        <v>1.4999999999999999E-2</v>
      </c>
      <c r="S92" s="172">
        <f t="shared" ca="1" si="16"/>
        <v>12.523370473537605</v>
      </c>
      <c r="W92" s="216">
        <f t="shared" ca="1" si="22"/>
        <v>2255.2854533867467</v>
      </c>
    </row>
    <row r="93" spans="2:23">
      <c r="B93" s="37">
        <f t="shared" si="17"/>
        <v>71</v>
      </c>
      <c r="C93" s="163">
        <f t="shared" si="18"/>
        <v>46919</v>
      </c>
      <c r="D93" s="38">
        <f t="shared" ca="1" si="19"/>
        <v>315.98867991017528</v>
      </c>
      <c r="E93" s="38">
        <f t="shared" ca="1" si="23"/>
        <v>1939.2967734765714</v>
      </c>
      <c r="F93" s="38">
        <f ca="1">IF(B93&lt;=$D$16,F92*(1+$D$13)^((C93-C92)/_xlfn.DAYS(EDATE(C92,1),C92)),F92-D93)+IF(B93&lt;=$D$16,F92*Resumo!$F$12,0)+IF(B93&lt;=$D$16,$D$15*Resumo!$F$13,0)+IF(B93&lt;=$D$16,25,0)-IF(AND($D$16&gt;3,B93&lt;=$D$16),J93,0)</f>
        <v>284874.71330193855</v>
      </c>
      <c r="G93" s="38">
        <f ca="1">IF(AND(B93&lt;&gt;"",K93&lt;&gt;$D$17,$D$16&gt;3),F93*Resumo!$F$12,IF(AND(B93&lt;&gt;"",K93&lt;&gt;$D$17,B93&gt;$D$16),F93*Resumo!$F$12,0))</f>
        <v>59.823689793407098</v>
      </c>
      <c r="H93" s="38">
        <f>IF(AND(B93&lt;&gt;"",K93&lt;&gt;$D$17,$D$16&gt;3,$B93&lt;=$D$16),$D$15*Resumo!$F$13,IF(AND(B93&lt;&gt;"",K93&lt;&gt;$D$17,B93&gt;$D$16),$D$15*Resumo!$F$13,0))</f>
        <v>34.369999999999997</v>
      </c>
      <c r="I93" s="38">
        <f>IF(AND(B93&lt;&gt;"",K93&lt;&gt;$D$17,$D$16&gt;3,$B93&lt;=$D$16),Resumo!$F$11,IF(AND(B93&lt;&gt;"",K93&lt;&gt;$D$17,B93&gt;$D$16),Resumo!$F$11,0))</f>
        <v>25</v>
      </c>
      <c r="J93" s="38">
        <f t="shared" ca="1" si="20"/>
        <v>2374.4791431801536</v>
      </c>
      <c r="K93" s="39" t="str">
        <f>IF(B93&lt;&gt;"",VLOOKUP(MONTH(C93),Sheet2!$F$1:$G$12,2,0),"")</f>
        <v>Junho</v>
      </c>
      <c r="L93" s="200">
        <f t="shared" ca="1" si="21"/>
        <v>0</v>
      </c>
      <c r="M93" s="40">
        <f t="shared" ca="1" si="12"/>
        <v>2255.2854533867467</v>
      </c>
      <c r="N93" s="40">
        <f t="shared" ca="1" si="13"/>
        <v>2374.4791431801536</v>
      </c>
      <c r="O93" s="40"/>
      <c r="P93" s="20">
        <f t="shared" ca="1" si="14"/>
        <v>834.89136490250701</v>
      </c>
      <c r="Q93" s="1">
        <f t="shared" si="15"/>
        <v>2172</v>
      </c>
      <c r="R93" s="171">
        <f>IF(AND($J$2&gt;=DATEVALUE("03/04/2020"),$J$2&lt;=DATEVALUE("25/11/2020")),0,IF(Resumo!$C$19="PF",IF(Q93&lt;360,0.0082%*Q93,3%),IF(Q93&lt;360,0.0041%*Q93,1.5%)))</f>
        <v>1.4999999999999999E-2</v>
      </c>
      <c r="S93" s="172">
        <f t="shared" ca="1" si="16"/>
        <v>12.523370473537605</v>
      </c>
      <c r="W93" s="216">
        <f t="shared" ca="1" si="22"/>
        <v>2255.2854533867467</v>
      </c>
    </row>
    <row r="94" spans="2:23">
      <c r="B94" s="41">
        <f t="shared" si="17"/>
        <v>72</v>
      </c>
      <c r="C94" s="164">
        <f t="shared" si="18"/>
        <v>46949</v>
      </c>
      <c r="D94" s="42">
        <f t="shared" ca="1" si="19"/>
        <v>318.13740293356454</v>
      </c>
      <c r="E94" s="42">
        <f t="shared" ca="1" si="23"/>
        <v>1937.1480504531821</v>
      </c>
      <c r="F94" s="42">
        <f ca="1">IF(B94&lt;=$D$16,F93*(1+$D$13)^((C94-C93)/_xlfn.DAYS(EDATE(C93,1),C93)),F93-D94)+IF(B94&lt;=$D$16,F93*Resumo!$F$12,0)+IF(B94&lt;=$D$16,$D$15*Resumo!$F$13,0)+IF(B94&lt;=$D$16,25,0)-IF(AND($D$16&gt;3,B94&lt;=$D$16),J94,0)</f>
        <v>284556.57589900499</v>
      </c>
      <c r="G94" s="42">
        <f ca="1">IF(AND(B94&lt;&gt;"",K94&lt;&gt;$D$17,$D$16&gt;3),F94*Resumo!$F$12,IF(AND(B94&lt;&gt;"",K94&lt;&gt;$D$17,B94&gt;$D$16),F94*Resumo!$F$12,0))</f>
        <v>59.756880938791049</v>
      </c>
      <c r="H94" s="42">
        <f>IF(AND(B94&lt;&gt;"",K94&lt;&gt;$D$17,$D$16&gt;3,$B94&lt;=$D$16),$D$15*Resumo!$F$13,IF(AND(B94&lt;&gt;"",K94&lt;&gt;$D$17,B94&gt;$D$16),$D$15*Resumo!$F$13,0))</f>
        <v>34.369999999999997</v>
      </c>
      <c r="I94" s="42">
        <f>IF(AND(B94&lt;&gt;"",K94&lt;&gt;$D$17,$D$16&gt;3,$B94&lt;=$D$16),Resumo!$F$11,IF(AND(B94&lt;&gt;"",K94&lt;&gt;$D$17,B94&gt;$D$16),Resumo!$F$11,0))</f>
        <v>25</v>
      </c>
      <c r="J94" s="42">
        <f t="shared" ca="1" si="20"/>
        <v>2374.4123343255378</v>
      </c>
      <c r="K94" s="39" t="str">
        <f>IF(B94&lt;&gt;"",VLOOKUP(MONTH(C94),Sheet2!$F$1:$G$12,2,0),"")</f>
        <v>Julho</v>
      </c>
      <c r="L94" s="200">
        <f t="shared" ca="1" si="21"/>
        <v>0</v>
      </c>
      <c r="M94" s="40">
        <f t="shared" ca="1" si="12"/>
        <v>2255.2854533867467</v>
      </c>
      <c r="N94" s="40">
        <f t="shared" ca="1" si="13"/>
        <v>2374.4123343255378</v>
      </c>
      <c r="O94" s="40"/>
      <c r="P94" s="20">
        <f t="shared" ca="1" si="14"/>
        <v>834.89136490250701</v>
      </c>
      <c r="Q94" s="1">
        <f t="shared" si="15"/>
        <v>2202</v>
      </c>
      <c r="R94" s="171">
        <f>IF(AND($J$2&gt;=DATEVALUE("03/04/2020"),$J$2&lt;=DATEVALUE("25/11/2020")),0,IF(Resumo!$C$19="PF",IF(Q94&lt;360,0.0082%*Q94,3%),IF(Q94&lt;360,0.0041%*Q94,1.5%)))</f>
        <v>1.4999999999999999E-2</v>
      </c>
      <c r="S94" s="172">
        <f t="shared" ca="1" si="16"/>
        <v>12.523370473537605</v>
      </c>
      <c r="W94" s="216">
        <f t="shared" ca="1" si="22"/>
        <v>2255.2854533867467</v>
      </c>
    </row>
    <row r="95" spans="2:23">
      <c r="B95" s="37">
        <f t="shared" si="17"/>
        <v>73</v>
      </c>
      <c r="C95" s="163">
        <f t="shared" si="18"/>
        <v>46980</v>
      </c>
      <c r="D95" s="38">
        <f t="shared" ca="1" si="19"/>
        <v>320.30073727351282</v>
      </c>
      <c r="E95" s="38">
        <f t="shared" ca="1" si="23"/>
        <v>1934.9847161132338</v>
      </c>
      <c r="F95" s="38">
        <f ca="1">IF(B95&lt;=$D$16,F94*(1+$D$13)^((C95-C94)/_xlfn.DAYS(EDATE(C94,1),C94)),F94-D95)+IF(B95&lt;=$D$16,F94*Resumo!$F$12,0)+IF(B95&lt;=$D$16,$D$15*Resumo!$F$13,0)+IF(B95&lt;=$D$16,25,0)-IF(AND($D$16&gt;3,B95&lt;=$D$16),J95,0)</f>
        <v>284236.27516173146</v>
      </c>
      <c r="G95" s="38">
        <f ca="1">IF(AND(B95&lt;&gt;"",K95&lt;&gt;$D$17,$D$16&gt;3),F95*Resumo!$F$12,IF(AND(B95&lt;&gt;"",K95&lt;&gt;$D$17,B95&gt;$D$16),F95*Resumo!$F$12,0))</f>
        <v>59.689617783963612</v>
      </c>
      <c r="H95" s="38">
        <f>IF(AND(B95&lt;&gt;"",K95&lt;&gt;$D$17,$D$16&gt;3,$B95&lt;=$D$16),$D$15*Resumo!$F$13,IF(AND(B95&lt;&gt;"",K95&lt;&gt;$D$17,B95&gt;$D$16),$D$15*Resumo!$F$13,0))</f>
        <v>34.369999999999997</v>
      </c>
      <c r="I95" s="38">
        <f>IF(AND(B95&lt;&gt;"",K95&lt;&gt;$D$17,$D$16&gt;3,$B95&lt;=$D$16),Resumo!$F$11,IF(AND(B95&lt;&gt;"",K95&lt;&gt;$D$17,B95&gt;$D$16),Resumo!$F$11,0))</f>
        <v>25</v>
      </c>
      <c r="J95" s="38">
        <f t="shared" ca="1" si="20"/>
        <v>2374.3450711707101</v>
      </c>
      <c r="K95" s="39" t="str">
        <f>IF(B95&lt;&gt;"",VLOOKUP(MONTH(C95),Sheet2!$F$1:$G$12,2,0),"")</f>
        <v>Agosto</v>
      </c>
      <c r="L95" s="200">
        <f t="shared" ca="1" si="21"/>
        <v>0</v>
      </c>
      <c r="M95" s="40">
        <f t="shared" ca="1" si="12"/>
        <v>2255.2854533867467</v>
      </c>
      <c r="N95" s="40">
        <f t="shared" ca="1" si="13"/>
        <v>2374.3450711707101</v>
      </c>
      <c r="O95" s="40"/>
      <c r="P95" s="20">
        <f t="shared" ca="1" si="14"/>
        <v>834.89136490250701</v>
      </c>
      <c r="Q95" s="1">
        <f t="shared" si="15"/>
        <v>2233</v>
      </c>
      <c r="R95" s="171">
        <f>IF(AND($J$2&gt;=DATEVALUE("03/04/2020"),$J$2&lt;=DATEVALUE("25/11/2020")),0,IF(Resumo!$C$19="PF",IF(Q95&lt;360,0.0082%*Q95,3%),IF(Q95&lt;360,0.0041%*Q95,1.5%)))</f>
        <v>1.4999999999999999E-2</v>
      </c>
      <c r="S95" s="172">
        <f t="shared" ca="1" si="16"/>
        <v>12.523370473537605</v>
      </c>
      <c r="W95" s="216">
        <f t="shared" ca="1" si="22"/>
        <v>2255.2854533867467</v>
      </c>
    </row>
    <row r="96" spans="2:23">
      <c r="B96" s="41">
        <f t="shared" si="17"/>
        <v>74</v>
      </c>
      <c r="C96" s="164">
        <f t="shared" si="18"/>
        <v>47011</v>
      </c>
      <c r="D96" s="42">
        <f t="shared" ca="1" si="19"/>
        <v>322.47878228697277</v>
      </c>
      <c r="E96" s="42">
        <f t="shared" ca="1" si="23"/>
        <v>1932.8066710997739</v>
      </c>
      <c r="F96" s="42">
        <f ca="1">IF(B96&lt;=$D$16,F95*(1+$D$13)^((C96-C95)/_xlfn.DAYS(EDATE(C95,1),C95)),F95-D96)+IF(B96&lt;=$D$16,F95*Resumo!$F$12,0)+IF(B96&lt;=$D$16,$D$15*Resumo!$F$13,0)+IF(B96&lt;=$D$16,25,0)-IF(AND($D$16&gt;3,B96&lt;=$D$16),J96,0)</f>
        <v>283913.79637944448</v>
      </c>
      <c r="G96" s="42">
        <f ca="1">IF(AND(B96&lt;&gt;"",K96&lt;&gt;$D$17,$D$16&gt;3),F96*Resumo!$F$12,IF(AND(B96&lt;&gt;"",K96&lt;&gt;$D$17,B96&gt;$D$16),F96*Resumo!$F$12,0))</f>
        <v>59.621897239683342</v>
      </c>
      <c r="H96" s="42">
        <f>IF(AND(B96&lt;&gt;"",K96&lt;&gt;$D$17,$D$16&gt;3,$B96&lt;=$D$16),$D$15*Resumo!$F$13,IF(AND(B96&lt;&gt;"",K96&lt;&gt;$D$17,B96&gt;$D$16),$D$15*Resumo!$F$13,0))</f>
        <v>34.369999999999997</v>
      </c>
      <c r="I96" s="42">
        <f>IF(AND(B96&lt;&gt;"",K96&lt;&gt;$D$17,$D$16&gt;3,$B96&lt;=$D$16),Resumo!$F$11,IF(AND(B96&lt;&gt;"",K96&lt;&gt;$D$17,B96&gt;$D$16),Resumo!$F$11,0))</f>
        <v>25</v>
      </c>
      <c r="J96" s="42">
        <f t="shared" ca="1" si="20"/>
        <v>2374.2773506264298</v>
      </c>
      <c r="K96" s="39" t="str">
        <f>IF(B96&lt;&gt;"",VLOOKUP(MONTH(C96),Sheet2!$F$1:$G$12,2,0),"")</f>
        <v>Setembro</v>
      </c>
      <c r="L96" s="200">
        <f t="shared" ca="1" si="21"/>
        <v>0</v>
      </c>
      <c r="M96" s="40">
        <f t="shared" ca="1" si="12"/>
        <v>2255.2854533867467</v>
      </c>
      <c r="N96" s="40">
        <f t="shared" ca="1" si="13"/>
        <v>2374.2773506264298</v>
      </c>
      <c r="O96" s="40"/>
      <c r="P96" s="20">
        <f t="shared" ca="1" si="14"/>
        <v>834.89136490250701</v>
      </c>
      <c r="Q96" s="1">
        <f t="shared" si="15"/>
        <v>2264</v>
      </c>
      <c r="R96" s="171">
        <f>IF(AND($J$2&gt;=DATEVALUE("03/04/2020"),$J$2&lt;=DATEVALUE("25/11/2020")),0,IF(Resumo!$C$19="PF",IF(Q96&lt;360,0.0082%*Q96,3%),IF(Q96&lt;360,0.0041%*Q96,1.5%)))</f>
        <v>1.4999999999999999E-2</v>
      </c>
      <c r="S96" s="172">
        <f t="shared" ca="1" si="16"/>
        <v>12.523370473537605</v>
      </c>
      <c r="W96" s="216">
        <f t="shared" ca="1" si="22"/>
        <v>2255.2854533867467</v>
      </c>
    </row>
    <row r="97" spans="2:23">
      <c r="B97" s="37">
        <f t="shared" si="17"/>
        <v>75</v>
      </c>
      <c r="C97" s="163">
        <f t="shared" si="18"/>
        <v>47041</v>
      </c>
      <c r="D97" s="38">
        <f t="shared" ca="1" si="19"/>
        <v>324.67163800652429</v>
      </c>
      <c r="E97" s="38">
        <f t="shared" ca="1" si="23"/>
        <v>1930.6138153802224</v>
      </c>
      <c r="F97" s="38">
        <f ca="1">IF(B97&lt;=$D$16,F96*(1+$D$13)^((C97-C96)/_xlfn.DAYS(EDATE(C96,1),C96)),F96-D97)+IF(B97&lt;=$D$16,F96*Resumo!$F$12,0)+IF(B97&lt;=$D$16,$D$15*Resumo!$F$13,0)+IF(B97&lt;=$D$16,25,0)-IF(AND($D$16&gt;3,B97&lt;=$D$16),J97,0)</f>
        <v>283589.12474143796</v>
      </c>
      <c r="G97" s="38">
        <f ca="1">IF(AND(B97&lt;&gt;"",K97&lt;&gt;$D$17,$D$16&gt;3),F97*Resumo!$F$12,IF(AND(B97&lt;&gt;"",K97&lt;&gt;$D$17,B97&gt;$D$16),F97*Resumo!$F$12,0))</f>
        <v>59.553716195701973</v>
      </c>
      <c r="H97" s="38">
        <f>IF(AND(B97&lt;&gt;"",K97&lt;&gt;$D$17,$D$16&gt;3,$B97&lt;=$D$16),$D$15*Resumo!$F$13,IF(AND(B97&lt;&gt;"",K97&lt;&gt;$D$17,B97&gt;$D$16),$D$15*Resumo!$F$13,0))</f>
        <v>34.369999999999997</v>
      </c>
      <c r="I97" s="38">
        <f>IF(AND(B97&lt;&gt;"",K97&lt;&gt;$D$17,$D$16&gt;3,$B97&lt;=$D$16),Resumo!$F$11,IF(AND(B97&lt;&gt;"",K97&lt;&gt;$D$17,B97&gt;$D$16),Resumo!$F$11,0))</f>
        <v>25</v>
      </c>
      <c r="J97" s="38">
        <f t="shared" ca="1" si="20"/>
        <v>2374.2091695824483</v>
      </c>
      <c r="K97" s="39" t="str">
        <f>IF(B97&lt;&gt;"",VLOOKUP(MONTH(C97),Sheet2!$F$1:$G$12,2,0),"")</f>
        <v>Outubro</v>
      </c>
      <c r="L97" s="200">
        <f t="shared" ca="1" si="21"/>
        <v>0</v>
      </c>
      <c r="M97" s="40">
        <f t="shared" ca="1" si="12"/>
        <v>2255.2854533867467</v>
      </c>
      <c r="N97" s="40">
        <f t="shared" ca="1" si="13"/>
        <v>2374.2091695824483</v>
      </c>
      <c r="O97" s="40"/>
      <c r="P97" s="20">
        <f t="shared" ca="1" si="14"/>
        <v>834.89136490250701</v>
      </c>
      <c r="Q97" s="1">
        <f t="shared" si="15"/>
        <v>2294</v>
      </c>
      <c r="R97" s="171">
        <f>IF(AND($J$2&gt;=DATEVALUE("03/04/2020"),$J$2&lt;=DATEVALUE("25/11/2020")),0,IF(Resumo!$C$19="PF",IF(Q97&lt;360,0.0082%*Q97,3%),IF(Q97&lt;360,0.0041%*Q97,1.5%)))</f>
        <v>1.4999999999999999E-2</v>
      </c>
      <c r="S97" s="172">
        <f t="shared" ca="1" si="16"/>
        <v>12.523370473537605</v>
      </c>
      <c r="W97" s="216">
        <f t="shared" ca="1" si="22"/>
        <v>2255.2854533867467</v>
      </c>
    </row>
    <row r="98" spans="2:23">
      <c r="B98" s="41">
        <f t="shared" si="17"/>
        <v>76</v>
      </c>
      <c r="C98" s="164">
        <f t="shared" si="18"/>
        <v>47072</v>
      </c>
      <c r="D98" s="42">
        <f t="shared" ca="1" si="19"/>
        <v>326.87940514496859</v>
      </c>
      <c r="E98" s="42">
        <f t="shared" ca="1" si="23"/>
        <v>1928.4060482417781</v>
      </c>
      <c r="F98" s="42">
        <f ca="1">IF(B98&lt;=$D$16,F97*(1+$D$13)^((C98-C97)/_xlfn.DAYS(EDATE(C97,1),C97)),F97-D98)+IF(B98&lt;=$D$16,F97*Resumo!$F$12,0)+IF(B98&lt;=$D$16,$D$15*Resumo!$F$13,0)+IF(B98&lt;=$D$16,25,0)-IF(AND($D$16&gt;3,B98&lt;=$D$16),J98,0)</f>
        <v>283262.24533629301</v>
      </c>
      <c r="G98" s="42">
        <f ca="1">IF(AND(B98&lt;&gt;"",K98&lt;&gt;$D$17,$D$16&gt;3),F98*Resumo!$F$12,IF(AND(B98&lt;&gt;"",K98&lt;&gt;$D$17,B98&gt;$D$16),F98*Resumo!$F$12,0))</f>
        <v>59.485071520621531</v>
      </c>
      <c r="H98" s="42">
        <f>IF(AND(B98&lt;&gt;"",K98&lt;&gt;$D$17,$D$16&gt;3,$B98&lt;=$D$16),$D$15*Resumo!$F$13,IF(AND(B98&lt;&gt;"",K98&lt;&gt;$D$17,B98&gt;$D$16),$D$15*Resumo!$F$13,0))</f>
        <v>34.369999999999997</v>
      </c>
      <c r="I98" s="42">
        <f>IF(AND(B98&lt;&gt;"",K98&lt;&gt;$D$17,$D$16&gt;3,$B98&lt;=$D$16),Resumo!$F$11,IF(AND(B98&lt;&gt;"",K98&lt;&gt;$D$17,B98&gt;$D$16),Resumo!$F$11,0))</f>
        <v>25</v>
      </c>
      <c r="J98" s="42">
        <f t="shared" ca="1" si="20"/>
        <v>2374.1405249073682</v>
      </c>
      <c r="K98" s="39" t="str">
        <f>IF(B98&lt;&gt;"",VLOOKUP(MONTH(C98),Sheet2!$F$1:$G$12,2,0),"")</f>
        <v>Novembro</v>
      </c>
      <c r="L98" s="200">
        <f t="shared" ca="1" si="21"/>
        <v>0</v>
      </c>
      <c r="M98" s="40">
        <f t="shared" ca="1" si="12"/>
        <v>2255.2854533867467</v>
      </c>
      <c r="N98" s="40">
        <f t="shared" ca="1" si="13"/>
        <v>2374.1405249073682</v>
      </c>
      <c r="O98" s="40"/>
      <c r="P98" s="20">
        <f t="shared" ca="1" si="14"/>
        <v>834.89136490250701</v>
      </c>
      <c r="Q98" s="1">
        <f t="shared" si="15"/>
        <v>2325</v>
      </c>
      <c r="R98" s="171">
        <f>IF(AND($J$2&gt;=DATEVALUE("03/04/2020"),$J$2&lt;=DATEVALUE("25/11/2020")),0,IF(Resumo!$C$19="PF",IF(Q98&lt;360,0.0082%*Q98,3%),IF(Q98&lt;360,0.0041%*Q98,1.5%)))</f>
        <v>1.4999999999999999E-2</v>
      </c>
      <c r="S98" s="172">
        <f t="shared" ca="1" si="16"/>
        <v>12.523370473537605</v>
      </c>
      <c r="W98" s="216">
        <f t="shared" ca="1" si="22"/>
        <v>2255.2854533867467</v>
      </c>
    </row>
    <row r="99" spans="2:23">
      <c r="B99" s="37">
        <f t="shared" si="17"/>
        <v>77</v>
      </c>
      <c r="C99" s="163">
        <f t="shared" si="18"/>
        <v>47102</v>
      </c>
      <c r="D99" s="38">
        <f t="shared" ca="1" si="19"/>
        <v>329.10218509995434</v>
      </c>
      <c r="E99" s="38">
        <f t="shared" ca="1" si="23"/>
        <v>1926.1832682867923</v>
      </c>
      <c r="F99" s="38">
        <f ca="1">IF(B99&lt;=$D$16,F98*(1+$D$13)^((C99-C98)/_xlfn.DAYS(EDATE(C98,1),C98)),F98-D99)+IF(B99&lt;=$D$16,F98*Resumo!$F$12,0)+IF(B99&lt;=$D$16,$D$15*Resumo!$F$13,0)+IF(B99&lt;=$D$16,25,0)-IF(AND($D$16&gt;3,B99&lt;=$D$16),J99,0)</f>
        <v>282933.14315119304</v>
      </c>
      <c r="G99" s="38">
        <f ca="1">IF(AND(B99&lt;&gt;"",K99&lt;&gt;$D$17,$D$16&gt;3),F99*Resumo!$F$12,IF(AND(B99&lt;&gt;"",K99&lt;&gt;$D$17,B99&gt;$D$16),F99*Resumo!$F$12,0))</f>
        <v>59.415960061750539</v>
      </c>
      <c r="H99" s="38">
        <f>IF(AND(B99&lt;&gt;"",K99&lt;&gt;$D$17,$D$16&gt;3,$B99&lt;=$D$16),$D$15*Resumo!$F$13,IF(AND(B99&lt;&gt;"",K99&lt;&gt;$D$17,B99&gt;$D$16),$D$15*Resumo!$F$13,0))</f>
        <v>34.369999999999997</v>
      </c>
      <c r="I99" s="38">
        <f>IF(AND(B99&lt;&gt;"",K99&lt;&gt;$D$17,$D$16&gt;3,$B99&lt;=$D$16),Resumo!$F$11,IF(AND(B99&lt;&gt;"",K99&lt;&gt;$D$17,B99&gt;$D$16),Resumo!$F$11,0))</f>
        <v>25</v>
      </c>
      <c r="J99" s="38">
        <f t="shared" ca="1" si="20"/>
        <v>2374.071413448497</v>
      </c>
      <c r="K99" s="39" t="str">
        <f>IF(B99&lt;&gt;"",VLOOKUP(MONTH(C99),Sheet2!$F$1:$G$12,2,0),"")</f>
        <v>Dezembro</v>
      </c>
      <c r="L99" s="200">
        <f t="shared" ca="1" si="21"/>
        <v>0</v>
      </c>
      <c r="M99" s="40">
        <f t="shared" ca="1" si="12"/>
        <v>2255.2854533867467</v>
      </c>
      <c r="N99" s="40">
        <f t="shared" ca="1" si="13"/>
        <v>2374.071413448497</v>
      </c>
      <c r="O99" s="40"/>
      <c r="P99" s="20">
        <f t="shared" ca="1" si="14"/>
        <v>834.89136490250701</v>
      </c>
      <c r="Q99" s="1">
        <f t="shared" si="15"/>
        <v>2355</v>
      </c>
      <c r="R99" s="171">
        <f>IF(AND($J$2&gt;=DATEVALUE("03/04/2020"),$J$2&lt;=DATEVALUE("25/11/2020")),0,IF(Resumo!$C$19="PF",IF(Q99&lt;360,0.0082%*Q99,3%),IF(Q99&lt;360,0.0041%*Q99,1.5%)))</f>
        <v>1.4999999999999999E-2</v>
      </c>
      <c r="S99" s="172">
        <f t="shared" ca="1" si="16"/>
        <v>12.523370473537605</v>
      </c>
      <c r="W99" s="216">
        <f t="shared" ca="1" si="22"/>
        <v>2255.2854533867467</v>
      </c>
    </row>
    <row r="100" spans="2:23">
      <c r="B100" s="41">
        <f t="shared" si="17"/>
        <v>78</v>
      </c>
      <c r="C100" s="164">
        <f t="shared" si="18"/>
        <v>47133</v>
      </c>
      <c r="D100" s="42">
        <f t="shared" ca="1" si="19"/>
        <v>331.34007995863408</v>
      </c>
      <c r="E100" s="42">
        <f t="shared" ca="1" si="23"/>
        <v>1923.9453734281126</v>
      </c>
      <c r="F100" s="42">
        <f ca="1">IF(B100&lt;=$D$16,F99*(1+$D$13)^((C100-C99)/_xlfn.DAYS(EDATE(C99,1),C99)),F99-D100)+IF(B100&lt;=$D$16,F99*Resumo!$F$12,0)+IF(B100&lt;=$D$16,$D$15*Resumo!$F$13,0)+IF(B100&lt;=$D$16,25,0)-IF(AND($D$16&gt;3,B100&lt;=$D$16),J100,0)</f>
        <v>282601.80307123443</v>
      </c>
      <c r="G100" s="42">
        <f ca="1">IF(AND(B100&lt;&gt;"",K100&lt;&gt;$D$17,$D$16&gt;3),F100*Resumo!$F$12,IF(AND(B100&lt;&gt;"",K100&lt;&gt;$D$17,B100&gt;$D$16),F100*Resumo!$F$12,0))</f>
        <v>59.346378644959231</v>
      </c>
      <c r="H100" s="42">
        <f>IF(AND(B100&lt;&gt;"",K100&lt;&gt;$D$17,$D$16&gt;3,$B100&lt;=$D$16),$D$15*Resumo!$F$13,IF(AND(B100&lt;&gt;"",K100&lt;&gt;$D$17,B100&gt;$D$16),$D$15*Resumo!$F$13,0))</f>
        <v>34.369999999999997</v>
      </c>
      <c r="I100" s="42">
        <f>IF(AND(B100&lt;&gt;"",K100&lt;&gt;$D$17,$D$16&gt;3,$B100&lt;=$D$16),Resumo!$F$11,IF(AND(B100&lt;&gt;"",K100&lt;&gt;$D$17,B100&gt;$D$16),Resumo!$F$11,0))</f>
        <v>25</v>
      </c>
      <c r="J100" s="42">
        <f t="shared" ca="1" si="20"/>
        <v>2374.0018320317058</v>
      </c>
      <c r="K100" s="39" t="str">
        <f>IF(B100&lt;&gt;"",VLOOKUP(MONTH(C100),Sheet2!$F$1:$G$12,2,0),"")</f>
        <v>Janeiro</v>
      </c>
      <c r="L100" s="200">
        <f t="shared" ca="1" si="21"/>
        <v>0</v>
      </c>
      <c r="M100" s="40">
        <f t="shared" ca="1" si="12"/>
        <v>2255.2854533867467</v>
      </c>
      <c r="N100" s="40">
        <f t="shared" ca="1" si="13"/>
        <v>2374.0018320317058</v>
      </c>
      <c r="O100" s="40"/>
      <c r="P100" s="20">
        <f t="shared" ca="1" si="14"/>
        <v>834.89136490250701</v>
      </c>
      <c r="Q100" s="1">
        <f t="shared" si="15"/>
        <v>2386</v>
      </c>
      <c r="R100" s="171">
        <f>IF(AND($J$2&gt;=DATEVALUE("03/04/2020"),$J$2&lt;=DATEVALUE("25/11/2020")),0,IF(Resumo!$C$19="PF",IF(Q100&lt;360,0.0082%*Q100,3%),IF(Q100&lt;360,0.0041%*Q100,1.5%)))</f>
        <v>1.4999999999999999E-2</v>
      </c>
      <c r="S100" s="172">
        <f t="shared" ca="1" si="16"/>
        <v>12.523370473537605</v>
      </c>
      <c r="W100" s="216">
        <f t="shared" ca="1" si="22"/>
        <v>2255.2854533867467</v>
      </c>
    </row>
    <row r="101" spans="2:23">
      <c r="B101" s="37">
        <f t="shared" si="17"/>
        <v>79</v>
      </c>
      <c r="C101" s="163">
        <f t="shared" si="18"/>
        <v>47164</v>
      </c>
      <c r="D101" s="38">
        <f t="shared" ca="1" si="19"/>
        <v>333.59319250235262</v>
      </c>
      <c r="E101" s="38">
        <f t="shared" ca="1" si="23"/>
        <v>1921.692260884394</v>
      </c>
      <c r="F101" s="38">
        <f ca="1">IF(B101&lt;=$D$16,F100*(1+$D$13)^((C101-C100)/_xlfn.DAYS(EDATE(C100,1),C100)),F100-D101)+IF(B101&lt;=$D$16,F100*Resumo!$F$12,0)+IF(B101&lt;=$D$16,$D$15*Resumo!$F$13,0)+IF(B101&lt;=$D$16,25,0)-IF(AND($D$16&gt;3,B101&lt;=$D$16),J101,0)</f>
        <v>282268.2098787321</v>
      </c>
      <c r="G101" s="38">
        <f ca="1">IF(AND(B101&lt;&gt;"",K101&lt;&gt;$D$17,$D$16&gt;3),F101*Resumo!$F$12,IF(AND(B101&lt;&gt;"",K101&lt;&gt;$D$17,B101&gt;$D$16),F101*Resumo!$F$12,0))</f>
        <v>59.276324074533747</v>
      </c>
      <c r="H101" s="38">
        <f>IF(AND(B101&lt;&gt;"",K101&lt;&gt;$D$17,$D$16&gt;3,$B101&lt;=$D$16),$D$15*Resumo!$F$13,IF(AND(B101&lt;&gt;"",K101&lt;&gt;$D$17,B101&gt;$D$16),$D$15*Resumo!$F$13,0))</f>
        <v>34.369999999999997</v>
      </c>
      <c r="I101" s="38">
        <f>IF(AND(B101&lt;&gt;"",K101&lt;&gt;$D$17,$D$16&gt;3,$B101&lt;=$D$16),Resumo!$F$11,IF(AND(B101&lt;&gt;"",K101&lt;&gt;$D$17,B101&gt;$D$16),Resumo!$F$11,0))</f>
        <v>25</v>
      </c>
      <c r="J101" s="38">
        <f t="shared" ca="1" si="20"/>
        <v>2373.9317774612805</v>
      </c>
      <c r="K101" s="39" t="str">
        <f>IF(B101&lt;&gt;"",VLOOKUP(MONTH(C101),Sheet2!$F$1:$G$12,2,0),"")</f>
        <v>Fevereiro</v>
      </c>
      <c r="L101" s="200">
        <f t="shared" ca="1" si="21"/>
        <v>0</v>
      </c>
      <c r="M101" s="40">
        <f t="shared" ca="1" si="12"/>
        <v>2255.2854533867467</v>
      </c>
      <c r="N101" s="40">
        <f t="shared" ca="1" si="13"/>
        <v>2373.9317774612805</v>
      </c>
      <c r="O101" s="40"/>
      <c r="P101" s="20">
        <f t="shared" ca="1" si="14"/>
        <v>834.89136490250701</v>
      </c>
      <c r="Q101" s="1">
        <f t="shared" si="15"/>
        <v>2417</v>
      </c>
      <c r="R101" s="171">
        <f>IF(AND($J$2&gt;=DATEVALUE("03/04/2020"),$J$2&lt;=DATEVALUE("25/11/2020")),0,IF(Resumo!$C$19="PF",IF(Q101&lt;360,0.0082%*Q101,3%),IF(Q101&lt;360,0.0041%*Q101,1.5%)))</f>
        <v>1.4999999999999999E-2</v>
      </c>
      <c r="S101" s="172">
        <f t="shared" ca="1" si="16"/>
        <v>12.523370473537605</v>
      </c>
      <c r="W101" s="216">
        <f t="shared" ca="1" si="22"/>
        <v>2255.2854533867467</v>
      </c>
    </row>
    <row r="102" spans="2:23">
      <c r="B102" s="41">
        <f t="shared" si="17"/>
        <v>80</v>
      </c>
      <c r="C102" s="164">
        <f t="shared" si="18"/>
        <v>47192</v>
      </c>
      <c r="D102" s="42">
        <f t="shared" ca="1" si="19"/>
        <v>335.8616262113685</v>
      </c>
      <c r="E102" s="42">
        <f t="shared" ca="1" si="23"/>
        <v>1919.4238271753782</v>
      </c>
      <c r="F102" s="42">
        <f ca="1">IF(B102&lt;=$D$16,F101*(1+$D$13)^((C102-C101)/_xlfn.DAYS(EDATE(C101,1),C101)),F101-D102)+IF(B102&lt;=$D$16,F101*Resumo!$F$12,0)+IF(B102&lt;=$D$16,$D$15*Resumo!$F$13,0)+IF(B102&lt;=$D$16,25,0)-IF(AND($D$16&gt;3,B102&lt;=$D$16),J102,0)</f>
        <v>281932.34825252072</v>
      </c>
      <c r="G102" s="42">
        <f ca="1">IF(AND(B102&lt;&gt;"",K102&lt;&gt;$D$17,$D$16&gt;3),F102*Resumo!$F$12,IF(AND(B102&lt;&gt;"",K102&lt;&gt;$D$17,B102&gt;$D$16),F102*Resumo!$F$12,0))</f>
        <v>59.205793133029353</v>
      </c>
      <c r="H102" s="42">
        <f>IF(AND(B102&lt;&gt;"",K102&lt;&gt;$D$17,$D$16&gt;3,$B102&lt;=$D$16),$D$15*Resumo!$F$13,IF(AND(B102&lt;&gt;"",K102&lt;&gt;$D$17,B102&gt;$D$16),$D$15*Resumo!$F$13,0))</f>
        <v>34.369999999999997</v>
      </c>
      <c r="I102" s="42">
        <f>IF(AND(B102&lt;&gt;"",K102&lt;&gt;$D$17,$D$16&gt;3,$B102&lt;=$D$16),Resumo!$F$11,IF(AND(B102&lt;&gt;"",K102&lt;&gt;$D$17,B102&gt;$D$16),Resumo!$F$11,0))</f>
        <v>25</v>
      </c>
      <c r="J102" s="42">
        <f t="shared" ca="1" si="20"/>
        <v>2373.8612465197757</v>
      </c>
      <c r="K102" s="39" t="str">
        <f>IF(B102&lt;&gt;"",VLOOKUP(MONTH(C102),Sheet2!$F$1:$G$12,2,0),"")</f>
        <v>Março</v>
      </c>
      <c r="L102" s="200">
        <f t="shared" ca="1" si="21"/>
        <v>0</v>
      </c>
      <c r="M102" s="40">
        <f t="shared" ca="1" si="12"/>
        <v>2255.2854533867467</v>
      </c>
      <c r="N102" s="40">
        <f t="shared" ca="1" si="13"/>
        <v>2373.8612465197757</v>
      </c>
      <c r="O102" s="40"/>
      <c r="P102" s="20">
        <f t="shared" ca="1" si="14"/>
        <v>834.89136490250701</v>
      </c>
      <c r="Q102" s="1">
        <f t="shared" si="15"/>
        <v>2445</v>
      </c>
      <c r="R102" s="171">
        <f>IF(AND($J$2&gt;=DATEVALUE("03/04/2020"),$J$2&lt;=DATEVALUE("25/11/2020")),0,IF(Resumo!$C$19="PF",IF(Q102&lt;360,0.0082%*Q102,3%),IF(Q102&lt;360,0.0041%*Q102,1.5%)))</f>
        <v>1.4999999999999999E-2</v>
      </c>
      <c r="S102" s="172">
        <f t="shared" ca="1" si="16"/>
        <v>12.523370473537605</v>
      </c>
      <c r="W102" s="216">
        <f t="shared" ca="1" si="22"/>
        <v>2255.2854533867467</v>
      </c>
    </row>
    <row r="103" spans="2:23">
      <c r="B103" s="37">
        <f t="shared" si="17"/>
        <v>81</v>
      </c>
      <c r="C103" s="163">
        <f t="shared" si="18"/>
        <v>47223</v>
      </c>
      <c r="D103" s="38">
        <f t="shared" ca="1" si="19"/>
        <v>338.14548526960584</v>
      </c>
      <c r="E103" s="38">
        <f t="shared" ca="1" si="23"/>
        <v>1917.1399681171408</v>
      </c>
      <c r="F103" s="38">
        <f ca="1">IF(B103&lt;=$D$16,F102*(1+$D$13)^((C103-C102)/_xlfn.DAYS(EDATE(C102,1),C102)),F102-D103)+IF(B103&lt;=$D$16,F102*Resumo!$F$12,0)+IF(B103&lt;=$D$16,$D$15*Resumo!$F$13,0)+IF(B103&lt;=$D$16,25,0)-IF(AND($D$16&gt;3,B103&lt;=$D$16),J103,0)</f>
        <v>281594.20276725112</v>
      </c>
      <c r="G103" s="38">
        <f ca="1">IF(AND(B103&lt;&gt;"",K103&lt;&gt;$D$17,$D$16&gt;3),F103*Resumo!$F$12,IF(AND(B103&lt;&gt;"",K103&lt;&gt;$D$17,B103&gt;$D$16),F103*Resumo!$F$12,0))</f>
        <v>59.134782581122735</v>
      </c>
      <c r="H103" s="38">
        <f>IF(AND(B103&lt;&gt;"",K103&lt;&gt;$D$17,$D$16&gt;3,$B103&lt;=$D$16),$D$15*Resumo!$F$13,IF(AND(B103&lt;&gt;"",K103&lt;&gt;$D$17,B103&gt;$D$16),$D$15*Resumo!$F$13,0))</f>
        <v>34.369999999999997</v>
      </c>
      <c r="I103" s="38">
        <f>IF(AND(B103&lt;&gt;"",K103&lt;&gt;$D$17,$D$16&gt;3,$B103&lt;=$D$16),Resumo!$F$11,IF(AND(B103&lt;&gt;"",K103&lt;&gt;$D$17,B103&gt;$D$16),Resumo!$F$11,0))</f>
        <v>25</v>
      </c>
      <c r="J103" s="38">
        <f t="shared" ca="1" si="20"/>
        <v>2373.7902359678692</v>
      </c>
      <c r="K103" s="39" t="str">
        <f>IF(B103&lt;&gt;"",VLOOKUP(MONTH(C103),Sheet2!$F$1:$G$12,2,0),"")</f>
        <v>Abril</v>
      </c>
      <c r="L103" s="200">
        <f t="shared" ca="1" si="21"/>
        <v>0</v>
      </c>
      <c r="M103" s="40">
        <f t="shared" ca="1" si="12"/>
        <v>2255.2854533867467</v>
      </c>
      <c r="N103" s="40">
        <f t="shared" ca="1" si="13"/>
        <v>2373.7902359678692</v>
      </c>
      <c r="O103" s="40"/>
      <c r="P103" s="20">
        <f t="shared" ca="1" si="14"/>
        <v>834.89136490250701</v>
      </c>
      <c r="Q103" s="1">
        <f t="shared" si="15"/>
        <v>2476</v>
      </c>
      <c r="R103" s="171">
        <f>IF(AND($J$2&gt;=DATEVALUE("03/04/2020"),$J$2&lt;=DATEVALUE("25/11/2020")),0,IF(Resumo!$C$19="PF",IF(Q103&lt;360,0.0082%*Q103,3%),IF(Q103&lt;360,0.0041%*Q103,1.5%)))</f>
        <v>1.4999999999999999E-2</v>
      </c>
      <c r="S103" s="172">
        <f t="shared" ca="1" si="16"/>
        <v>12.523370473537605</v>
      </c>
      <c r="W103" s="216">
        <f t="shared" ca="1" si="22"/>
        <v>2255.2854533867467</v>
      </c>
    </row>
    <row r="104" spans="2:23">
      <c r="B104" s="41">
        <f t="shared" si="17"/>
        <v>82</v>
      </c>
      <c r="C104" s="164">
        <f t="shared" si="18"/>
        <v>47253</v>
      </c>
      <c r="D104" s="42">
        <f t="shared" ca="1" si="19"/>
        <v>340.44487456943921</v>
      </c>
      <c r="E104" s="42">
        <f t="shared" ca="1" si="23"/>
        <v>1914.8405788173075</v>
      </c>
      <c r="F104" s="42">
        <f ca="1">IF(B104&lt;=$D$16,F103*(1+$D$13)^((C104-C103)/_xlfn.DAYS(EDATE(C103,1),C103)),F103-D104)+IF(B104&lt;=$D$16,F103*Resumo!$F$12,0)+IF(B104&lt;=$D$16,$D$15*Resumo!$F$13,0)+IF(B104&lt;=$D$16,25,0)-IF(AND($D$16&gt;3,B104&lt;=$D$16),J104,0)</f>
        <v>281253.75789268169</v>
      </c>
      <c r="G104" s="42">
        <f ca="1">IF(AND(B104&lt;&gt;"",K104&lt;&gt;$D$17,$D$16&gt;3),F104*Resumo!$F$12,IF(AND(B104&lt;&gt;"",K104&lt;&gt;$D$17,B104&gt;$D$16),F104*Resumo!$F$12,0))</f>
        <v>59.06328915746316</v>
      </c>
      <c r="H104" s="42">
        <f>IF(AND(B104&lt;&gt;"",K104&lt;&gt;$D$17,$D$16&gt;3,$B104&lt;=$D$16),$D$15*Resumo!$F$13,IF(AND(B104&lt;&gt;"",K104&lt;&gt;$D$17,B104&gt;$D$16),$D$15*Resumo!$F$13,0))</f>
        <v>34.369999999999997</v>
      </c>
      <c r="I104" s="42">
        <f>IF(AND(B104&lt;&gt;"",K104&lt;&gt;$D$17,$D$16&gt;3,$B104&lt;=$D$16),Resumo!$F$11,IF(AND(B104&lt;&gt;"",K104&lt;&gt;$D$17,B104&gt;$D$16),Resumo!$F$11,0))</f>
        <v>25</v>
      </c>
      <c r="J104" s="42">
        <f t="shared" ca="1" si="20"/>
        <v>2373.7187425442098</v>
      </c>
      <c r="K104" s="39" t="str">
        <f>IF(B104&lt;&gt;"",VLOOKUP(MONTH(C104),Sheet2!$F$1:$G$12,2,0),"")</f>
        <v>Maio</v>
      </c>
      <c r="L104" s="200">
        <f t="shared" ca="1" si="21"/>
        <v>0</v>
      </c>
      <c r="M104" s="40">
        <f t="shared" ca="1" si="12"/>
        <v>2255.2854533867467</v>
      </c>
      <c r="N104" s="40">
        <f t="shared" ca="1" si="13"/>
        <v>2373.7187425442098</v>
      </c>
      <c r="O104" s="40"/>
      <c r="P104" s="20">
        <f t="shared" ca="1" si="14"/>
        <v>834.89136490250701</v>
      </c>
      <c r="Q104" s="1">
        <f t="shared" si="15"/>
        <v>2506</v>
      </c>
      <c r="R104" s="171">
        <f>IF(AND($J$2&gt;=DATEVALUE("03/04/2020"),$J$2&lt;=DATEVALUE("25/11/2020")),0,IF(Resumo!$C$19="PF",IF(Q104&lt;360,0.0082%*Q104,3%),IF(Q104&lt;360,0.0041%*Q104,1.5%)))</f>
        <v>1.4999999999999999E-2</v>
      </c>
      <c r="S104" s="172">
        <f t="shared" ca="1" si="16"/>
        <v>12.523370473537605</v>
      </c>
      <c r="W104" s="216">
        <f t="shared" ca="1" si="22"/>
        <v>2255.2854533867467</v>
      </c>
    </row>
    <row r="105" spans="2:23">
      <c r="B105" s="37">
        <f t="shared" si="17"/>
        <v>83</v>
      </c>
      <c r="C105" s="163">
        <f t="shared" si="18"/>
        <v>47284</v>
      </c>
      <c r="D105" s="38">
        <f t="shared" ca="1" si="19"/>
        <v>342.7598997165112</v>
      </c>
      <c r="E105" s="38">
        <f t="shared" ca="1" si="23"/>
        <v>1912.5255536702355</v>
      </c>
      <c r="F105" s="38">
        <f ca="1">IF(B105&lt;=$D$16,F104*(1+$D$13)^((C105-C104)/_xlfn.DAYS(EDATE(C104,1),C104)),F104-D105)+IF(B105&lt;=$D$16,F104*Resumo!$F$12,0)+IF(B105&lt;=$D$16,$D$15*Resumo!$F$13,0)+IF(B105&lt;=$D$16,25,0)-IF(AND($D$16&gt;3,B105&lt;=$D$16),J105,0)</f>
        <v>280910.99799296516</v>
      </c>
      <c r="G105" s="38">
        <f ca="1">IF(AND(B105&lt;&gt;"",K105&lt;&gt;$D$17,$D$16&gt;3),F105*Resumo!$F$12,IF(AND(B105&lt;&gt;"",K105&lt;&gt;$D$17,B105&gt;$D$16),F105*Resumo!$F$12,0))</f>
        <v>58.991309578522689</v>
      </c>
      <c r="H105" s="38">
        <f>IF(AND(B105&lt;&gt;"",K105&lt;&gt;$D$17,$D$16&gt;3,$B105&lt;=$D$16),$D$15*Resumo!$F$13,IF(AND(B105&lt;&gt;"",K105&lt;&gt;$D$17,B105&gt;$D$16),$D$15*Resumo!$F$13,0))</f>
        <v>34.369999999999997</v>
      </c>
      <c r="I105" s="38">
        <f>IF(AND(B105&lt;&gt;"",K105&lt;&gt;$D$17,$D$16&gt;3,$B105&lt;=$D$16),Resumo!$F$11,IF(AND(B105&lt;&gt;"",K105&lt;&gt;$D$17,B105&gt;$D$16),Resumo!$F$11,0))</f>
        <v>25</v>
      </c>
      <c r="J105" s="38">
        <f t="shared" ca="1" si="20"/>
        <v>2373.6467629652693</v>
      </c>
      <c r="K105" s="39" t="str">
        <f>IF(B105&lt;&gt;"",VLOOKUP(MONTH(C105),Sheet2!$F$1:$G$12,2,0),"")</f>
        <v>Junho</v>
      </c>
      <c r="L105" s="200">
        <f t="shared" ca="1" si="21"/>
        <v>0</v>
      </c>
      <c r="M105" s="40">
        <f t="shared" ca="1" si="12"/>
        <v>2255.2854533867467</v>
      </c>
      <c r="N105" s="40">
        <f t="shared" ca="1" si="13"/>
        <v>2373.6467629652693</v>
      </c>
      <c r="O105" s="40"/>
      <c r="P105" s="20">
        <f t="shared" ca="1" si="14"/>
        <v>834.89136490250701</v>
      </c>
      <c r="Q105" s="1">
        <f t="shared" si="15"/>
        <v>2537</v>
      </c>
      <c r="R105" s="171">
        <f>IF(AND($J$2&gt;=DATEVALUE("03/04/2020"),$J$2&lt;=DATEVALUE("25/11/2020")),0,IF(Resumo!$C$19="PF",IF(Q105&lt;360,0.0082%*Q105,3%),IF(Q105&lt;360,0.0041%*Q105,1.5%)))</f>
        <v>1.4999999999999999E-2</v>
      </c>
      <c r="S105" s="172">
        <f t="shared" ca="1" si="16"/>
        <v>12.523370473537605</v>
      </c>
      <c r="W105" s="216">
        <f t="shared" ca="1" si="22"/>
        <v>2255.2854533867467</v>
      </c>
    </row>
    <row r="106" spans="2:23">
      <c r="B106" s="41">
        <f t="shared" si="17"/>
        <v>84</v>
      </c>
      <c r="C106" s="164">
        <f t="shared" si="18"/>
        <v>47314</v>
      </c>
      <c r="D106" s="42">
        <f t="shared" ca="1" si="19"/>
        <v>345.0906670345837</v>
      </c>
      <c r="E106" s="42">
        <f t="shared" ca="1" si="23"/>
        <v>1910.194786352163</v>
      </c>
      <c r="F106" s="42">
        <f ca="1">IF(B106&lt;=$D$16,F105*(1+$D$13)^((C106-C105)/_xlfn.DAYS(EDATE(C105,1),C105)),F105-D106)+IF(B106&lt;=$D$16,F105*Resumo!$F$12,0)+IF(B106&lt;=$D$16,$D$15*Resumo!$F$13,0)+IF(B106&lt;=$D$16,25,0)-IF(AND($D$16&gt;3,B106&lt;=$D$16),J106,0)</f>
        <v>280565.9073259306</v>
      </c>
      <c r="G106" s="42">
        <f ca="1">IF(AND(B106&lt;&gt;"",K106&lt;&gt;$D$17,$D$16&gt;3),F106*Resumo!$F$12,IF(AND(B106&lt;&gt;"",K106&lt;&gt;$D$17,B106&gt;$D$16),F106*Resumo!$F$12,0))</f>
        <v>58.91884053844543</v>
      </c>
      <c r="H106" s="42">
        <f>IF(AND(B106&lt;&gt;"",K106&lt;&gt;$D$17,$D$16&gt;3,$B106&lt;=$D$16),$D$15*Resumo!$F$13,IF(AND(B106&lt;&gt;"",K106&lt;&gt;$D$17,B106&gt;$D$16),$D$15*Resumo!$F$13,0))</f>
        <v>34.369999999999997</v>
      </c>
      <c r="I106" s="42">
        <f>IF(AND(B106&lt;&gt;"",K106&lt;&gt;$D$17,$D$16&gt;3,$B106&lt;=$D$16),Resumo!$F$11,IF(AND(B106&lt;&gt;"",K106&lt;&gt;$D$17,B106&gt;$D$16),Resumo!$F$11,0))</f>
        <v>25</v>
      </c>
      <c r="J106" s="42">
        <f t="shared" ca="1" si="20"/>
        <v>2373.5742939251918</v>
      </c>
      <c r="K106" s="39" t="str">
        <f>IF(B106&lt;&gt;"",VLOOKUP(MONTH(C106),Sheet2!$F$1:$G$12,2,0),"")</f>
        <v>Julho</v>
      </c>
      <c r="L106" s="200">
        <f t="shared" ca="1" si="21"/>
        <v>0</v>
      </c>
      <c r="M106" s="40">
        <f t="shared" ca="1" si="12"/>
        <v>2255.2854533867467</v>
      </c>
      <c r="N106" s="40">
        <f t="shared" ca="1" si="13"/>
        <v>2373.5742939251918</v>
      </c>
      <c r="O106" s="40"/>
      <c r="P106" s="20">
        <f t="shared" ca="1" si="14"/>
        <v>834.89136490250701</v>
      </c>
      <c r="Q106" s="1">
        <f t="shared" si="15"/>
        <v>2567</v>
      </c>
      <c r="R106" s="171">
        <f>IF(AND($J$2&gt;=DATEVALUE("03/04/2020"),$J$2&lt;=DATEVALUE("25/11/2020")),0,IF(Resumo!$C$19="PF",IF(Q106&lt;360,0.0082%*Q106,3%),IF(Q106&lt;360,0.0041%*Q106,1.5%)))</f>
        <v>1.4999999999999999E-2</v>
      </c>
      <c r="S106" s="172">
        <f t="shared" ca="1" si="16"/>
        <v>12.523370473537605</v>
      </c>
      <c r="W106" s="216">
        <f t="shared" ca="1" si="22"/>
        <v>2255.2854533867467</v>
      </c>
    </row>
    <row r="107" spans="2:23">
      <c r="B107" s="37">
        <f t="shared" si="17"/>
        <v>85</v>
      </c>
      <c r="C107" s="163">
        <f t="shared" si="18"/>
        <v>47345</v>
      </c>
      <c r="D107" s="38">
        <f t="shared" ca="1" si="19"/>
        <v>347.43728357041869</v>
      </c>
      <c r="E107" s="38">
        <f t="shared" ca="1" si="23"/>
        <v>1907.848169816328</v>
      </c>
      <c r="F107" s="38">
        <f ca="1">IF(B107&lt;=$D$16,F106*(1+$D$13)^((C107-C106)/_xlfn.DAYS(EDATE(C106,1),C106)),F106-D107)+IF(B107&lt;=$D$16,F106*Resumo!$F$12,0)+IF(B107&lt;=$D$16,$D$15*Resumo!$F$13,0)+IF(B107&lt;=$D$16,25,0)-IF(AND($D$16&gt;3,B107&lt;=$D$16),J107,0)</f>
        <v>280218.47004236019</v>
      </c>
      <c r="G107" s="38">
        <f ca="1">IF(AND(B107&lt;&gt;"",K107&lt;&gt;$D$17,$D$16&gt;3),F107*Resumo!$F$12,IF(AND(B107&lt;&gt;"",K107&lt;&gt;$D$17,B107&gt;$D$16),F107*Resumo!$F$12,0))</f>
        <v>58.84587870889564</v>
      </c>
      <c r="H107" s="38">
        <f>IF(AND(B107&lt;&gt;"",K107&lt;&gt;$D$17,$D$16&gt;3,$B107&lt;=$D$16),$D$15*Resumo!$F$13,IF(AND(B107&lt;&gt;"",K107&lt;&gt;$D$17,B107&gt;$D$16),$D$15*Resumo!$F$13,0))</f>
        <v>34.369999999999997</v>
      </c>
      <c r="I107" s="38">
        <f>IF(AND(B107&lt;&gt;"",K107&lt;&gt;$D$17,$D$16&gt;3,$B107&lt;=$D$16),Resumo!$F$11,IF(AND(B107&lt;&gt;"",K107&lt;&gt;$D$17,B107&gt;$D$16),Resumo!$F$11,0))</f>
        <v>25</v>
      </c>
      <c r="J107" s="38">
        <f t="shared" ca="1" si="20"/>
        <v>2373.5013320956423</v>
      </c>
      <c r="K107" s="39" t="str">
        <f>IF(B107&lt;&gt;"",VLOOKUP(MONTH(C107),Sheet2!$F$1:$G$12,2,0),"")</f>
        <v>Agosto</v>
      </c>
      <c r="L107" s="200">
        <f t="shared" ca="1" si="21"/>
        <v>0</v>
      </c>
      <c r="M107" s="40">
        <f t="shared" ca="1" si="12"/>
        <v>2255.2854533867467</v>
      </c>
      <c r="N107" s="40">
        <f t="shared" ca="1" si="13"/>
        <v>2373.5013320956423</v>
      </c>
      <c r="O107" s="40"/>
      <c r="P107" s="20">
        <f t="shared" ca="1" si="14"/>
        <v>834.89136490250701</v>
      </c>
      <c r="Q107" s="1">
        <f t="shared" si="15"/>
        <v>2598</v>
      </c>
      <c r="R107" s="171">
        <f>IF(AND($J$2&gt;=DATEVALUE("03/04/2020"),$J$2&lt;=DATEVALUE("25/11/2020")),0,IF(Resumo!$C$19="PF",IF(Q107&lt;360,0.0082%*Q107,3%),IF(Q107&lt;360,0.0041%*Q107,1.5%)))</f>
        <v>1.4999999999999999E-2</v>
      </c>
      <c r="S107" s="172">
        <f t="shared" ca="1" si="16"/>
        <v>12.523370473537605</v>
      </c>
      <c r="W107" s="216">
        <f t="shared" ca="1" si="22"/>
        <v>2255.2854533867467</v>
      </c>
    </row>
    <row r="108" spans="2:23">
      <c r="B108" s="41">
        <f t="shared" si="17"/>
        <v>86</v>
      </c>
      <c r="C108" s="164">
        <f t="shared" si="18"/>
        <v>47376</v>
      </c>
      <c r="D108" s="42">
        <f t="shared" ca="1" si="19"/>
        <v>349.79985709869743</v>
      </c>
      <c r="E108" s="42">
        <f t="shared" ca="1" si="23"/>
        <v>1905.4855962880492</v>
      </c>
      <c r="F108" s="42">
        <f ca="1">IF(B108&lt;=$D$16,F107*(1+$D$13)^((C108-C107)/_xlfn.DAYS(EDATE(C107,1),C107)),F107-D108)+IF(B108&lt;=$D$16,F107*Resumo!$F$12,0)+IF(B108&lt;=$D$16,$D$15*Resumo!$F$13,0)+IF(B108&lt;=$D$16,25,0)-IF(AND($D$16&gt;3,B108&lt;=$D$16),J108,0)</f>
        <v>279868.67018526146</v>
      </c>
      <c r="G108" s="42">
        <f ca="1">IF(AND(B108&lt;&gt;"",K108&lt;&gt;$D$17,$D$16&gt;3),F108*Resumo!$F$12,IF(AND(B108&lt;&gt;"",K108&lt;&gt;$D$17,B108&gt;$D$16),F108*Resumo!$F$12,0))</f>
        <v>58.772420738904913</v>
      </c>
      <c r="H108" s="42">
        <f>IF(AND(B108&lt;&gt;"",K108&lt;&gt;$D$17,$D$16&gt;3,$B108&lt;=$D$16),$D$15*Resumo!$F$13,IF(AND(B108&lt;&gt;"",K108&lt;&gt;$D$17,B108&gt;$D$16),$D$15*Resumo!$F$13,0))</f>
        <v>34.369999999999997</v>
      </c>
      <c r="I108" s="42">
        <f>IF(AND(B108&lt;&gt;"",K108&lt;&gt;$D$17,$D$16&gt;3,$B108&lt;=$D$16),Resumo!$F$11,IF(AND(B108&lt;&gt;"",K108&lt;&gt;$D$17,B108&gt;$D$16),Resumo!$F$11,0))</f>
        <v>25</v>
      </c>
      <c r="J108" s="42">
        <f t="shared" ca="1" si="20"/>
        <v>2373.4278741256517</v>
      </c>
      <c r="K108" s="39" t="str">
        <f>IF(B108&lt;&gt;"",VLOOKUP(MONTH(C108),Sheet2!$F$1:$G$12,2,0),"")</f>
        <v>Setembro</v>
      </c>
      <c r="L108" s="200">
        <f t="shared" ca="1" si="21"/>
        <v>0</v>
      </c>
      <c r="M108" s="40">
        <f t="shared" ca="1" si="12"/>
        <v>2255.2854533867467</v>
      </c>
      <c r="N108" s="40">
        <f t="shared" ca="1" si="13"/>
        <v>2373.4278741256517</v>
      </c>
      <c r="O108" s="40"/>
      <c r="P108" s="20">
        <f t="shared" ca="1" si="14"/>
        <v>834.89136490250701</v>
      </c>
      <c r="Q108" s="1">
        <f t="shared" si="15"/>
        <v>2629</v>
      </c>
      <c r="R108" s="171">
        <f>IF(AND($J$2&gt;=DATEVALUE("03/04/2020"),$J$2&lt;=DATEVALUE("25/11/2020")),0,IF(Resumo!$C$19="PF",IF(Q108&lt;360,0.0082%*Q108,3%),IF(Q108&lt;360,0.0041%*Q108,1.5%)))</f>
        <v>1.4999999999999999E-2</v>
      </c>
      <c r="S108" s="172">
        <f t="shared" ca="1" si="16"/>
        <v>12.523370473537605</v>
      </c>
      <c r="W108" s="216">
        <f t="shared" ca="1" si="22"/>
        <v>2255.2854533867467</v>
      </c>
    </row>
    <row r="109" spans="2:23">
      <c r="B109" s="37">
        <f t="shared" si="17"/>
        <v>87</v>
      </c>
      <c r="C109" s="163">
        <f t="shared" si="18"/>
        <v>47406</v>
      </c>
      <c r="D109" s="38">
        <f t="shared" ca="1" si="19"/>
        <v>352.17849612696887</v>
      </c>
      <c r="E109" s="38">
        <f t="shared" ca="1" si="23"/>
        <v>1903.1069572597778</v>
      </c>
      <c r="F109" s="38">
        <f ca="1">IF(B109&lt;=$D$16,F108*(1+$D$13)^((C109-C108)/_xlfn.DAYS(EDATE(C108,1),C108)),F108-D109)+IF(B109&lt;=$D$16,F108*Resumo!$F$12,0)+IF(B109&lt;=$D$16,$D$15*Resumo!$F$13,0)+IF(B109&lt;=$D$16,25,0)-IF(AND($D$16&gt;3,B109&lt;=$D$16),J109,0)</f>
        <v>279516.49168913451</v>
      </c>
      <c r="G109" s="38">
        <f ca="1">IF(AND(B109&lt;&gt;"",K109&lt;&gt;$D$17,$D$16&gt;3),F109*Resumo!$F$12,IF(AND(B109&lt;&gt;"",K109&lt;&gt;$D$17,B109&gt;$D$16),F109*Resumo!$F$12,0))</f>
        <v>58.698463254718249</v>
      </c>
      <c r="H109" s="38">
        <f>IF(AND(B109&lt;&gt;"",K109&lt;&gt;$D$17,$D$16&gt;3,$B109&lt;=$D$16),$D$15*Resumo!$F$13,IF(AND(B109&lt;&gt;"",K109&lt;&gt;$D$17,B109&gt;$D$16),$D$15*Resumo!$F$13,0))</f>
        <v>34.369999999999997</v>
      </c>
      <c r="I109" s="38">
        <f>IF(AND(B109&lt;&gt;"",K109&lt;&gt;$D$17,$D$16&gt;3,$B109&lt;=$D$16),Resumo!$F$11,IF(AND(B109&lt;&gt;"",K109&lt;&gt;$D$17,B109&gt;$D$16),Resumo!$F$11,0))</f>
        <v>25</v>
      </c>
      <c r="J109" s="38">
        <f t="shared" ca="1" si="20"/>
        <v>2373.3539166414648</v>
      </c>
      <c r="K109" s="39" t="str">
        <f>IF(B109&lt;&gt;"",VLOOKUP(MONTH(C109),Sheet2!$F$1:$G$12,2,0),"")</f>
        <v>Outubro</v>
      </c>
      <c r="L109" s="200">
        <f t="shared" ca="1" si="21"/>
        <v>0</v>
      </c>
      <c r="M109" s="40">
        <f t="shared" ca="1" si="12"/>
        <v>2255.2854533867467</v>
      </c>
      <c r="N109" s="40">
        <f t="shared" ca="1" si="13"/>
        <v>2373.3539166414648</v>
      </c>
      <c r="O109" s="40"/>
      <c r="P109" s="20">
        <f t="shared" ca="1" si="14"/>
        <v>834.89136490250701</v>
      </c>
      <c r="Q109" s="1">
        <f t="shared" si="15"/>
        <v>2659</v>
      </c>
      <c r="R109" s="171">
        <f>IF(AND($J$2&gt;=DATEVALUE("03/04/2020"),$J$2&lt;=DATEVALUE("25/11/2020")),0,IF(Resumo!$C$19="PF",IF(Q109&lt;360,0.0082%*Q109,3%),IF(Q109&lt;360,0.0041%*Q109,1.5%)))</f>
        <v>1.4999999999999999E-2</v>
      </c>
      <c r="S109" s="172">
        <f t="shared" ca="1" si="16"/>
        <v>12.523370473537605</v>
      </c>
      <c r="W109" s="216">
        <f t="shared" ca="1" si="22"/>
        <v>2255.2854533867467</v>
      </c>
    </row>
    <row r="110" spans="2:23">
      <c r="B110" s="41">
        <f t="shared" si="17"/>
        <v>88</v>
      </c>
      <c r="C110" s="164">
        <f t="shared" si="18"/>
        <v>47437</v>
      </c>
      <c r="D110" s="42">
        <f t="shared" ca="1" si="19"/>
        <v>354.57330990063224</v>
      </c>
      <c r="E110" s="42">
        <f t="shared" ca="1" si="23"/>
        <v>1900.7121434861144</v>
      </c>
      <c r="F110" s="42">
        <f ca="1">IF(B110&lt;=$D$16,F109*(1+$D$13)^((C110-C109)/_xlfn.DAYS(EDATE(C109,1),C109)),F109-D110)+IF(B110&lt;=$D$16,F109*Resumo!$F$12,0)+IF(B110&lt;=$D$16,$D$15*Resumo!$F$13,0)+IF(B110&lt;=$D$16,25,0)-IF(AND($D$16&gt;3,B110&lt;=$D$16),J110,0)</f>
        <v>279161.91837923386</v>
      </c>
      <c r="G110" s="42">
        <f ca="1">IF(AND(B110&lt;&gt;"",K110&lt;&gt;$D$17,$D$16&gt;3),F110*Resumo!$F$12,IF(AND(B110&lt;&gt;"",K110&lt;&gt;$D$17,B110&gt;$D$16),F110*Resumo!$F$12,0))</f>
        <v>58.624002859639113</v>
      </c>
      <c r="H110" s="42">
        <f>IF(AND(B110&lt;&gt;"",K110&lt;&gt;$D$17,$D$16&gt;3,$B110&lt;=$D$16),$D$15*Resumo!$F$13,IF(AND(B110&lt;&gt;"",K110&lt;&gt;$D$17,B110&gt;$D$16),$D$15*Resumo!$F$13,0))</f>
        <v>34.369999999999997</v>
      </c>
      <c r="I110" s="42">
        <f>IF(AND(B110&lt;&gt;"",K110&lt;&gt;$D$17,$D$16&gt;3,$B110&lt;=$D$16),Resumo!$F$11,IF(AND(B110&lt;&gt;"",K110&lt;&gt;$D$17,B110&gt;$D$16),Resumo!$F$11,0))</f>
        <v>25</v>
      </c>
      <c r="J110" s="42">
        <f t="shared" ca="1" si="20"/>
        <v>2373.2794562463855</v>
      </c>
      <c r="K110" s="39" t="str">
        <f>IF(B110&lt;&gt;"",VLOOKUP(MONTH(C110),Sheet2!$F$1:$G$12,2,0),"")</f>
        <v>Novembro</v>
      </c>
      <c r="L110" s="200">
        <f t="shared" ca="1" si="21"/>
        <v>0</v>
      </c>
      <c r="M110" s="40">
        <f t="shared" ca="1" si="12"/>
        <v>2255.2854533867467</v>
      </c>
      <c r="N110" s="40">
        <f t="shared" ca="1" si="13"/>
        <v>2373.2794562463855</v>
      </c>
      <c r="O110" s="40"/>
      <c r="P110" s="20">
        <f t="shared" ca="1" si="14"/>
        <v>834.89136490250701</v>
      </c>
      <c r="Q110" s="1">
        <f t="shared" si="15"/>
        <v>2690</v>
      </c>
      <c r="R110" s="171">
        <f>IF(AND($J$2&gt;=DATEVALUE("03/04/2020"),$J$2&lt;=DATEVALUE("25/11/2020")),0,IF(Resumo!$C$19="PF",IF(Q110&lt;360,0.0082%*Q110,3%),IF(Q110&lt;360,0.0041%*Q110,1.5%)))</f>
        <v>1.4999999999999999E-2</v>
      </c>
      <c r="S110" s="172">
        <f t="shared" ca="1" si="16"/>
        <v>12.523370473537605</v>
      </c>
      <c r="W110" s="216">
        <f t="shared" ca="1" si="22"/>
        <v>2255.2854533867467</v>
      </c>
    </row>
    <row r="111" spans="2:23">
      <c r="B111" s="37">
        <f t="shared" si="17"/>
        <v>89</v>
      </c>
      <c r="C111" s="163">
        <f t="shared" si="18"/>
        <v>47467</v>
      </c>
      <c r="D111" s="38">
        <f t="shared" ca="1" si="19"/>
        <v>356.98440840795661</v>
      </c>
      <c r="E111" s="38">
        <f t="shared" ca="1" si="23"/>
        <v>1898.3010449787901</v>
      </c>
      <c r="F111" s="38">
        <f ca="1">IF(B111&lt;=$D$16,F110*(1+$D$13)^((C111-C110)/_xlfn.DAYS(EDATE(C110,1),C110)),F110-D111)+IF(B111&lt;=$D$16,F110*Resumo!$F$12,0)+IF(B111&lt;=$D$16,$D$15*Resumo!$F$13,0)+IF(B111&lt;=$D$16,25,0)-IF(AND($D$16&gt;3,B111&lt;=$D$16),J111,0)</f>
        <v>278804.93397082592</v>
      </c>
      <c r="G111" s="38">
        <f ca="1">IF(AND(B111&lt;&gt;"",K111&lt;&gt;$D$17,$D$16&gt;3),F111*Resumo!$F$12,IF(AND(B111&lt;&gt;"",K111&lt;&gt;$D$17,B111&gt;$D$16),F111*Resumo!$F$12,0))</f>
        <v>58.549036133873443</v>
      </c>
      <c r="H111" s="38">
        <f>IF(AND(B111&lt;&gt;"",K111&lt;&gt;$D$17,$D$16&gt;3,$B111&lt;=$D$16),$D$15*Resumo!$F$13,IF(AND(B111&lt;&gt;"",K111&lt;&gt;$D$17,B111&gt;$D$16),$D$15*Resumo!$F$13,0))</f>
        <v>34.369999999999997</v>
      </c>
      <c r="I111" s="38">
        <f>IF(AND(B111&lt;&gt;"",K111&lt;&gt;$D$17,$D$16&gt;3,$B111&lt;=$D$16),Resumo!$F$11,IF(AND(B111&lt;&gt;"",K111&lt;&gt;$D$17,B111&gt;$D$16),Resumo!$F$11,0))</f>
        <v>25</v>
      </c>
      <c r="J111" s="38">
        <f t="shared" ca="1" si="20"/>
        <v>2373.20448952062</v>
      </c>
      <c r="K111" s="39" t="str">
        <f>IF(B111&lt;&gt;"",VLOOKUP(MONTH(C111),Sheet2!$F$1:$G$12,2,0),"")</f>
        <v>Dezembro</v>
      </c>
      <c r="L111" s="200">
        <f t="shared" ca="1" si="21"/>
        <v>0</v>
      </c>
      <c r="M111" s="40">
        <f t="shared" ca="1" si="12"/>
        <v>2255.2854533867467</v>
      </c>
      <c r="N111" s="40">
        <f t="shared" ca="1" si="13"/>
        <v>2373.20448952062</v>
      </c>
      <c r="O111" s="40"/>
      <c r="P111" s="20">
        <f t="shared" ca="1" si="14"/>
        <v>834.89136490250701</v>
      </c>
      <c r="Q111" s="1">
        <f t="shared" si="15"/>
        <v>2720</v>
      </c>
      <c r="R111" s="171">
        <f>IF(AND($J$2&gt;=DATEVALUE("03/04/2020"),$J$2&lt;=DATEVALUE("25/11/2020")),0,IF(Resumo!$C$19="PF",IF(Q111&lt;360,0.0082%*Q111,3%),IF(Q111&lt;360,0.0041%*Q111,1.5%)))</f>
        <v>1.4999999999999999E-2</v>
      </c>
      <c r="S111" s="172">
        <f t="shared" ca="1" si="16"/>
        <v>12.523370473537605</v>
      </c>
      <c r="W111" s="216">
        <f t="shared" ca="1" si="22"/>
        <v>2255.2854533867467</v>
      </c>
    </row>
    <row r="112" spans="2:23">
      <c r="B112" s="41">
        <f t="shared" si="17"/>
        <v>90</v>
      </c>
      <c r="C112" s="164">
        <f t="shared" si="18"/>
        <v>47498</v>
      </c>
      <c r="D112" s="42">
        <f t="shared" ca="1" si="19"/>
        <v>359.41190238513059</v>
      </c>
      <c r="E112" s="42">
        <f t="shared" ca="1" si="23"/>
        <v>1895.8735510016161</v>
      </c>
      <c r="F112" s="42">
        <f ca="1">IF(B112&lt;=$D$16,F111*(1+$D$13)^((C112-C111)/_xlfn.DAYS(EDATE(C111,1),C111)),F111-D112)+IF(B112&lt;=$D$16,F111*Resumo!$F$12,0)+IF(B112&lt;=$D$16,$D$15*Resumo!$F$13,0)+IF(B112&lt;=$D$16,25,0)-IF(AND($D$16&gt;3,B112&lt;=$D$16),J112,0)</f>
        <v>278445.5220684408</v>
      </c>
      <c r="G112" s="42">
        <f ca="1">IF(AND(B112&lt;&gt;"",K112&lt;&gt;$D$17,$D$16&gt;3),F112*Resumo!$F$12,IF(AND(B112&lt;&gt;"",K112&lt;&gt;$D$17,B112&gt;$D$16),F112*Resumo!$F$12,0))</f>
        <v>58.47355963437257</v>
      </c>
      <c r="H112" s="42">
        <f>IF(AND(B112&lt;&gt;"",K112&lt;&gt;$D$17,$D$16&gt;3,$B112&lt;=$D$16),$D$15*Resumo!$F$13,IF(AND(B112&lt;&gt;"",K112&lt;&gt;$D$17,B112&gt;$D$16),$D$15*Resumo!$F$13,0))</f>
        <v>34.369999999999997</v>
      </c>
      <c r="I112" s="42">
        <f>IF(AND(B112&lt;&gt;"",K112&lt;&gt;$D$17,$D$16&gt;3,$B112&lt;=$D$16),Resumo!$F$11,IF(AND(B112&lt;&gt;"",K112&lt;&gt;$D$17,B112&gt;$D$16),Resumo!$F$11,0))</f>
        <v>25</v>
      </c>
      <c r="J112" s="42">
        <f t="shared" ca="1" si="20"/>
        <v>2373.1290130211191</v>
      </c>
      <c r="K112" s="39" t="str">
        <f>IF(B112&lt;&gt;"",VLOOKUP(MONTH(C112),Sheet2!$F$1:$G$12,2,0),"")</f>
        <v>Janeiro</v>
      </c>
      <c r="L112" s="200">
        <f t="shared" ca="1" si="21"/>
        <v>0</v>
      </c>
      <c r="M112" s="40">
        <f t="shared" ca="1" si="12"/>
        <v>2255.2854533867467</v>
      </c>
      <c r="N112" s="40">
        <f t="shared" ca="1" si="13"/>
        <v>2373.1290130211191</v>
      </c>
      <c r="O112" s="40"/>
      <c r="P112" s="20">
        <f t="shared" ca="1" si="14"/>
        <v>834.89136490250701</v>
      </c>
      <c r="Q112" s="1">
        <f t="shared" si="15"/>
        <v>2751</v>
      </c>
      <c r="R112" s="171">
        <f>IF(AND($J$2&gt;=DATEVALUE("03/04/2020"),$J$2&lt;=DATEVALUE("25/11/2020")),0,IF(Resumo!$C$19="PF",IF(Q112&lt;360,0.0082%*Q112,3%),IF(Q112&lt;360,0.0041%*Q112,1.5%)))</f>
        <v>1.4999999999999999E-2</v>
      </c>
      <c r="S112" s="172">
        <f t="shared" ca="1" si="16"/>
        <v>12.523370473537605</v>
      </c>
      <c r="W112" s="216">
        <f t="shared" ca="1" si="22"/>
        <v>2255.2854533867467</v>
      </c>
    </row>
    <row r="113" spans="2:23">
      <c r="B113" s="37">
        <f t="shared" si="17"/>
        <v>91</v>
      </c>
      <c r="C113" s="163">
        <f t="shared" si="18"/>
        <v>47529</v>
      </c>
      <c r="D113" s="38">
        <f t="shared" ca="1" si="19"/>
        <v>361.85590332134939</v>
      </c>
      <c r="E113" s="38">
        <f t="shared" ca="1" si="23"/>
        <v>1893.4295500653973</v>
      </c>
      <c r="F113" s="38">
        <f ca="1">IF(B113&lt;=$D$16,F112*(1+$D$13)^((C113-C112)/_xlfn.DAYS(EDATE(C112,1),C112)),F112-D113)+IF(B113&lt;=$D$16,F112*Resumo!$F$12,0)+IF(B113&lt;=$D$16,$D$15*Resumo!$F$13,0)+IF(B113&lt;=$D$16,25,0)-IF(AND($D$16&gt;3,B113&lt;=$D$16),J113,0)</f>
        <v>278083.66616511944</v>
      </c>
      <c r="G113" s="38">
        <f ca="1">IF(AND(B113&lt;&gt;"",K113&lt;&gt;$D$17,$D$16&gt;3),F113*Resumo!$F$12,IF(AND(B113&lt;&gt;"",K113&lt;&gt;$D$17,B113&gt;$D$16),F113*Resumo!$F$12,0))</f>
        <v>58.397569894675087</v>
      </c>
      <c r="H113" s="38">
        <f>IF(AND(B113&lt;&gt;"",K113&lt;&gt;$D$17,$D$16&gt;3,$B113&lt;=$D$16),$D$15*Resumo!$F$13,IF(AND(B113&lt;&gt;"",K113&lt;&gt;$D$17,B113&gt;$D$16),$D$15*Resumo!$F$13,0))</f>
        <v>34.369999999999997</v>
      </c>
      <c r="I113" s="38">
        <f>IF(AND(B113&lt;&gt;"",K113&lt;&gt;$D$17,$D$16&gt;3,$B113&lt;=$D$16),Resumo!$F$11,IF(AND(B113&lt;&gt;"",K113&lt;&gt;$D$17,B113&gt;$D$16),Resumo!$F$11,0))</f>
        <v>25</v>
      </c>
      <c r="J113" s="38">
        <f t="shared" ca="1" si="20"/>
        <v>2373.0530232814217</v>
      </c>
      <c r="K113" s="39" t="str">
        <f>IF(B113&lt;&gt;"",VLOOKUP(MONTH(C113),Sheet2!$F$1:$G$12,2,0),"")</f>
        <v>Fevereiro</v>
      </c>
      <c r="L113" s="200">
        <f t="shared" ca="1" si="21"/>
        <v>0</v>
      </c>
      <c r="M113" s="40">
        <f t="shared" ca="1" si="12"/>
        <v>2255.2854533867467</v>
      </c>
      <c r="N113" s="40">
        <f t="shared" ca="1" si="13"/>
        <v>2373.0530232814217</v>
      </c>
      <c r="O113" s="40"/>
      <c r="P113" s="20">
        <f t="shared" ca="1" si="14"/>
        <v>834.89136490250701</v>
      </c>
      <c r="Q113" s="1">
        <f t="shared" si="15"/>
        <v>2782</v>
      </c>
      <c r="R113" s="171">
        <f>IF(AND($J$2&gt;=DATEVALUE("03/04/2020"),$J$2&lt;=DATEVALUE("25/11/2020")),0,IF(Resumo!$C$19="PF",IF(Q113&lt;360,0.0082%*Q113,3%),IF(Q113&lt;360,0.0041%*Q113,1.5%)))</f>
        <v>1.4999999999999999E-2</v>
      </c>
      <c r="S113" s="172">
        <f t="shared" ca="1" si="16"/>
        <v>12.523370473537605</v>
      </c>
      <c r="W113" s="216">
        <f t="shared" ca="1" si="22"/>
        <v>2255.2854533867467</v>
      </c>
    </row>
    <row r="114" spans="2:23">
      <c r="B114" s="41">
        <f t="shared" si="17"/>
        <v>92</v>
      </c>
      <c r="C114" s="164">
        <f t="shared" si="18"/>
        <v>47557</v>
      </c>
      <c r="D114" s="42">
        <f t="shared" ca="1" si="19"/>
        <v>364.31652346393457</v>
      </c>
      <c r="E114" s="42">
        <f t="shared" ca="1" si="23"/>
        <v>1890.9689299228121</v>
      </c>
      <c r="F114" s="42">
        <f ca="1">IF(B114&lt;=$D$16,F113*(1+$D$13)^((C114-C113)/_xlfn.DAYS(EDATE(C113,1),C113)),F113-D114)+IF(B114&lt;=$D$16,F113*Resumo!$F$12,0)+IF(B114&lt;=$D$16,$D$15*Resumo!$F$13,0)+IF(B114&lt;=$D$16,25,0)-IF(AND($D$16&gt;3,B114&lt;=$D$16),J114,0)</f>
        <v>277719.34964165551</v>
      </c>
      <c r="G114" s="42">
        <f ca="1">IF(AND(B114&lt;&gt;"",K114&lt;&gt;$D$17,$D$16&gt;3),F114*Resumo!$F$12,IF(AND(B114&lt;&gt;"",K114&lt;&gt;$D$17,B114&gt;$D$16),F114*Resumo!$F$12,0))</f>
        <v>58.321063424747663</v>
      </c>
      <c r="H114" s="42">
        <f>IF(AND(B114&lt;&gt;"",K114&lt;&gt;$D$17,$D$16&gt;3,$B114&lt;=$D$16),$D$15*Resumo!$F$13,IF(AND(B114&lt;&gt;"",K114&lt;&gt;$D$17,B114&gt;$D$16),$D$15*Resumo!$F$13,0))</f>
        <v>34.369999999999997</v>
      </c>
      <c r="I114" s="42">
        <f>IF(AND(B114&lt;&gt;"",K114&lt;&gt;$D$17,$D$16&gt;3,$B114&lt;=$D$16),Resumo!$F$11,IF(AND(B114&lt;&gt;"",K114&lt;&gt;$D$17,B114&gt;$D$16),Resumo!$F$11,0))</f>
        <v>25</v>
      </c>
      <c r="J114" s="42">
        <f t="shared" ca="1" si="20"/>
        <v>2372.9765168114941</v>
      </c>
      <c r="K114" s="39" t="str">
        <f>IF(B114&lt;&gt;"",VLOOKUP(MONTH(C114),Sheet2!$F$1:$G$12,2,0),"")</f>
        <v>Março</v>
      </c>
      <c r="L114" s="200">
        <f t="shared" ca="1" si="21"/>
        <v>0</v>
      </c>
      <c r="M114" s="40">
        <f t="shared" ca="1" si="12"/>
        <v>2255.2854533867467</v>
      </c>
      <c r="N114" s="40">
        <f t="shared" ca="1" si="13"/>
        <v>2372.9765168114941</v>
      </c>
      <c r="O114" s="40"/>
      <c r="P114" s="20">
        <f t="shared" ca="1" si="14"/>
        <v>834.89136490250701</v>
      </c>
      <c r="Q114" s="1">
        <f t="shared" si="15"/>
        <v>2810</v>
      </c>
      <c r="R114" s="171">
        <f>IF(AND($J$2&gt;=DATEVALUE("03/04/2020"),$J$2&lt;=DATEVALUE("25/11/2020")),0,IF(Resumo!$C$19="PF",IF(Q114&lt;360,0.0082%*Q114,3%),IF(Q114&lt;360,0.0041%*Q114,1.5%)))</f>
        <v>1.4999999999999999E-2</v>
      </c>
      <c r="S114" s="172">
        <f t="shared" ca="1" si="16"/>
        <v>12.523370473537605</v>
      </c>
      <c r="W114" s="216">
        <f t="shared" ca="1" si="22"/>
        <v>2255.2854533867467</v>
      </c>
    </row>
    <row r="115" spans="2:23">
      <c r="B115" s="37">
        <f t="shared" si="17"/>
        <v>93</v>
      </c>
      <c r="C115" s="163">
        <f t="shared" si="18"/>
        <v>47588</v>
      </c>
      <c r="D115" s="38">
        <f t="shared" ca="1" si="19"/>
        <v>366.79387582348932</v>
      </c>
      <c r="E115" s="38">
        <f t="shared" ca="1" si="23"/>
        <v>1888.4915775632574</v>
      </c>
      <c r="F115" s="38">
        <f ca="1">IF(B115&lt;=$D$16,F114*(1+$D$13)^((C115-C114)/_xlfn.DAYS(EDATE(C114,1),C114)),F114-D115)+IF(B115&lt;=$D$16,F114*Resumo!$F$12,0)+IF(B115&lt;=$D$16,$D$15*Resumo!$F$13,0)+IF(B115&lt;=$D$16,25,0)-IF(AND($D$16&gt;3,B115&lt;=$D$16),J115,0)</f>
        <v>277352.55576583202</v>
      </c>
      <c r="G115" s="38">
        <f ca="1">IF(AND(B115&lt;&gt;"",K115&lt;&gt;$D$17,$D$16&gt;3),F115*Resumo!$F$12,IF(AND(B115&lt;&gt;"",K115&lt;&gt;$D$17,B115&gt;$D$16),F115*Resumo!$F$12,0))</f>
        <v>58.244036710824723</v>
      </c>
      <c r="H115" s="38">
        <f>IF(AND(B115&lt;&gt;"",K115&lt;&gt;$D$17,$D$16&gt;3,$B115&lt;=$D$16),$D$15*Resumo!$F$13,IF(AND(B115&lt;&gt;"",K115&lt;&gt;$D$17,B115&gt;$D$16),$D$15*Resumo!$F$13,0))</f>
        <v>34.369999999999997</v>
      </c>
      <c r="I115" s="38">
        <f>IF(AND(B115&lt;&gt;"",K115&lt;&gt;$D$17,$D$16&gt;3,$B115&lt;=$D$16),Resumo!$F$11,IF(AND(B115&lt;&gt;"",K115&lt;&gt;$D$17,B115&gt;$D$16),Resumo!$F$11,0))</f>
        <v>25</v>
      </c>
      <c r="J115" s="38">
        <f t="shared" ca="1" si="20"/>
        <v>2372.8994900975713</v>
      </c>
      <c r="K115" s="39" t="str">
        <f>IF(B115&lt;&gt;"",VLOOKUP(MONTH(C115),Sheet2!$F$1:$G$12,2,0),"")</f>
        <v>Abril</v>
      </c>
      <c r="L115" s="200">
        <f t="shared" ca="1" si="21"/>
        <v>0</v>
      </c>
      <c r="M115" s="40">
        <f t="shared" ca="1" si="12"/>
        <v>2255.2854533867467</v>
      </c>
      <c r="N115" s="40">
        <f t="shared" ca="1" si="13"/>
        <v>2372.8994900975713</v>
      </c>
      <c r="O115" s="40"/>
      <c r="P115" s="20">
        <f t="shared" ca="1" si="14"/>
        <v>834.89136490250701</v>
      </c>
      <c r="Q115" s="1">
        <f t="shared" si="15"/>
        <v>2841</v>
      </c>
      <c r="R115" s="171">
        <f>IF(AND($J$2&gt;=DATEVALUE("03/04/2020"),$J$2&lt;=DATEVALUE("25/11/2020")),0,IF(Resumo!$C$19="PF",IF(Q115&lt;360,0.0082%*Q115,3%),IF(Q115&lt;360,0.0041%*Q115,1.5%)))</f>
        <v>1.4999999999999999E-2</v>
      </c>
      <c r="S115" s="172">
        <f t="shared" ca="1" si="16"/>
        <v>12.523370473537605</v>
      </c>
      <c r="W115" s="216">
        <f t="shared" ca="1" si="22"/>
        <v>2255.2854533867467</v>
      </c>
    </row>
    <row r="116" spans="2:23">
      <c r="B116" s="41">
        <f t="shared" si="17"/>
        <v>94</v>
      </c>
      <c r="C116" s="164">
        <f t="shared" si="18"/>
        <v>47618</v>
      </c>
      <c r="D116" s="42">
        <f t="shared" ca="1" si="19"/>
        <v>369.28807417908911</v>
      </c>
      <c r="E116" s="42">
        <f t="shared" ca="1" si="23"/>
        <v>1885.9973792076576</v>
      </c>
      <c r="F116" s="42">
        <f ca="1">IF(B116&lt;=$D$16,F115*(1+$D$13)^((C116-C115)/_xlfn.DAYS(EDATE(C115,1),C115)),F115-D116)+IF(B116&lt;=$D$16,F115*Resumo!$F$12,0)+IF(B116&lt;=$D$16,$D$15*Resumo!$F$13,0)+IF(B116&lt;=$D$16,25,0)-IF(AND($D$16&gt;3,B116&lt;=$D$16),J116,0)</f>
        <v>276983.26769165293</v>
      </c>
      <c r="G116" s="42">
        <f ca="1">IF(AND(B116&lt;&gt;"",K116&lt;&gt;$D$17,$D$16&gt;3),F116*Resumo!$F$12,IF(AND(B116&lt;&gt;"",K116&lt;&gt;$D$17,B116&gt;$D$16),F116*Resumo!$F$12,0))</f>
        <v>58.166486215247119</v>
      </c>
      <c r="H116" s="42">
        <f>IF(AND(B116&lt;&gt;"",K116&lt;&gt;$D$17,$D$16&gt;3,$B116&lt;=$D$16),$D$15*Resumo!$F$13,IF(AND(B116&lt;&gt;"",K116&lt;&gt;$D$17,B116&gt;$D$16),$D$15*Resumo!$F$13,0))</f>
        <v>34.369999999999997</v>
      </c>
      <c r="I116" s="42">
        <f>IF(AND(B116&lt;&gt;"",K116&lt;&gt;$D$17,$D$16&gt;3,$B116&lt;=$D$16),Resumo!$F$11,IF(AND(B116&lt;&gt;"",K116&lt;&gt;$D$17,B116&gt;$D$16),Resumo!$F$11,0))</f>
        <v>25</v>
      </c>
      <c r="J116" s="42">
        <f t="shared" ca="1" si="20"/>
        <v>2372.8219396019936</v>
      </c>
      <c r="K116" s="39" t="str">
        <f>IF(B116&lt;&gt;"",VLOOKUP(MONTH(C116),Sheet2!$F$1:$G$12,2,0),"")</f>
        <v>Maio</v>
      </c>
      <c r="L116" s="200">
        <f t="shared" ca="1" si="21"/>
        <v>0</v>
      </c>
      <c r="M116" s="40">
        <f t="shared" ca="1" si="12"/>
        <v>2255.2854533867467</v>
      </c>
      <c r="N116" s="40">
        <f t="shared" ca="1" si="13"/>
        <v>2372.8219396019936</v>
      </c>
      <c r="O116" s="40"/>
      <c r="P116" s="20">
        <f t="shared" ca="1" si="14"/>
        <v>834.89136490250701</v>
      </c>
      <c r="Q116" s="1">
        <f t="shared" si="15"/>
        <v>2871</v>
      </c>
      <c r="R116" s="171">
        <f>IF(AND($J$2&gt;=DATEVALUE("03/04/2020"),$J$2&lt;=DATEVALUE("25/11/2020")),0,IF(Resumo!$C$19="PF",IF(Q116&lt;360,0.0082%*Q116,3%),IF(Q116&lt;360,0.0041%*Q116,1.5%)))</f>
        <v>1.4999999999999999E-2</v>
      </c>
      <c r="S116" s="172">
        <f t="shared" ca="1" si="16"/>
        <v>12.523370473537605</v>
      </c>
      <c r="W116" s="216">
        <f t="shared" ca="1" si="22"/>
        <v>2255.2854533867467</v>
      </c>
    </row>
    <row r="117" spans="2:23">
      <c r="B117" s="37">
        <f t="shared" si="17"/>
        <v>95</v>
      </c>
      <c r="C117" s="163">
        <f t="shared" si="18"/>
        <v>47649</v>
      </c>
      <c r="D117" s="38">
        <f t="shared" ca="1" si="19"/>
        <v>371.79923308350681</v>
      </c>
      <c r="E117" s="38">
        <f t="shared" ca="1" si="23"/>
        <v>1883.4862203032399</v>
      </c>
      <c r="F117" s="38">
        <f ca="1">IF(B117&lt;=$D$16,F116*(1+$D$13)^((C117-C116)/_xlfn.DAYS(EDATE(C116,1),C116)),F116-D117)+IF(B117&lt;=$D$16,F116*Resumo!$F$12,0)+IF(B117&lt;=$D$16,$D$15*Resumo!$F$13,0)+IF(B117&lt;=$D$16,25,0)-IF(AND($D$16&gt;3,B117&lt;=$D$16),J117,0)</f>
        <v>276611.46845856943</v>
      </c>
      <c r="G117" s="38">
        <f ca="1">IF(AND(B117&lt;&gt;"",K117&lt;&gt;$D$17,$D$16&gt;3),F117*Resumo!$F$12,IF(AND(B117&lt;&gt;"",K117&lt;&gt;$D$17,B117&gt;$D$16),F117*Resumo!$F$12,0))</f>
        <v>58.088408376299583</v>
      </c>
      <c r="H117" s="38">
        <f>IF(AND(B117&lt;&gt;"",K117&lt;&gt;$D$17,$D$16&gt;3,$B117&lt;=$D$16),$D$15*Resumo!$F$13,IF(AND(B117&lt;&gt;"",K117&lt;&gt;$D$17,B117&gt;$D$16),$D$15*Resumo!$F$13,0))</f>
        <v>34.369999999999997</v>
      </c>
      <c r="I117" s="38">
        <f>IF(AND(B117&lt;&gt;"",K117&lt;&gt;$D$17,$D$16&gt;3,$B117&lt;=$D$16),Resumo!$F$11,IF(AND(B117&lt;&gt;"",K117&lt;&gt;$D$17,B117&gt;$D$16),Resumo!$F$11,0))</f>
        <v>25</v>
      </c>
      <c r="J117" s="38">
        <f t="shared" ca="1" si="20"/>
        <v>2372.743861763046</v>
      </c>
      <c r="K117" s="39" t="str">
        <f>IF(B117&lt;&gt;"",VLOOKUP(MONTH(C117),Sheet2!$F$1:$G$12,2,0),"")</f>
        <v>Junho</v>
      </c>
      <c r="L117" s="200">
        <f t="shared" ca="1" si="21"/>
        <v>0</v>
      </c>
      <c r="M117" s="40">
        <f t="shared" ca="1" si="12"/>
        <v>2255.2854533867467</v>
      </c>
      <c r="N117" s="40">
        <f t="shared" ca="1" si="13"/>
        <v>2372.743861763046</v>
      </c>
      <c r="O117" s="40"/>
      <c r="P117" s="20">
        <f t="shared" ca="1" si="14"/>
        <v>834.89136490250701</v>
      </c>
      <c r="Q117" s="1">
        <f t="shared" si="15"/>
        <v>2902</v>
      </c>
      <c r="R117" s="171">
        <f>IF(AND($J$2&gt;=DATEVALUE("03/04/2020"),$J$2&lt;=DATEVALUE("25/11/2020")),0,IF(Resumo!$C$19="PF",IF(Q117&lt;360,0.0082%*Q117,3%),IF(Q117&lt;360,0.0041%*Q117,1.5%)))</f>
        <v>1.4999999999999999E-2</v>
      </c>
      <c r="S117" s="172">
        <f t="shared" ca="1" si="16"/>
        <v>12.523370473537605</v>
      </c>
      <c r="W117" s="216">
        <f t="shared" ca="1" si="22"/>
        <v>2255.2854533867467</v>
      </c>
    </row>
    <row r="118" spans="2:23">
      <c r="B118" s="41">
        <f t="shared" si="17"/>
        <v>96</v>
      </c>
      <c r="C118" s="164">
        <f t="shared" si="18"/>
        <v>47679</v>
      </c>
      <c r="D118" s="42">
        <f t="shared" ca="1" si="19"/>
        <v>374.32746786847451</v>
      </c>
      <c r="E118" s="42">
        <f t="shared" ca="1" si="23"/>
        <v>1880.9579855182722</v>
      </c>
      <c r="F118" s="42">
        <f ca="1">IF(B118&lt;=$D$16,F117*(1+$D$13)^((C118-C117)/_xlfn.DAYS(EDATE(C117,1),C117)),F117-D118)+IF(B118&lt;=$D$16,F117*Resumo!$F$12,0)+IF(B118&lt;=$D$16,$D$15*Resumo!$F$13,0)+IF(B118&lt;=$D$16,25,0)-IF(AND($D$16&gt;3,B118&lt;=$D$16),J118,0)</f>
        <v>276237.14099070098</v>
      </c>
      <c r="G118" s="42">
        <f ca="1">IF(AND(B118&lt;&gt;"",K118&lt;&gt;$D$17,$D$16&gt;3),F118*Resumo!$F$12,IF(AND(B118&lt;&gt;"",K118&lt;&gt;$D$17,B118&gt;$D$16),F118*Resumo!$F$12,0))</f>
        <v>58.00979960804721</v>
      </c>
      <c r="H118" s="42">
        <f>IF(AND(B118&lt;&gt;"",K118&lt;&gt;$D$17,$D$16&gt;3,$B118&lt;=$D$16),$D$15*Resumo!$F$13,IF(AND(B118&lt;&gt;"",K118&lt;&gt;$D$17,B118&gt;$D$16),$D$15*Resumo!$F$13,0))</f>
        <v>34.369999999999997</v>
      </c>
      <c r="I118" s="42">
        <f>IF(AND(B118&lt;&gt;"",K118&lt;&gt;$D$17,$D$16&gt;3,$B118&lt;=$D$16),Resumo!$F$11,IF(AND(B118&lt;&gt;"",K118&lt;&gt;$D$17,B118&gt;$D$16),Resumo!$F$11,0))</f>
        <v>25</v>
      </c>
      <c r="J118" s="42">
        <f t="shared" ca="1" si="20"/>
        <v>2372.6652529947937</v>
      </c>
      <c r="K118" s="39" t="str">
        <f>IF(B118&lt;&gt;"",VLOOKUP(MONTH(C118),Sheet2!$F$1:$G$12,2,0),"")</f>
        <v>Julho</v>
      </c>
      <c r="L118" s="200">
        <f t="shared" ca="1" si="21"/>
        <v>0</v>
      </c>
      <c r="M118" s="40">
        <f t="shared" ca="1" si="12"/>
        <v>2255.2854533867467</v>
      </c>
      <c r="N118" s="40">
        <f t="shared" ca="1" si="13"/>
        <v>2372.6652529947937</v>
      </c>
      <c r="O118" s="40"/>
      <c r="P118" s="20">
        <f t="shared" ca="1" si="14"/>
        <v>834.89136490250701</v>
      </c>
      <c r="Q118" s="1">
        <f t="shared" si="15"/>
        <v>2932</v>
      </c>
      <c r="R118" s="171">
        <f>IF(AND($J$2&gt;=DATEVALUE("03/04/2020"),$J$2&lt;=DATEVALUE("25/11/2020")),0,IF(Resumo!$C$19="PF",IF(Q118&lt;360,0.0082%*Q118,3%),IF(Q118&lt;360,0.0041%*Q118,1.5%)))</f>
        <v>1.4999999999999999E-2</v>
      </c>
      <c r="S118" s="172">
        <f t="shared" ca="1" si="16"/>
        <v>12.523370473537605</v>
      </c>
      <c r="W118" s="216">
        <f t="shared" ca="1" si="22"/>
        <v>2255.2854533867467</v>
      </c>
    </row>
    <row r="119" spans="2:23">
      <c r="B119" s="37">
        <f t="shared" si="17"/>
        <v>97</v>
      </c>
      <c r="C119" s="163">
        <f t="shared" si="18"/>
        <v>47710</v>
      </c>
      <c r="D119" s="38">
        <f t="shared" ca="1" si="19"/>
        <v>376.87289464998003</v>
      </c>
      <c r="E119" s="38">
        <f t="shared" ca="1" si="23"/>
        <v>1878.4125587367666</v>
      </c>
      <c r="F119" s="38">
        <f ca="1">IF(B119&lt;=$D$16,F118*(1+$D$13)^((C119-C118)/_xlfn.DAYS(EDATE(C118,1),C118)),F118-D119)+IF(B119&lt;=$D$16,F118*Resumo!$F$12,0)+IF(B119&lt;=$D$16,$D$15*Resumo!$F$13,0)+IF(B119&lt;=$D$16,25,0)-IF(AND($D$16&gt;3,B119&lt;=$D$16),J119,0)</f>
        <v>275860.268096051</v>
      </c>
      <c r="G119" s="38">
        <f ca="1">IF(AND(B119&lt;&gt;"",K119&lt;&gt;$D$17,$D$16&gt;3),F119*Resumo!$F$12,IF(AND(B119&lt;&gt;"",K119&lt;&gt;$D$17,B119&gt;$D$16),F119*Resumo!$F$12,0))</f>
        <v>57.93065630017071</v>
      </c>
      <c r="H119" s="38">
        <f>IF(AND(B119&lt;&gt;"",K119&lt;&gt;$D$17,$D$16&gt;3,$B119&lt;=$D$16),$D$15*Resumo!$F$13,IF(AND(B119&lt;&gt;"",K119&lt;&gt;$D$17,B119&gt;$D$16),$D$15*Resumo!$F$13,0))</f>
        <v>34.369999999999997</v>
      </c>
      <c r="I119" s="38">
        <f>IF(AND(B119&lt;&gt;"",K119&lt;&gt;$D$17,$D$16&gt;3,$B119&lt;=$D$16),Resumo!$F$11,IF(AND(B119&lt;&gt;"",K119&lt;&gt;$D$17,B119&gt;$D$16),Resumo!$F$11,0))</f>
        <v>25</v>
      </c>
      <c r="J119" s="38">
        <f t="shared" ca="1" si="20"/>
        <v>2372.5861096869171</v>
      </c>
      <c r="K119" s="39" t="str">
        <f>IF(B119&lt;&gt;"",VLOOKUP(MONTH(C119),Sheet2!$F$1:$G$12,2,0),"")</f>
        <v>Agosto</v>
      </c>
      <c r="L119" s="200">
        <f t="shared" ca="1" si="21"/>
        <v>0</v>
      </c>
      <c r="M119" s="40">
        <f t="shared" ca="1" si="12"/>
        <v>2255.2854533867467</v>
      </c>
      <c r="N119" s="40">
        <f t="shared" ca="1" si="13"/>
        <v>2372.5861096869171</v>
      </c>
      <c r="O119" s="40"/>
      <c r="P119" s="20">
        <f t="shared" ca="1" si="14"/>
        <v>834.89136490250701</v>
      </c>
      <c r="Q119" s="1">
        <f t="shared" si="15"/>
        <v>2963</v>
      </c>
      <c r="R119" s="171">
        <f>IF(AND($J$2&gt;=DATEVALUE("03/04/2020"),$J$2&lt;=DATEVALUE("25/11/2020")),0,IF(Resumo!$C$19="PF",IF(Q119&lt;360,0.0082%*Q119,3%),IF(Q119&lt;360,0.0041%*Q119,1.5%)))</f>
        <v>1.4999999999999999E-2</v>
      </c>
      <c r="S119" s="172">
        <f t="shared" ca="1" si="16"/>
        <v>12.523370473537605</v>
      </c>
      <c r="W119" s="216">
        <f t="shared" ca="1" si="22"/>
        <v>2255.2854533867467</v>
      </c>
    </row>
    <row r="120" spans="2:23">
      <c r="B120" s="41">
        <f t="shared" si="17"/>
        <v>98</v>
      </c>
      <c r="C120" s="164">
        <f t="shared" si="18"/>
        <v>47741</v>
      </c>
      <c r="D120" s="42">
        <f t="shared" ca="1" si="19"/>
        <v>379.43563033359987</v>
      </c>
      <c r="E120" s="42">
        <f t="shared" ca="1" si="23"/>
        <v>1875.8498230531468</v>
      </c>
      <c r="F120" s="42">
        <f ca="1">IF(B120&lt;=$D$16,F119*(1+$D$13)^((C120-C119)/_xlfn.DAYS(EDATE(C119,1),C119)),F119-D120)+IF(B120&lt;=$D$16,F119*Resumo!$F$12,0)+IF(B120&lt;=$D$16,$D$15*Resumo!$F$13,0)+IF(B120&lt;=$D$16,25,0)-IF(AND($D$16&gt;3,B120&lt;=$D$16),J120,0)</f>
        <v>275480.83246571739</v>
      </c>
      <c r="G120" s="42">
        <f ca="1">IF(AND(B120&lt;&gt;"",K120&lt;&gt;$D$17,$D$16&gt;3),F120*Resumo!$F$12,IF(AND(B120&lt;&gt;"",K120&lt;&gt;$D$17,B120&gt;$D$16),F120*Resumo!$F$12,0))</f>
        <v>57.850974817800655</v>
      </c>
      <c r="H120" s="42">
        <f>IF(AND(B120&lt;&gt;"",K120&lt;&gt;$D$17,$D$16&gt;3,$B120&lt;=$D$16),$D$15*Resumo!$F$13,IF(AND(B120&lt;&gt;"",K120&lt;&gt;$D$17,B120&gt;$D$16),$D$15*Resumo!$F$13,0))</f>
        <v>34.369999999999997</v>
      </c>
      <c r="I120" s="42">
        <f>IF(AND(B120&lt;&gt;"",K120&lt;&gt;$D$17,$D$16&gt;3,$B120&lt;=$D$16),Resumo!$F$11,IF(AND(B120&lt;&gt;"",K120&lt;&gt;$D$17,B120&gt;$D$16),Resumo!$F$11,0))</f>
        <v>25</v>
      </c>
      <c r="J120" s="42">
        <f t="shared" ca="1" si="20"/>
        <v>2372.5064282045473</v>
      </c>
      <c r="K120" s="39" t="str">
        <f>IF(B120&lt;&gt;"",VLOOKUP(MONTH(C120),Sheet2!$F$1:$G$12,2,0),"")</f>
        <v>Setembro</v>
      </c>
      <c r="L120" s="200">
        <f t="shared" ca="1" si="21"/>
        <v>0</v>
      </c>
      <c r="M120" s="40">
        <f t="shared" ca="1" si="12"/>
        <v>2255.2854533867467</v>
      </c>
      <c r="N120" s="40">
        <f t="shared" ca="1" si="13"/>
        <v>2372.5064282045473</v>
      </c>
      <c r="O120" s="40"/>
      <c r="P120" s="20">
        <f t="shared" ca="1" si="14"/>
        <v>834.89136490250701</v>
      </c>
      <c r="Q120" s="1">
        <f t="shared" si="15"/>
        <v>2994</v>
      </c>
      <c r="R120" s="171">
        <f>IF(AND($J$2&gt;=DATEVALUE("03/04/2020"),$J$2&lt;=DATEVALUE("25/11/2020")),0,IF(Resumo!$C$19="PF",IF(Q120&lt;360,0.0082%*Q120,3%),IF(Q120&lt;360,0.0041%*Q120,1.5%)))</f>
        <v>1.4999999999999999E-2</v>
      </c>
      <c r="S120" s="172">
        <f t="shared" ca="1" si="16"/>
        <v>12.523370473537605</v>
      </c>
      <c r="W120" s="216">
        <f t="shared" ca="1" si="22"/>
        <v>2255.2854533867467</v>
      </c>
    </row>
    <row r="121" spans="2:23">
      <c r="B121" s="37">
        <f t="shared" si="17"/>
        <v>99</v>
      </c>
      <c r="C121" s="163">
        <f t="shared" si="18"/>
        <v>47771</v>
      </c>
      <c r="D121" s="38">
        <f t="shared" ca="1" si="19"/>
        <v>382.01579261986853</v>
      </c>
      <c r="E121" s="38">
        <f t="shared" ca="1" si="23"/>
        <v>1873.2696607668781</v>
      </c>
      <c r="F121" s="38">
        <f ca="1">IF(B121&lt;=$D$16,F120*(1+$D$13)^((C121-C120)/_xlfn.DAYS(EDATE(C120,1),C120)),F120-D121)+IF(B121&lt;=$D$16,F120*Resumo!$F$12,0)+IF(B121&lt;=$D$16,$D$15*Resumo!$F$13,0)+IF(B121&lt;=$D$16,25,0)-IF(AND($D$16&gt;3,B121&lt;=$D$16),J121,0)</f>
        <v>275098.81667309755</v>
      </c>
      <c r="G121" s="38">
        <f ca="1">IF(AND(B121&lt;&gt;"",K121&lt;&gt;$D$17,$D$16&gt;3),F121*Resumo!$F$12,IF(AND(B121&lt;&gt;"",K121&lt;&gt;$D$17,B121&gt;$D$16),F121*Resumo!$F$12,0))</f>
        <v>57.770751501350489</v>
      </c>
      <c r="H121" s="38">
        <f>IF(AND(B121&lt;&gt;"",K121&lt;&gt;$D$17,$D$16&gt;3,$B121&lt;=$D$16),$D$15*Resumo!$F$13,IF(AND(B121&lt;&gt;"",K121&lt;&gt;$D$17,B121&gt;$D$16),$D$15*Resumo!$F$13,0))</f>
        <v>34.369999999999997</v>
      </c>
      <c r="I121" s="38">
        <f>IF(AND(B121&lt;&gt;"",K121&lt;&gt;$D$17,$D$16&gt;3,$B121&lt;=$D$16),Resumo!$F$11,IF(AND(B121&lt;&gt;"",K121&lt;&gt;$D$17,B121&gt;$D$16),Resumo!$F$11,0))</f>
        <v>25</v>
      </c>
      <c r="J121" s="38">
        <f t="shared" ca="1" si="20"/>
        <v>2372.4262048880969</v>
      </c>
      <c r="K121" s="39" t="str">
        <f>IF(B121&lt;&gt;"",VLOOKUP(MONTH(C121),Sheet2!$F$1:$G$12,2,0),"")</f>
        <v>Outubro</v>
      </c>
      <c r="L121" s="200">
        <f t="shared" ca="1" si="21"/>
        <v>0</v>
      </c>
      <c r="M121" s="40">
        <f t="shared" ca="1" si="12"/>
        <v>2255.2854533867467</v>
      </c>
      <c r="N121" s="40">
        <f t="shared" ca="1" si="13"/>
        <v>2372.4262048880969</v>
      </c>
      <c r="O121" s="40"/>
      <c r="P121" s="20">
        <f t="shared" ca="1" si="14"/>
        <v>834.89136490250701</v>
      </c>
      <c r="Q121" s="1">
        <f t="shared" si="15"/>
        <v>3024</v>
      </c>
      <c r="R121" s="171">
        <f>IF(AND($J$2&gt;=DATEVALUE("03/04/2020"),$J$2&lt;=DATEVALUE("25/11/2020")),0,IF(Resumo!$C$19="PF",IF(Q121&lt;360,0.0082%*Q121,3%),IF(Q121&lt;360,0.0041%*Q121,1.5%)))</f>
        <v>1.4999999999999999E-2</v>
      </c>
      <c r="S121" s="172">
        <f t="shared" ca="1" si="16"/>
        <v>12.523370473537605</v>
      </c>
      <c r="W121" s="216">
        <f t="shared" ca="1" si="22"/>
        <v>2255.2854533867467</v>
      </c>
    </row>
    <row r="122" spans="2:23">
      <c r="B122" s="41">
        <f t="shared" si="17"/>
        <v>100</v>
      </c>
      <c r="C122" s="164">
        <f t="shared" si="18"/>
        <v>47802</v>
      </c>
      <c r="D122" s="42">
        <f t="shared" ca="1" si="19"/>
        <v>384.61350000968332</v>
      </c>
      <c r="E122" s="42">
        <f t="shared" ca="1" si="23"/>
        <v>1870.6719533770633</v>
      </c>
      <c r="F122" s="42">
        <f ca="1">IF(B122&lt;=$D$16,F121*(1+$D$13)^((C122-C121)/_xlfn.DAYS(EDATE(C121,1),C121)),F121-D122)+IF(B122&lt;=$D$16,F121*Resumo!$F$12,0)+IF(B122&lt;=$D$16,$D$15*Resumo!$F$13,0)+IF(B122&lt;=$D$16,25,0)-IF(AND($D$16&gt;3,B122&lt;=$D$16),J122,0)</f>
        <v>274714.20317308785</v>
      </c>
      <c r="G122" s="42">
        <f ca="1">IF(AND(B122&lt;&gt;"",K122&lt;&gt;$D$17,$D$16&gt;3),F122*Resumo!$F$12,IF(AND(B122&lt;&gt;"",K122&lt;&gt;$D$17,B122&gt;$D$16),F122*Resumo!$F$12,0))</f>
        <v>57.689982666348449</v>
      </c>
      <c r="H122" s="42">
        <f>IF(AND(B122&lt;&gt;"",K122&lt;&gt;$D$17,$D$16&gt;3,$B122&lt;=$D$16),$D$15*Resumo!$F$13,IF(AND(B122&lt;&gt;"",K122&lt;&gt;$D$17,B122&gt;$D$16),$D$15*Resumo!$F$13,0))</f>
        <v>34.369999999999997</v>
      </c>
      <c r="I122" s="42">
        <f>IF(AND(B122&lt;&gt;"",K122&lt;&gt;$D$17,$D$16&gt;3,$B122&lt;=$D$16),Resumo!$F$11,IF(AND(B122&lt;&gt;"",K122&lt;&gt;$D$17,B122&gt;$D$16),Resumo!$F$11,0))</f>
        <v>25</v>
      </c>
      <c r="J122" s="42">
        <f t="shared" ca="1" si="20"/>
        <v>2372.345436053095</v>
      </c>
      <c r="K122" s="39" t="str">
        <f>IF(B122&lt;&gt;"",VLOOKUP(MONTH(C122),Sheet2!$F$1:$G$12,2,0),"")</f>
        <v>Novembro</v>
      </c>
      <c r="L122" s="200">
        <f t="shared" ca="1" si="21"/>
        <v>0</v>
      </c>
      <c r="M122" s="40">
        <f t="shared" ca="1" si="12"/>
        <v>2255.2854533867467</v>
      </c>
      <c r="N122" s="40">
        <f t="shared" ca="1" si="13"/>
        <v>2372.345436053095</v>
      </c>
      <c r="O122" s="40"/>
      <c r="P122" s="20">
        <f t="shared" ca="1" si="14"/>
        <v>834.89136490250701</v>
      </c>
      <c r="Q122" s="1">
        <f t="shared" si="15"/>
        <v>3055</v>
      </c>
      <c r="R122" s="171">
        <f>IF(AND($J$2&gt;=DATEVALUE("03/04/2020"),$J$2&lt;=DATEVALUE("25/11/2020")),0,IF(Resumo!$C$19="PF",IF(Q122&lt;360,0.0082%*Q122,3%),IF(Q122&lt;360,0.0041%*Q122,1.5%)))</f>
        <v>1.4999999999999999E-2</v>
      </c>
      <c r="S122" s="172">
        <f t="shared" ca="1" si="16"/>
        <v>12.523370473537605</v>
      </c>
      <c r="W122" s="216">
        <f t="shared" ca="1" si="22"/>
        <v>2255.2854533867467</v>
      </c>
    </row>
    <row r="123" spans="2:23">
      <c r="B123" s="37">
        <f t="shared" si="17"/>
        <v>101</v>
      </c>
      <c r="C123" s="163">
        <f t="shared" si="18"/>
        <v>47832</v>
      </c>
      <c r="D123" s="38">
        <f t="shared" ca="1" si="19"/>
        <v>387.22887180974931</v>
      </c>
      <c r="E123" s="38">
        <f t="shared" ca="1" si="23"/>
        <v>1868.0565815769974</v>
      </c>
      <c r="F123" s="38">
        <f ca="1">IF(B123&lt;=$D$16,F122*(1+$D$13)^((C123-C122)/_xlfn.DAYS(EDATE(C122,1),C122)),F122-D123)+IF(B123&lt;=$D$16,F122*Resumo!$F$12,0)+IF(B123&lt;=$D$16,$D$15*Resumo!$F$13,0)+IF(B123&lt;=$D$16,25,0)-IF(AND($D$16&gt;3,B123&lt;=$D$16),J123,0)</f>
        <v>274326.97430127813</v>
      </c>
      <c r="G123" s="38">
        <f ca="1">IF(AND(B123&lt;&gt;"",K123&lt;&gt;$D$17,$D$16&gt;3),F123*Resumo!$F$12,IF(AND(B123&lt;&gt;"",K123&lt;&gt;$D$17,B123&gt;$D$16),F123*Resumo!$F$12,0))</f>
        <v>57.608664603268409</v>
      </c>
      <c r="H123" s="38">
        <f>IF(AND(B123&lt;&gt;"",K123&lt;&gt;$D$17,$D$16&gt;3,$B123&lt;=$D$16),$D$15*Resumo!$F$13,IF(AND(B123&lt;&gt;"",K123&lt;&gt;$D$17,B123&gt;$D$16),$D$15*Resumo!$F$13,0))</f>
        <v>34.369999999999997</v>
      </c>
      <c r="I123" s="38">
        <f>IF(AND(B123&lt;&gt;"",K123&lt;&gt;$D$17,$D$16&gt;3,$B123&lt;=$D$16),Resumo!$F$11,IF(AND(B123&lt;&gt;"",K123&lt;&gt;$D$17,B123&gt;$D$16),Resumo!$F$11,0))</f>
        <v>25</v>
      </c>
      <c r="J123" s="38">
        <f t="shared" ca="1" si="20"/>
        <v>2372.2641179900152</v>
      </c>
      <c r="K123" s="39" t="str">
        <f>IF(B123&lt;&gt;"",VLOOKUP(MONTH(C123),Sheet2!$F$1:$G$12,2,0),"")</f>
        <v>Dezembro</v>
      </c>
      <c r="L123" s="200">
        <f t="shared" ca="1" si="21"/>
        <v>0</v>
      </c>
      <c r="M123" s="40">
        <f t="shared" ca="1" si="12"/>
        <v>2255.2854533867467</v>
      </c>
      <c r="N123" s="40">
        <f t="shared" ca="1" si="13"/>
        <v>2372.2641179900152</v>
      </c>
      <c r="O123" s="40"/>
      <c r="P123" s="20">
        <f t="shared" ca="1" si="14"/>
        <v>834.89136490250701</v>
      </c>
      <c r="Q123" s="1">
        <f t="shared" si="15"/>
        <v>3085</v>
      </c>
      <c r="R123" s="171">
        <f>IF(AND($J$2&gt;=DATEVALUE("03/04/2020"),$J$2&lt;=DATEVALUE("25/11/2020")),0,IF(Resumo!$C$19="PF",IF(Q123&lt;360,0.0082%*Q123,3%),IF(Q123&lt;360,0.0041%*Q123,1.5%)))</f>
        <v>1.4999999999999999E-2</v>
      </c>
      <c r="S123" s="172">
        <f t="shared" ca="1" si="16"/>
        <v>12.523370473537605</v>
      </c>
      <c r="W123" s="216">
        <f t="shared" ca="1" si="22"/>
        <v>2255.2854533867467</v>
      </c>
    </row>
    <row r="124" spans="2:23">
      <c r="B124" s="41">
        <f t="shared" si="17"/>
        <v>102</v>
      </c>
      <c r="C124" s="164">
        <f t="shared" si="18"/>
        <v>47863</v>
      </c>
      <c r="D124" s="42">
        <f t="shared" ca="1" si="19"/>
        <v>389.86202813805562</v>
      </c>
      <c r="E124" s="42">
        <f t="shared" ca="1" si="23"/>
        <v>1865.423425248691</v>
      </c>
      <c r="F124" s="42">
        <f ca="1">IF(B124&lt;=$D$16,F123*(1+$D$13)^((C124-C123)/_xlfn.DAYS(EDATE(C123,1),C123)),F123-D124)+IF(B124&lt;=$D$16,F123*Resumo!$F$12,0)+IF(B124&lt;=$D$16,$D$15*Resumo!$F$13,0)+IF(B124&lt;=$D$16,25,0)-IF(AND($D$16&gt;3,B124&lt;=$D$16),J124,0)</f>
        <v>273937.11227314005</v>
      </c>
      <c r="G124" s="42">
        <f ca="1">IF(AND(B124&lt;&gt;"",K124&lt;&gt;$D$17,$D$16&gt;3),F124*Resumo!$F$12,IF(AND(B124&lt;&gt;"",K124&lt;&gt;$D$17,B124&gt;$D$16),F124*Resumo!$F$12,0))</f>
        <v>57.526793577359413</v>
      </c>
      <c r="H124" s="42">
        <f>IF(AND(B124&lt;&gt;"",K124&lt;&gt;$D$17,$D$16&gt;3,$B124&lt;=$D$16),$D$15*Resumo!$F$13,IF(AND(B124&lt;&gt;"",K124&lt;&gt;$D$17,B124&gt;$D$16),$D$15*Resumo!$F$13,0))</f>
        <v>34.369999999999997</v>
      </c>
      <c r="I124" s="42">
        <f>IF(AND(B124&lt;&gt;"",K124&lt;&gt;$D$17,$D$16&gt;3,$B124&lt;=$D$16),Resumo!$F$11,IF(AND(B124&lt;&gt;"",K124&lt;&gt;$D$17,B124&gt;$D$16),Resumo!$F$11,0))</f>
        <v>25</v>
      </c>
      <c r="J124" s="42">
        <f t="shared" ca="1" si="20"/>
        <v>2372.1822469641061</v>
      </c>
      <c r="K124" s="39" t="str">
        <f>IF(B124&lt;&gt;"",VLOOKUP(MONTH(C124),Sheet2!$F$1:$G$12,2,0),"")</f>
        <v>Janeiro</v>
      </c>
      <c r="L124" s="200">
        <f t="shared" ca="1" si="21"/>
        <v>0</v>
      </c>
      <c r="M124" s="40">
        <f t="shared" ca="1" si="12"/>
        <v>2255.2854533867467</v>
      </c>
      <c r="N124" s="40">
        <f t="shared" ca="1" si="13"/>
        <v>2372.1822469641061</v>
      </c>
      <c r="O124" s="40"/>
      <c r="P124" s="20">
        <f t="shared" ca="1" si="14"/>
        <v>834.89136490250701</v>
      </c>
      <c r="Q124" s="1">
        <f t="shared" si="15"/>
        <v>3116</v>
      </c>
      <c r="R124" s="171">
        <f>IF(AND($J$2&gt;=DATEVALUE("03/04/2020"),$J$2&lt;=DATEVALUE("25/11/2020")),0,IF(Resumo!$C$19="PF",IF(Q124&lt;360,0.0082%*Q124,3%),IF(Q124&lt;360,0.0041%*Q124,1.5%)))</f>
        <v>1.4999999999999999E-2</v>
      </c>
      <c r="S124" s="172">
        <f t="shared" ca="1" si="16"/>
        <v>12.523370473537605</v>
      </c>
      <c r="W124" s="216">
        <f t="shared" ca="1" si="22"/>
        <v>2255.2854533867467</v>
      </c>
    </row>
    <row r="125" spans="2:23">
      <c r="B125" s="37">
        <f t="shared" si="17"/>
        <v>103</v>
      </c>
      <c r="C125" s="163">
        <f t="shared" si="18"/>
        <v>47894</v>
      </c>
      <c r="D125" s="38">
        <f t="shared" ca="1" si="19"/>
        <v>392.51308992939448</v>
      </c>
      <c r="E125" s="38">
        <f t="shared" ca="1" si="23"/>
        <v>1862.7723634573522</v>
      </c>
      <c r="F125" s="38">
        <f ca="1">IF(B125&lt;=$D$16,F124*(1+$D$13)^((C125-C124)/_xlfn.DAYS(EDATE(C124,1),C124)),F124-D125)+IF(B125&lt;=$D$16,F124*Resumo!$F$12,0)+IF(B125&lt;=$D$16,$D$15*Resumo!$F$13,0)+IF(B125&lt;=$D$16,25,0)-IF(AND($D$16&gt;3,B125&lt;=$D$16),J125,0)</f>
        <v>273544.59918321064</v>
      </c>
      <c r="G125" s="38">
        <f ca="1">IF(AND(B125&lt;&gt;"",K125&lt;&gt;$D$17,$D$16&gt;3),F125*Resumo!$F$12,IF(AND(B125&lt;&gt;"",K125&lt;&gt;$D$17,B125&gt;$D$16),F125*Resumo!$F$12,0))</f>
        <v>57.44436582847424</v>
      </c>
      <c r="H125" s="38">
        <f>IF(AND(B125&lt;&gt;"",K125&lt;&gt;$D$17,$D$16&gt;3,$B125&lt;=$D$16),$D$15*Resumo!$F$13,IF(AND(B125&lt;&gt;"",K125&lt;&gt;$D$17,B125&gt;$D$16),$D$15*Resumo!$F$13,0))</f>
        <v>34.369999999999997</v>
      </c>
      <c r="I125" s="38">
        <f>IF(AND(B125&lt;&gt;"",K125&lt;&gt;$D$17,$D$16&gt;3,$B125&lt;=$D$16),Resumo!$F$11,IF(AND(B125&lt;&gt;"",K125&lt;&gt;$D$17,B125&gt;$D$16),Resumo!$F$11,0))</f>
        <v>25</v>
      </c>
      <c r="J125" s="38">
        <f t="shared" ca="1" si="20"/>
        <v>2372.0998192152206</v>
      </c>
      <c r="K125" s="39" t="str">
        <f>IF(B125&lt;&gt;"",VLOOKUP(MONTH(C125),Sheet2!$F$1:$G$12,2,0),"")</f>
        <v>Fevereiro</v>
      </c>
      <c r="L125" s="200">
        <f t="shared" ca="1" si="21"/>
        <v>0</v>
      </c>
      <c r="M125" s="40">
        <f t="shared" ca="1" si="12"/>
        <v>2255.2854533867467</v>
      </c>
      <c r="N125" s="40">
        <f t="shared" ca="1" si="13"/>
        <v>2372.0998192152206</v>
      </c>
      <c r="O125" s="40"/>
      <c r="P125" s="20">
        <f t="shared" ca="1" si="14"/>
        <v>834.89136490250701</v>
      </c>
      <c r="Q125" s="1">
        <f t="shared" si="15"/>
        <v>3147</v>
      </c>
      <c r="R125" s="171">
        <f>IF(AND($J$2&gt;=DATEVALUE("03/04/2020"),$J$2&lt;=DATEVALUE("25/11/2020")),0,IF(Resumo!$C$19="PF",IF(Q125&lt;360,0.0082%*Q125,3%),IF(Q125&lt;360,0.0041%*Q125,1.5%)))</f>
        <v>1.4999999999999999E-2</v>
      </c>
      <c r="S125" s="172">
        <f t="shared" ca="1" si="16"/>
        <v>12.523370473537605</v>
      </c>
      <c r="W125" s="216">
        <f t="shared" ca="1" si="22"/>
        <v>2255.2854533867467</v>
      </c>
    </row>
    <row r="126" spans="2:23">
      <c r="B126" s="41">
        <f t="shared" si="17"/>
        <v>104</v>
      </c>
      <c r="C126" s="164">
        <f t="shared" si="18"/>
        <v>47922</v>
      </c>
      <c r="D126" s="42">
        <f t="shared" ca="1" si="19"/>
        <v>395.18217894091435</v>
      </c>
      <c r="E126" s="42">
        <f t="shared" ca="1" si="23"/>
        <v>1860.1032744458323</v>
      </c>
      <c r="F126" s="42">
        <f ca="1">IF(B126&lt;=$D$16,F125*(1+$D$13)^((C126-C125)/_xlfn.DAYS(EDATE(C125,1),C125)),F125-D126)+IF(B126&lt;=$D$16,F125*Resumo!$F$12,0)+IF(B126&lt;=$D$16,$D$15*Resumo!$F$13,0)+IF(B126&lt;=$D$16,25,0)-IF(AND($D$16&gt;3,B126&lt;=$D$16),J126,0)</f>
        <v>273149.41700426972</v>
      </c>
      <c r="G126" s="42">
        <f ca="1">IF(AND(B126&lt;&gt;"",K126&lt;&gt;$D$17,$D$16&gt;3),F126*Resumo!$F$12,IF(AND(B126&lt;&gt;"",K126&lt;&gt;$D$17,B126&gt;$D$16),F126*Resumo!$F$12,0))</f>
        <v>57.361377570896643</v>
      </c>
      <c r="H126" s="42">
        <f>IF(AND(B126&lt;&gt;"",K126&lt;&gt;$D$17,$D$16&gt;3,$B126&lt;=$D$16),$D$15*Resumo!$F$13,IF(AND(B126&lt;&gt;"",K126&lt;&gt;$D$17,B126&gt;$D$16),$D$15*Resumo!$F$13,0))</f>
        <v>34.369999999999997</v>
      </c>
      <c r="I126" s="42">
        <f>IF(AND(B126&lt;&gt;"",K126&lt;&gt;$D$17,$D$16&gt;3,$B126&lt;=$D$16),Resumo!$F$11,IF(AND(B126&lt;&gt;"",K126&lt;&gt;$D$17,B126&gt;$D$16),Resumo!$F$11,0))</f>
        <v>25</v>
      </c>
      <c r="J126" s="42">
        <f t="shared" ca="1" si="20"/>
        <v>2372.0168309576434</v>
      </c>
      <c r="K126" s="39" t="str">
        <f>IF(B126&lt;&gt;"",VLOOKUP(MONTH(C126),Sheet2!$F$1:$G$12,2,0),"")</f>
        <v>Março</v>
      </c>
      <c r="L126" s="200">
        <f t="shared" ca="1" si="21"/>
        <v>0</v>
      </c>
      <c r="M126" s="40">
        <f t="shared" ca="1" si="12"/>
        <v>2255.2854533867467</v>
      </c>
      <c r="N126" s="40">
        <f t="shared" ca="1" si="13"/>
        <v>2372.0168309576434</v>
      </c>
      <c r="O126" s="40"/>
      <c r="P126" s="20">
        <f t="shared" ca="1" si="14"/>
        <v>834.89136490250701</v>
      </c>
      <c r="Q126" s="1">
        <f t="shared" si="15"/>
        <v>3175</v>
      </c>
      <c r="R126" s="171">
        <f>IF(AND($J$2&gt;=DATEVALUE("03/04/2020"),$J$2&lt;=DATEVALUE("25/11/2020")),0,IF(Resumo!$C$19="PF",IF(Q126&lt;360,0.0082%*Q126,3%),IF(Q126&lt;360,0.0041%*Q126,1.5%)))</f>
        <v>1.4999999999999999E-2</v>
      </c>
      <c r="S126" s="172">
        <f t="shared" ca="1" si="16"/>
        <v>12.523370473537605</v>
      </c>
      <c r="W126" s="216">
        <f t="shared" ca="1" si="22"/>
        <v>2255.2854533867467</v>
      </c>
    </row>
    <row r="127" spans="2:23">
      <c r="B127" s="37">
        <f t="shared" si="17"/>
        <v>105</v>
      </c>
      <c r="C127" s="163">
        <f t="shared" si="18"/>
        <v>47953</v>
      </c>
      <c r="D127" s="38">
        <f t="shared" ca="1" si="19"/>
        <v>397.86941775771265</v>
      </c>
      <c r="E127" s="38">
        <f t="shared" ca="1" si="23"/>
        <v>1857.416035629034</v>
      </c>
      <c r="F127" s="38">
        <f ca="1">IF(B127&lt;=$D$16,F126*(1+$D$13)^((C127-C126)/_xlfn.DAYS(EDATE(C126,1),C126)),F126-D127)+IF(B127&lt;=$D$16,F126*Resumo!$F$12,0)+IF(B127&lt;=$D$16,$D$15*Resumo!$F$13,0)+IF(B127&lt;=$D$16,25,0)-IF(AND($D$16&gt;3,B127&lt;=$D$16),J127,0)</f>
        <v>272751.547586512</v>
      </c>
      <c r="G127" s="38">
        <f ca="1">IF(AND(B127&lt;&gt;"",K127&lt;&gt;$D$17,$D$16&gt;3),F127*Resumo!$F$12,IF(AND(B127&lt;&gt;"",K127&lt;&gt;$D$17,B127&gt;$D$16),F127*Resumo!$F$12,0))</f>
        <v>57.277824993167521</v>
      </c>
      <c r="H127" s="38">
        <f>IF(AND(B127&lt;&gt;"",K127&lt;&gt;$D$17,$D$16&gt;3,$B127&lt;=$D$16),$D$15*Resumo!$F$13,IF(AND(B127&lt;&gt;"",K127&lt;&gt;$D$17,B127&gt;$D$16),$D$15*Resumo!$F$13,0))</f>
        <v>34.369999999999997</v>
      </c>
      <c r="I127" s="38">
        <f>IF(AND(B127&lt;&gt;"",K127&lt;&gt;$D$17,$D$16&gt;3,$B127&lt;=$D$16),Resumo!$F$11,IF(AND(B127&lt;&gt;"",K127&lt;&gt;$D$17,B127&gt;$D$16),Resumo!$F$11,0))</f>
        <v>25</v>
      </c>
      <c r="J127" s="38">
        <f t="shared" ca="1" si="20"/>
        <v>2371.9332783799141</v>
      </c>
      <c r="K127" s="39" t="str">
        <f>IF(B127&lt;&gt;"",VLOOKUP(MONTH(C127),Sheet2!$F$1:$G$12,2,0),"")</f>
        <v>Abril</v>
      </c>
      <c r="L127" s="200">
        <f t="shared" ca="1" si="21"/>
        <v>0</v>
      </c>
      <c r="M127" s="40">
        <f t="shared" ca="1" si="12"/>
        <v>2255.2854533867467</v>
      </c>
      <c r="N127" s="40">
        <f t="shared" ca="1" si="13"/>
        <v>2371.9332783799141</v>
      </c>
      <c r="O127" s="40"/>
      <c r="P127" s="20">
        <f t="shared" ca="1" si="14"/>
        <v>834.89136490250701</v>
      </c>
      <c r="Q127" s="1">
        <f t="shared" si="15"/>
        <v>3206</v>
      </c>
      <c r="R127" s="171">
        <f>IF(AND($J$2&gt;=DATEVALUE("03/04/2020"),$J$2&lt;=DATEVALUE("25/11/2020")),0,IF(Resumo!$C$19="PF",IF(Q127&lt;360,0.0082%*Q127,3%),IF(Q127&lt;360,0.0041%*Q127,1.5%)))</f>
        <v>1.4999999999999999E-2</v>
      </c>
      <c r="S127" s="172">
        <f t="shared" ca="1" si="16"/>
        <v>12.523370473537605</v>
      </c>
      <c r="W127" s="216">
        <f t="shared" ca="1" si="22"/>
        <v>2255.2854533867467</v>
      </c>
    </row>
    <row r="128" spans="2:23">
      <c r="B128" s="41">
        <f t="shared" si="17"/>
        <v>106</v>
      </c>
      <c r="C128" s="164">
        <f t="shared" si="18"/>
        <v>47983</v>
      </c>
      <c r="D128" s="42">
        <f t="shared" ca="1" si="19"/>
        <v>400.57492979846529</v>
      </c>
      <c r="E128" s="42">
        <f t="shared" ca="1" si="23"/>
        <v>1854.7105235882814</v>
      </c>
      <c r="F128" s="42">
        <f ca="1">IF(B128&lt;=$D$16,F127*(1+$D$13)^((C128-C127)/_xlfn.DAYS(EDATE(C127,1),C127)),F127-D128)+IF(B128&lt;=$D$16,F127*Resumo!$F$12,0)+IF(B128&lt;=$D$16,$D$15*Resumo!$F$13,0)+IF(B128&lt;=$D$16,25,0)-IF(AND($D$16&gt;3,B128&lt;=$D$16),J128,0)</f>
        <v>272350.97265671351</v>
      </c>
      <c r="G128" s="42">
        <f ca="1">IF(AND(B128&lt;&gt;"",K128&lt;&gt;$D$17,$D$16&gt;3),F128*Resumo!$F$12,IF(AND(B128&lt;&gt;"",K128&lt;&gt;$D$17,B128&gt;$D$16),F128*Resumo!$F$12,0))</f>
        <v>57.193704257909836</v>
      </c>
      <c r="H128" s="42">
        <f>IF(AND(B128&lt;&gt;"",K128&lt;&gt;$D$17,$D$16&gt;3,$B128&lt;=$D$16),$D$15*Resumo!$F$13,IF(AND(B128&lt;&gt;"",K128&lt;&gt;$D$17,B128&gt;$D$16),$D$15*Resumo!$F$13,0))</f>
        <v>34.369999999999997</v>
      </c>
      <c r="I128" s="42">
        <f>IF(AND(B128&lt;&gt;"",K128&lt;&gt;$D$17,$D$16&gt;3,$B128&lt;=$D$16),Resumo!$F$11,IF(AND(B128&lt;&gt;"",K128&lt;&gt;$D$17,B128&gt;$D$16),Resumo!$F$11,0))</f>
        <v>25</v>
      </c>
      <c r="J128" s="42">
        <f t="shared" ca="1" si="20"/>
        <v>2371.8491576446563</v>
      </c>
      <c r="K128" s="39" t="str">
        <f>IF(B128&lt;&gt;"",VLOOKUP(MONTH(C128),Sheet2!$F$1:$G$12,2,0),"")</f>
        <v>Maio</v>
      </c>
      <c r="L128" s="200">
        <f t="shared" ca="1" si="21"/>
        <v>0</v>
      </c>
      <c r="M128" s="40">
        <f t="shared" ca="1" si="12"/>
        <v>2255.2854533867467</v>
      </c>
      <c r="N128" s="40">
        <f t="shared" ca="1" si="13"/>
        <v>2371.8491576446563</v>
      </c>
      <c r="O128" s="40"/>
      <c r="P128" s="20">
        <f t="shared" ca="1" si="14"/>
        <v>834.89136490250701</v>
      </c>
      <c r="Q128" s="1">
        <f t="shared" si="15"/>
        <v>3236</v>
      </c>
      <c r="R128" s="171">
        <f>IF(AND($J$2&gt;=DATEVALUE("03/04/2020"),$J$2&lt;=DATEVALUE("25/11/2020")),0,IF(Resumo!$C$19="PF",IF(Q128&lt;360,0.0082%*Q128,3%),IF(Q128&lt;360,0.0041%*Q128,1.5%)))</f>
        <v>1.4999999999999999E-2</v>
      </c>
      <c r="S128" s="172">
        <f t="shared" ca="1" si="16"/>
        <v>12.523370473537605</v>
      </c>
      <c r="W128" s="216">
        <f t="shared" ca="1" si="22"/>
        <v>2255.2854533867467</v>
      </c>
    </row>
    <row r="129" spans="2:23">
      <c r="B129" s="37">
        <f t="shared" si="17"/>
        <v>107</v>
      </c>
      <c r="C129" s="163">
        <f t="shared" si="18"/>
        <v>48014</v>
      </c>
      <c r="D129" s="38">
        <f t="shared" ca="1" si="19"/>
        <v>403.29883932109487</v>
      </c>
      <c r="E129" s="38">
        <f t="shared" ca="1" si="23"/>
        <v>1851.9866140656518</v>
      </c>
      <c r="F129" s="38">
        <f ca="1">IF(B129&lt;=$D$16,F128*(1+$D$13)^((C129-C128)/_xlfn.DAYS(EDATE(C128,1),C128)),F128-D129)+IF(B129&lt;=$D$16,F128*Resumo!$F$12,0)+IF(B129&lt;=$D$16,$D$15*Resumo!$F$13,0)+IF(B129&lt;=$D$16,25,0)-IF(AND($D$16&gt;3,B129&lt;=$D$16),J129,0)</f>
        <v>271947.67381739244</v>
      </c>
      <c r="G129" s="38">
        <f ca="1">IF(AND(B129&lt;&gt;"",K129&lt;&gt;$D$17,$D$16&gt;3),F129*Resumo!$F$12,IF(AND(B129&lt;&gt;"",K129&lt;&gt;$D$17,B129&gt;$D$16),F129*Resumo!$F$12,0))</f>
        <v>57.109011501652418</v>
      </c>
      <c r="H129" s="38">
        <f>IF(AND(B129&lt;&gt;"",K129&lt;&gt;$D$17,$D$16&gt;3,$B129&lt;=$D$16),$D$15*Resumo!$F$13,IF(AND(B129&lt;&gt;"",K129&lt;&gt;$D$17,B129&gt;$D$16),$D$15*Resumo!$F$13,0))</f>
        <v>34.369999999999997</v>
      </c>
      <c r="I129" s="38">
        <f>IF(AND(B129&lt;&gt;"",K129&lt;&gt;$D$17,$D$16&gt;3,$B129&lt;=$D$16),Resumo!$F$11,IF(AND(B129&lt;&gt;"",K129&lt;&gt;$D$17,B129&gt;$D$16),Resumo!$F$11,0))</f>
        <v>25</v>
      </c>
      <c r="J129" s="38">
        <f t="shared" ca="1" si="20"/>
        <v>2371.7644648883988</v>
      </c>
      <c r="K129" s="39" t="str">
        <f>IF(B129&lt;&gt;"",VLOOKUP(MONTH(C129),Sheet2!$F$1:$G$12,2,0),"")</f>
        <v>Junho</v>
      </c>
      <c r="L129" s="200">
        <f t="shared" ca="1" si="21"/>
        <v>0</v>
      </c>
      <c r="M129" s="40">
        <f t="shared" ca="1" si="12"/>
        <v>2255.2854533867467</v>
      </c>
      <c r="N129" s="40">
        <f t="shared" ca="1" si="13"/>
        <v>2371.7644648883988</v>
      </c>
      <c r="O129" s="40"/>
      <c r="P129" s="20">
        <f t="shared" ca="1" si="14"/>
        <v>834.89136490250701</v>
      </c>
      <c r="Q129" s="1">
        <f t="shared" si="15"/>
        <v>3267</v>
      </c>
      <c r="R129" s="171">
        <f>IF(AND($J$2&gt;=DATEVALUE("03/04/2020"),$J$2&lt;=DATEVALUE("25/11/2020")),0,IF(Resumo!$C$19="PF",IF(Q129&lt;360,0.0082%*Q129,3%),IF(Q129&lt;360,0.0041%*Q129,1.5%)))</f>
        <v>1.4999999999999999E-2</v>
      </c>
      <c r="S129" s="172">
        <f t="shared" ca="1" si="16"/>
        <v>12.523370473537605</v>
      </c>
      <c r="W129" s="216">
        <f t="shared" ca="1" si="22"/>
        <v>2255.2854533867467</v>
      </c>
    </row>
    <row r="130" spans="2:23">
      <c r="B130" s="41">
        <f t="shared" si="17"/>
        <v>108</v>
      </c>
      <c r="C130" s="164">
        <f t="shared" si="18"/>
        <v>48044</v>
      </c>
      <c r="D130" s="42">
        <f t="shared" ca="1" si="19"/>
        <v>406.04127142847824</v>
      </c>
      <c r="E130" s="42">
        <f t="shared" ca="1" si="23"/>
        <v>1849.2441819582684</v>
      </c>
      <c r="F130" s="42">
        <f ca="1">IF(B130&lt;=$D$16,F129*(1+$D$13)^((C130-C129)/_xlfn.DAYS(EDATE(C129,1),C129)),F129-D130)+IF(B130&lt;=$D$16,F129*Resumo!$F$12,0)+IF(B130&lt;=$D$16,$D$15*Resumo!$F$13,0)+IF(B130&lt;=$D$16,25,0)-IF(AND($D$16&gt;3,B130&lt;=$D$16),J130,0)</f>
        <v>271541.63254596398</v>
      </c>
      <c r="G130" s="42">
        <f ca="1">IF(AND(B130&lt;&gt;"",K130&lt;&gt;$D$17,$D$16&gt;3),F130*Resumo!$F$12,IF(AND(B130&lt;&gt;"",K130&lt;&gt;$D$17,B130&gt;$D$16),F130*Resumo!$F$12,0))</f>
        <v>57.023742834652438</v>
      </c>
      <c r="H130" s="42">
        <f>IF(AND(B130&lt;&gt;"",K130&lt;&gt;$D$17,$D$16&gt;3,$B130&lt;=$D$16),$D$15*Resumo!$F$13,IF(AND(B130&lt;&gt;"",K130&lt;&gt;$D$17,B130&gt;$D$16),$D$15*Resumo!$F$13,0))</f>
        <v>34.369999999999997</v>
      </c>
      <c r="I130" s="42">
        <f>IF(AND(B130&lt;&gt;"",K130&lt;&gt;$D$17,$D$16&gt;3,$B130&lt;=$D$16),Resumo!$F$11,IF(AND(B130&lt;&gt;"",K130&lt;&gt;$D$17,B130&gt;$D$16),Resumo!$F$11,0))</f>
        <v>25</v>
      </c>
      <c r="J130" s="42">
        <f t="shared" ca="1" si="20"/>
        <v>2371.6791962213988</v>
      </c>
      <c r="K130" s="39" t="str">
        <f>IF(B130&lt;&gt;"",VLOOKUP(MONTH(C130),Sheet2!$F$1:$G$12,2,0),"")</f>
        <v>Julho</v>
      </c>
      <c r="L130" s="200">
        <f t="shared" ca="1" si="21"/>
        <v>0</v>
      </c>
      <c r="M130" s="40">
        <f t="shared" ca="1" si="12"/>
        <v>2255.2854533867467</v>
      </c>
      <c r="N130" s="40">
        <f t="shared" ca="1" si="13"/>
        <v>2371.6791962213988</v>
      </c>
      <c r="O130" s="40"/>
      <c r="P130" s="20">
        <f t="shared" ca="1" si="14"/>
        <v>834.89136490250701</v>
      </c>
      <c r="Q130" s="1">
        <f t="shared" si="15"/>
        <v>3297</v>
      </c>
      <c r="R130" s="171">
        <f>IF(AND($J$2&gt;=DATEVALUE("03/04/2020"),$J$2&lt;=DATEVALUE("25/11/2020")),0,IF(Resumo!$C$19="PF",IF(Q130&lt;360,0.0082%*Q130,3%),IF(Q130&lt;360,0.0041%*Q130,1.5%)))</f>
        <v>1.4999999999999999E-2</v>
      </c>
      <c r="S130" s="172">
        <f t="shared" ca="1" si="16"/>
        <v>12.523370473537605</v>
      </c>
      <c r="W130" s="216">
        <f t="shared" ca="1" si="22"/>
        <v>2255.2854533867467</v>
      </c>
    </row>
    <row r="131" spans="2:23">
      <c r="B131" s="37">
        <f t="shared" si="17"/>
        <v>109</v>
      </c>
      <c r="C131" s="163">
        <f t="shared" si="18"/>
        <v>48075</v>
      </c>
      <c r="D131" s="38">
        <f t="shared" ca="1" si="19"/>
        <v>408.80235207419173</v>
      </c>
      <c r="E131" s="38">
        <f t="shared" ca="1" si="23"/>
        <v>1846.4831013125549</v>
      </c>
      <c r="F131" s="38">
        <f ca="1">IF(B131&lt;=$D$16,F130*(1+$D$13)^((C131-C130)/_xlfn.DAYS(EDATE(C130,1),C130)),F130-D131)+IF(B131&lt;=$D$16,F130*Resumo!$F$12,0)+IF(B131&lt;=$D$16,$D$15*Resumo!$F$13,0)+IF(B131&lt;=$D$16,25,0)-IF(AND($D$16&gt;3,B131&lt;=$D$16),J131,0)</f>
        <v>271132.83019388979</v>
      </c>
      <c r="G131" s="38">
        <f ca="1">IF(AND(B131&lt;&gt;"",K131&lt;&gt;$D$17,$D$16&gt;3),F131*Resumo!$F$12,IF(AND(B131&lt;&gt;"",K131&lt;&gt;$D$17,B131&gt;$D$16),F131*Resumo!$F$12,0))</f>
        <v>56.937894340716859</v>
      </c>
      <c r="H131" s="38">
        <f>IF(AND(B131&lt;&gt;"",K131&lt;&gt;$D$17,$D$16&gt;3,$B131&lt;=$D$16),$D$15*Resumo!$F$13,IF(AND(B131&lt;&gt;"",K131&lt;&gt;$D$17,B131&gt;$D$16),$D$15*Resumo!$F$13,0))</f>
        <v>34.369999999999997</v>
      </c>
      <c r="I131" s="38">
        <f>IF(AND(B131&lt;&gt;"",K131&lt;&gt;$D$17,$D$16&gt;3,$B131&lt;=$D$16),Resumo!$F$11,IF(AND(B131&lt;&gt;"",K131&lt;&gt;$D$17,B131&gt;$D$16),Resumo!$F$11,0))</f>
        <v>25</v>
      </c>
      <c r="J131" s="38">
        <f t="shared" ca="1" si="20"/>
        <v>2371.5933477274634</v>
      </c>
      <c r="K131" s="39" t="str">
        <f>IF(B131&lt;&gt;"",VLOOKUP(MONTH(C131),Sheet2!$F$1:$G$12,2,0),"")</f>
        <v>Agosto</v>
      </c>
      <c r="L131" s="200">
        <f t="shared" ca="1" si="21"/>
        <v>0</v>
      </c>
      <c r="M131" s="40">
        <f t="shared" ca="1" si="12"/>
        <v>2255.2854533867467</v>
      </c>
      <c r="N131" s="40">
        <f t="shared" ca="1" si="13"/>
        <v>2371.5933477274634</v>
      </c>
      <c r="O131" s="40"/>
      <c r="P131" s="20">
        <f t="shared" ca="1" si="14"/>
        <v>834.89136490250701</v>
      </c>
      <c r="Q131" s="1">
        <f t="shared" si="15"/>
        <v>3328</v>
      </c>
      <c r="R131" s="171">
        <f>IF(AND($J$2&gt;=DATEVALUE("03/04/2020"),$J$2&lt;=DATEVALUE("25/11/2020")),0,IF(Resumo!$C$19="PF",IF(Q131&lt;360,0.0082%*Q131,3%),IF(Q131&lt;360,0.0041%*Q131,1.5%)))</f>
        <v>1.4999999999999999E-2</v>
      </c>
      <c r="S131" s="172">
        <f t="shared" ca="1" si="16"/>
        <v>12.523370473537605</v>
      </c>
      <c r="W131" s="216">
        <f t="shared" ca="1" si="22"/>
        <v>2255.2854533867467</v>
      </c>
    </row>
    <row r="132" spans="2:23">
      <c r="B132" s="41">
        <f t="shared" si="17"/>
        <v>110</v>
      </c>
      <c r="C132" s="164">
        <f t="shared" si="18"/>
        <v>48106</v>
      </c>
      <c r="D132" s="42">
        <f t="shared" ca="1" si="19"/>
        <v>411.58220806829627</v>
      </c>
      <c r="E132" s="42">
        <f t="shared" ca="1" si="23"/>
        <v>1843.7032453184504</v>
      </c>
      <c r="F132" s="42">
        <f ca="1">IF(B132&lt;=$D$16,F131*(1+$D$13)^((C132-C131)/_xlfn.DAYS(EDATE(C131,1),C131)),F131-D132)+IF(B132&lt;=$D$16,F131*Resumo!$F$12,0)+IF(B132&lt;=$D$16,$D$15*Resumo!$F$13,0)+IF(B132&lt;=$D$16,25,0)-IF(AND($D$16&gt;3,B132&lt;=$D$16),J132,0)</f>
        <v>270721.24798582151</v>
      </c>
      <c r="G132" s="42">
        <f ca="1">IF(AND(B132&lt;&gt;"",K132&lt;&gt;$D$17,$D$16&gt;3),F132*Resumo!$F$12,IF(AND(B132&lt;&gt;"",K132&lt;&gt;$D$17,B132&gt;$D$16),F132*Resumo!$F$12,0))</f>
        <v>56.851462077022518</v>
      </c>
      <c r="H132" s="42">
        <f>IF(AND(B132&lt;&gt;"",K132&lt;&gt;$D$17,$D$16&gt;3,$B132&lt;=$D$16),$D$15*Resumo!$F$13,IF(AND(B132&lt;&gt;"",K132&lt;&gt;$D$17,B132&gt;$D$16),$D$15*Resumo!$F$13,0))</f>
        <v>34.369999999999997</v>
      </c>
      <c r="I132" s="42">
        <f>IF(AND(B132&lt;&gt;"",K132&lt;&gt;$D$17,$D$16&gt;3,$B132&lt;=$D$16),Resumo!$F$11,IF(AND(B132&lt;&gt;"",K132&lt;&gt;$D$17,B132&gt;$D$16),Resumo!$F$11,0))</f>
        <v>25</v>
      </c>
      <c r="J132" s="42">
        <f t="shared" ca="1" si="20"/>
        <v>2371.506915463769</v>
      </c>
      <c r="K132" s="39" t="str">
        <f>IF(B132&lt;&gt;"",VLOOKUP(MONTH(C132),Sheet2!$F$1:$G$12,2,0),"")</f>
        <v>Setembro</v>
      </c>
      <c r="L132" s="200">
        <f t="shared" ca="1" si="21"/>
        <v>0</v>
      </c>
      <c r="M132" s="40">
        <f t="shared" ca="1" si="12"/>
        <v>2255.2854533867467</v>
      </c>
      <c r="N132" s="40">
        <f t="shared" ca="1" si="13"/>
        <v>2371.506915463769</v>
      </c>
      <c r="O132" s="40"/>
      <c r="P132" s="20">
        <f t="shared" ca="1" si="14"/>
        <v>834.89136490250701</v>
      </c>
      <c r="Q132" s="1">
        <f t="shared" si="15"/>
        <v>3359</v>
      </c>
      <c r="R132" s="171">
        <f>IF(AND($J$2&gt;=DATEVALUE("03/04/2020"),$J$2&lt;=DATEVALUE("25/11/2020")),0,IF(Resumo!$C$19="PF",IF(Q132&lt;360,0.0082%*Q132,3%),IF(Q132&lt;360,0.0041%*Q132,1.5%)))</f>
        <v>1.4999999999999999E-2</v>
      </c>
      <c r="S132" s="172">
        <f t="shared" ca="1" si="16"/>
        <v>12.523370473537605</v>
      </c>
      <c r="W132" s="216">
        <f t="shared" ca="1" si="22"/>
        <v>2255.2854533867467</v>
      </c>
    </row>
    <row r="133" spans="2:23">
      <c r="B133" s="37">
        <f t="shared" si="17"/>
        <v>111</v>
      </c>
      <c r="C133" s="163">
        <f t="shared" si="18"/>
        <v>48136</v>
      </c>
      <c r="D133" s="38">
        <f t="shared" ca="1" si="19"/>
        <v>414.38096708316061</v>
      </c>
      <c r="E133" s="38">
        <f t="shared" ca="1" si="23"/>
        <v>1840.9044863035861</v>
      </c>
      <c r="F133" s="38">
        <f ca="1">IF(B133&lt;=$D$16,F132*(1+$D$13)^((C133-C132)/_xlfn.DAYS(EDATE(C132,1),C132)),F132-D133)+IF(B133&lt;=$D$16,F132*Resumo!$F$12,0)+IF(B133&lt;=$D$16,$D$15*Resumo!$F$13,0)+IF(B133&lt;=$D$16,25,0)-IF(AND($D$16&gt;3,B133&lt;=$D$16),J133,0)</f>
        <v>270306.86701873835</v>
      </c>
      <c r="G133" s="38">
        <f ca="1">IF(AND(B133&lt;&gt;"",K133&lt;&gt;$D$17,$D$16&gt;3),F133*Resumo!$F$12,IF(AND(B133&lt;&gt;"",K133&lt;&gt;$D$17,B133&gt;$D$16),F133*Resumo!$F$12,0))</f>
        <v>56.764442073935058</v>
      </c>
      <c r="H133" s="38">
        <f>IF(AND(B133&lt;&gt;"",K133&lt;&gt;$D$17,$D$16&gt;3,$B133&lt;=$D$16),$D$15*Resumo!$F$13,IF(AND(B133&lt;&gt;"",K133&lt;&gt;$D$17,B133&gt;$D$16),$D$15*Resumo!$F$13,0))</f>
        <v>34.369999999999997</v>
      </c>
      <c r="I133" s="38">
        <f>IF(AND(B133&lt;&gt;"",K133&lt;&gt;$D$17,$D$16&gt;3,$B133&lt;=$D$16),Resumo!$F$11,IF(AND(B133&lt;&gt;"",K133&lt;&gt;$D$17,B133&gt;$D$16),Resumo!$F$11,0))</f>
        <v>25</v>
      </c>
      <c r="J133" s="38">
        <f t="shared" ca="1" si="20"/>
        <v>2371.4198954606818</v>
      </c>
      <c r="K133" s="39" t="str">
        <f>IF(B133&lt;&gt;"",VLOOKUP(MONTH(C133),Sheet2!$F$1:$G$12,2,0),"")</f>
        <v>Outubro</v>
      </c>
      <c r="L133" s="200">
        <f t="shared" ca="1" si="21"/>
        <v>0</v>
      </c>
      <c r="M133" s="40">
        <f t="shared" ca="1" si="12"/>
        <v>2255.2854533867467</v>
      </c>
      <c r="N133" s="40">
        <f t="shared" ca="1" si="13"/>
        <v>2371.4198954606818</v>
      </c>
      <c r="O133" s="40"/>
      <c r="P133" s="20">
        <f t="shared" ca="1" si="14"/>
        <v>834.89136490250701</v>
      </c>
      <c r="Q133" s="1">
        <f t="shared" si="15"/>
        <v>3389</v>
      </c>
      <c r="R133" s="171">
        <f>IF(AND($J$2&gt;=DATEVALUE("03/04/2020"),$J$2&lt;=DATEVALUE("25/11/2020")),0,IF(Resumo!$C$19="PF",IF(Q133&lt;360,0.0082%*Q133,3%),IF(Q133&lt;360,0.0041%*Q133,1.5%)))</f>
        <v>1.4999999999999999E-2</v>
      </c>
      <c r="S133" s="172">
        <f t="shared" ca="1" si="16"/>
        <v>12.523370473537605</v>
      </c>
      <c r="W133" s="216">
        <f t="shared" ca="1" si="22"/>
        <v>2255.2854533867467</v>
      </c>
    </row>
    <row r="134" spans="2:23">
      <c r="B134" s="41">
        <f t="shared" si="17"/>
        <v>112</v>
      </c>
      <c r="C134" s="164">
        <f t="shared" si="18"/>
        <v>48167</v>
      </c>
      <c r="D134" s="42">
        <f t="shared" ca="1" si="19"/>
        <v>417.19875765932602</v>
      </c>
      <c r="E134" s="42">
        <f t="shared" ca="1" si="23"/>
        <v>1838.0866957274206</v>
      </c>
      <c r="F134" s="42">
        <f ca="1">IF(B134&lt;=$D$16,F133*(1+$D$13)^((C134-C133)/_xlfn.DAYS(EDATE(C133,1),C133)),F133-D134)+IF(B134&lt;=$D$16,F133*Resumo!$F$12,0)+IF(B134&lt;=$D$16,$D$15*Resumo!$F$13,0)+IF(B134&lt;=$D$16,25,0)-IF(AND($D$16&gt;3,B134&lt;=$D$16),J134,0)</f>
        <v>269889.668261079</v>
      </c>
      <c r="G134" s="42">
        <f ca="1">IF(AND(B134&lt;&gt;"",K134&lt;&gt;$D$17,$D$16&gt;3),F134*Resumo!$F$12,IF(AND(B134&lt;&gt;"",K134&lt;&gt;$D$17,B134&gt;$D$16),F134*Resumo!$F$12,0))</f>
        <v>56.67683033482659</v>
      </c>
      <c r="H134" s="42">
        <f>IF(AND(B134&lt;&gt;"",K134&lt;&gt;$D$17,$D$16&gt;3,$B134&lt;=$D$16),$D$15*Resumo!$F$13,IF(AND(B134&lt;&gt;"",K134&lt;&gt;$D$17,B134&gt;$D$16),$D$15*Resumo!$F$13,0))</f>
        <v>34.369999999999997</v>
      </c>
      <c r="I134" s="42">
        <f>IF(AND(B134&lt;&gt;"",K134&lt;&gt;$D$17,$D$16&gt;3,$B134&lt;=$D$16),Resumo!$F$11,IF(AND(B134&lt;&gt;"",K134&lt;&gt;$D$17,B134&gt;$D$16),Resumo!$F$11,0))</f>
        <v>25</v>
      </c>
      <c r="J134" s="42">
        <f t="shared" ca="1" si="20"/>
        <v>2371.3322837215733</v>
      </c>
      <c r="K134" s="39" t="str">
        <f>IF(B134&lt;&gt;"",VLOOKUP(MONTH(C134),Sheet2!$F$1:$G$12,2,0),"")</f>
        <v>Novembro</v>
      </c>
      <c r="L134" s="200">
        <f t="shared" ca="1" si="21"/>
        <v>0</v>
      </c>
      <c r="M134" s="40">
        <f t="shared" ca="1" si="12"/>
        <v>2255.2854533867467</v>
      </c>
      <c r="N134" s="40">
        <f t="shared" ca="1" si="13"/>
        <v>2371.3322837215733</v>
      </c>
      <c r="O134" s="40"/>
      <c r="P134" s="20">
        <f t="shared" ca="1" si="14"/>
        <v>834.89136490250701</v>
      </c>
      <c r="Q134" s="1">
        <f t="shared" si="15"/>
        <v>3420</v>
      </c>
      <c r="R134" s="171">
        <f>IF(AND($J$2&gt;=DATEVALUE("03/04/2020"),$J$2&lt;=DATEVALUE("25/11/2020")),0,IF(Resumo!$C$19="PF",IF(Q134&lt;360,0.0082%*Q134,3%),IF(Q134&lt;360,0.0041%*Q134,1.5%)))</f>
        <v>1.4999999999999999E-2</v>
      </c>
      <c r="S134" s="172">
        <f t="shared" ca="1" si="16"/>
        <v>12.523370473537605</v>
      </c>
      <c r="W134" s="216">
        <f t="shared" ca="1" si="22"/>
        <v>2255.2854533867467</v>
      </c>
    </row>
    <row r="135" spans="2:23">
      <c r="B135" s="37">
        <f t="shared" si="17"/>
        <v>113</v>
      </c>
      <c r="C135" s="163">
        <f t="shared" si="18"/>
        <v>48197</v>
      </c>
      <c r="D135" s="38">
        <f t="shared" ca="1" si="19"/>
        <v>420.03570921140954</v>
      </c>
      <c r="E135" s="38">
        <f t="shared" ca="1" si="23"/>
        <v>1835.2497441753371</v>
      </c>
      <c r="F135" s="38">
        <f ca="1">IF(B135&lt;=$D$16,F134*(1+$D$13)^((C135-C134)/_xlfn.DAYS(EDATE(C134,1),C134)),F134-D135)+IF(B135&lt;=$D$16,F134*Resumo!$F$12,0)+IF(B135&lt;=$D$16,$D$15*Resumo!$F$13,0)+IF(B135&lt;=$D$16,25,0)-IF(AND($D$16&gt;3,B135&lt;=$D$16),J135,0)</f>
        <v>269469.63255186757</v>
      </c>
      <c r="G135" s="38">
        <f ca="1">IF(AND(B135&lt;&gt;"",K135&lt;&gt;$D$17,$D$16&gt;3),F135*Resumo!$F$12,IF(AND(B135&lt;&gt;"",K135&lt;&gt;$D$17,B135&gt;$D$16),F135*Resumo!$F$12,0))</f>
        <v>56.588622835892195</v>
      </c>
      <c r="H135" s="38">
        <f>IF(AND(B135&lt;&gt;"",K135&lt;&gt;$D$17,$D$16&gt;3,$B135&lt;=$D$16),$D$15*Resumo!$F$13,IF(AND(B135&lt;&gt;"",K135&lt;&gt;$D$17,B135&gt;$D$16),$D$15*Resumo!$F$13,0))</f>
        <v>34.369999999999997</v>
      </c>
      <c r="I135" s="38">
        <f>IF(AND(B135&lt;&gt;"",K135&lt;&gt;$D$17,$D$16&gt;3,$B135&lt;=$D$16),Resumo!$F$11,IF(AND(B135&lt;&gt;"",K135&lt;&gt;$D$17,B135&gt;$D$16),Resumo!$F$11,0))</f>
        <v>25</v>
      </c>
      <c r="J135" s="38">
        <f t="shared" ca="1" si="20"/>
        <v>2371.2440762226388</v>
      </c>
      <c r="K135" s="39" t="str">
        <f>IF(B135&lt;&gt;"",VLOOKUP(MONTH(C135),Sheet2!$F$1:$G$12,2,0),"")</f>
        <v>Dezembro</v>
      </c>
      <c r="L135" s="200">
        <f t="shared" ca="1" si="21"/>
        <v>0</v>
      </c>
      <c r="M135" s="40">
        <f t="shared" ca="1" si="12"/>
        <v>2255.2854533867467</v>
      </c>
      <c r="N135" s="40">
        <f t="shared" ca="1" si="13"/>
        <v>2371.2440762226388</v>
      </c>
      <c r="O135" s="40"/>
      <c r="P135" s="20">
        <f t="shared" ca="1" si="14"/>
        <v>834.89136490250701</v>
      </c>
      <c r="Q135" s="1">
        <f t="shared" si="15"/>
        <v>3450</v>
      </c>
      <c r="R135" s="171">
        <f>IF(AND($J$2&gt;=DATEVALUE("03/04/2020"),$J$2&lt;=DATEVALUE("25/11/2020")),0,IF(Resumo!$C$19="PF",IF(Q135&lt;360,0.0082%*Q135,3%),IF(Q135&lt;360,0.0041%*Q135,1.5%)))</f>
        <v>1.4999999999999999E-2</v>
      </c>
      <c r="S135" s="172">
        <f t="shared" ca="1" si="16"/>
        <v>12.523370473537605</v>
      </c>
      <c r="W135" s="216">
        <f t="shared" ca="1" si="22"/>
        <v>2255.2854533867467</v>
      </c>
    </row>
    <row r="136" spans="2:23">
      <c r="B136" s="41">
        <f t="shared" si="17"/>
        <v>114</v>
      </c>
      <c r="C136" s="164">
        <f t="shared" si="18"/>
        <v>48228</v>
      </c>
      <c r="D136" s="42">
        <f t="shared" ca="1" si="19"/>
        <v>422.89195203404734</v>
      </c>
      <c r="E136" s="42">
        <f t="shared" ca="1" si="23"/>
        <v>1832.3935013526993</v>
      </c>
      <c r="F136" s="42">
        <f ca="1">IF(B136&lt;=$D$16,F135*(1+$D$13)^((C136-C135)/_xlfn.DAYS(EDATE(C135,1),C135)),F135-D136)+IF(B136&lt;=$D$16,F135*Resumo!$F$12,0)+IF(B136&lt;=$D$16,$D$15*Resumo!$F$13,0)+IF(B136&lt;=$D$16,25,0)-IF(AND($D$16&gt;3,B136&lt;=$D$16),J136,0)</f>
        <v>269046.74059983355</v>
      </c>
      <c r="G136" s="42">
        <f ca="1">IF(AND(B136&lt;&gt;"",K136&lt;&gt;$D$17,$D$16&gt;3),F136*Resumo!$F$12,IF(AND(B136&lt;&gt;"",K136&lt;&gt;$D$17,B136&gt;$D$16),F136*Resumo!$F$12,0))</f>
        <v>56.499815525965047</v>
      </c>
      <c r="H136" s="42">
        <f>IF(AND(B136&lt;&gt;"",K136&lt;&gt;$D$17,$D$16&gt;3,$B136&lt;=$D$16),$D$15*Resumo!$F$13,IF(AND(B136&lt;&gt;"",K136&lt;&gt;$D$17,B136&gt;$D$16),$D$15*Resumo!$F$13,0))</f>
        <v>34.369999999999997</v>
      </c>
      <c r="I136" s="42">
        <f>IF(AND(B136&lt;&gt;"",K136&lt;&gt;$D$17,$D$16&gt;3,$B136&lt;=$D$16),Resumo!$F$11,IF(AND(B136&lt;&gt;"",K136&lt;&gt;$D$17,B136&gt;$D$16),Resumo!$F$11,0))</f>
        <v>25</v>
      </c>
      <c r="J136" s="42">
        <f t="shared" ca="1" si="20"/>
        <v>2371.1552689127116</v>
      </c>
      <c r="K136" s="39" t="str">
        <f>IF(B136&lt;&gt;"",VLOOKUP(MONTH(C136),Sheet2!$F$1:$G$12,2,0),"")</f>
        <v>Janeiro</v>
      </c>
      <c r="L136" s="200">
        <f t="shared" ca="1" si="21"/>
        <v>0</v>
      </c>
      <c r="M136" s="40">
        <f t="shared" ca="1" si="12"/>
        <v>2255.2854533867467</v>
      </c>
      <c r="N136" s="40">
        <f t="shared" ca="1" si="13"/>
        <v>2371.1552689127116</v>
      </c>
      <c r="O136" s="40"/>
      <c r="P136" s="20">
        <f t="shared" ca="1" si="14"/>
        <v>834.89136490250701</v>
      </c>
      <c r="Q136" s="1">
        <f t="shared" si="15"/>
        <v>3481</v>
      </c>
      <c r="R136" s="171">
        <f>IF(AND($J$2&gt;=DATEVALUE("03/04/2020"),$J$2&lt;=DATEVALUE("25/11/2020")),0,IF(Resumo!$C$19="PF",IF(Q136&lt;360,0.0082%*Q136,3%),IF(Q136&lt;360,0.0041%*Q136,1.5%)))</f>
        <v>1.4999999999999999E-2</v>
      </c>
      <c r="S136" s="172">
        <f t="shared" ca="1" si="16"/>
        <v>12.523370473537605</v>
      </c>
      <c r="W136" s="216">
        <f t="shared" ca="1" si="22"/>
        <v>2255.2854533867467</v>
      </c>
    </row>
    <row r="137" spans="2:23">
      <c r="B137" s="37">
        <f t="shared" si="17"/>
        <v>115</v>
      </c>
      <c r="C137" s="163">
        <f t="shared" si="18"/>
        <v>48259</v>
      </c>
      <c r="D137" s="38">
        <f t="shared" ca="1" si="19"/>
        <v>425.76761730787871</v>
      </c>
      <c r="E137" s="38">
        <f t="shared" ca="1" si="23"/>
        <v>1829.517836078868</v>
      </c>
      <c r="F137" s="38">
        <f ca="1">IF(B137&lt;=$D$16,F136*(1+$D$13)^((C137-C136)/_xlfn.DAYS(EDATE(C136,1),C136)),F136-D137)+IF(B137&lt;=$D$16,F136*Resumo!$F$12,0)+IF(B137&lt;=$D$16,$D$15*Resumo!$F$13,0)+IF(B137&lt;=$D$16,25,0)-IF(AND($D$16&gt;3,B137&lt;=$D$16),J137,0)</f>
        <v>268620.97298252565</v>
      </c>
      <c r="G137" s="38">
        <f ca="1">IF(AND(B137&lt;&gt;"",K137&lt;&gt;$D$17,$D$16&gt;3),F137*Resumo!$F$12,IF(AND(B137&lt;&gt;"",K137&lt;&gt;$D$17,B137&gt;$D$16),F137*Resumo!$F$12,0))</f>
        <v>56.410404326330386</v>
      </c>
      <c r="H137" s="38">
        <f>IF(AND(B137&lt;&gt;"",K137&lt;&gt;$D$17,$D$16&gt;3,$B137&lt;=$D$16),$D$15*Resumo!$F$13,IF(AND(B137&lt;&gt;"",K137&lt;&gt;$D$17,B137&gt;$D$16),$D$15*Resumo!$F$13,0))</f>
        <v>34.369999999999997</v>
      </c>
      <c r="I137" s="38">
        <f>IF(AND(B137&lt;&gt;"",K137&lt;&gt;$D$17,$D$16&gt;3,$B137&lt;=$D$16),Resumo!$F$11,IF(AND(B137&lt;&gt;"",K137&lt;&gt;$D$17,B137&gt;$D$16),Resumo!$F$11,0))</f>
        <v>25</v>
      </c>
      <c r="J137" s="38">
        <f t="shared" ca="1" si="20"/>
        <v>2371.0658577130771</v>
      </c>
      <c r="K137" s="39" t="str">
        <f>IF(B137&lt;&gt;"",VLOOKUP(MONTH(C137),Sheet2!$F$1:$G$12,2,0),"")</f>
        <v>Fevereiro</v>
      </c>
      <c r="L137" s="200">
        <f t="shared" ca="1" si="21"/>
        <v>0</v>
      </c>
      <c r="M137" s="40">
        <f t="shared" ca="1" si="12"/>
        <v>2255.2854533867467</v>
      </c>
      <c r="N137" s="40">
        <f t="shared" ca="1" si="13"/>
        <v>2371.0658577130771</v>
      </c>
      <c r="O137" s="40"/>
      <c r="P137" s="20">
        <f t="shared" ca="1" si="14"/>
        <v>834.89136490250701</v>
      </c>
      <c r="Q137" s="1">
        <f t="shared" si="15"/>
        <v>3512</v>
      </c>
      <c r="R137" s="171">
        <f>IF(AND($J$2&gt;=DATEVALUE("03/04/2020"),$J$2&lt;=DATEVALUE("25/11/2020")),0,IF(Resumo!$C$19="PF",IF(Q137&lt;360,0.0082%*Q137,3%),IF(Q137&lt;360,0.0041%*Q137,1.5%)))</f>
        <v>1.4999999999999999E-2</v>
      </c>
      <c r="S137" s="172">
        <f t="shared" ca="1" si="16"/>
        <v>12.523370473537605</v>
      </c>
      <c r="W137" s="216">
        <f t="shared" ca="1" si="22"/>
        <v>2255.2854533867467</v>
      </c>
    </row>
    <row r="138" spans="2:23">
      <c r="B138" s="41">
        <f t="shared" si="17"/>
        <v>116</v>
      </c>
      <c r="C138" s="164">
        <f t="shared" si="18"/>
        <v>48288</v>
      </c>
      <c r="D138" s="42">
        <f t="shared" ca="1" si="19"/>
        <v>428.66283710557241</v>
      </c>
      <c r="E138" s="42">
        <f t="shared" ca="1" si="23"/>
        <v>1826.6226162811743</v>
      </c>
      <c r="F138" s="42">
        <f ca="1">IF(B138&lt;=$D$16,F137*(1+$D$13)^((C138-C137)/_xlfn.DAYS(EDATE(C137,1),C137)),F137-D138)+IF(B138&lt;=$D$16,F137*Resumo!$F$12,0)+IF(B138&lt;=$D$16,$D$15*Resumo!$F$13,0)+IF(B138&lt;=$D$16,25,0)-IF(AND($D$16&gt;3,B138&lt;=$D$16),J138,0)</f>
        <v>268192.31014542008</v>
      </c>
      <c r="G138" s="42">
        <f ca="1">IF(AND(B138&lt;&gt;"",K138&lt;&gt;$D$17,$D$16&gt;3),F138*Resumo!$F$12,IF(AND(B138&lt;&gt;"",K138&lt;&gt;$D$17,B138&gt;$D$16),F138*Resumo!$F$12,0))</f>
        <v>56.32038513053822</v>
      </c>
      <c r="H138" s="42">
        <f>IF(AND(B138&lt;&gt;"",K138&lt;&gt;$D$17,$D$16&gt;3,$B138&lt;=$D$16),$D$15*Resumo!$F$13,IF(AND(B138&lt;&gt;"",K138&lt;&gt;$D$17,B138&gt;$D$16),$D$15*Resumo!$F$13,0))</f>
        <v>34.369999999999997</v>
      </c>
      <c r="I138" s="42">
        <f>IF(AND(B138&lt;&gt;"",K138&lt;&gt;$D$17,$D$16&gt;3,$B138&lt;=$D$16),Resumo!$F$11,IF(AND(B138&lt;&gt;"",K138&lt;&gt;$D$17,B138&gt;$D$16),Resumo!$F$11,0))</f>
        <v>25</v>
      </c>
      <c r="J138" s="42">
        <f t="shared" ca="1" si="20"/>
        <v>2370.975838517285</v>
      </c>
      <c r="K138" s="39" t="str">
        <f>IF(B138&lt;&gt;"",VLOOKUP(MONTH(C138),Sheet2!$F$1:$G$12,2,0),"")</f>
        <v>Março</v>
      </c>
      <c r="L138" s="200">
        <f t="shared" ca="1" si="21"/>
        <v>0</v>
      </c>
      <c r="M138" s="40">
        <f t="shared" ca="1" si="12"/>
        <v>2255.2854533867467</v>
      </c>
      <c r="N138" s="40">
        <f t="shared" ca="1" si="13"/>
        <v>2370.975838517285</v>
      </c>
      <c r="O138" s="40"/>
      <c r="P138" s="20">
        <f t="shared" ca="1" si="14"/>
        <v>834.89136490250701</v>
      </c>
      <c r="Q138" s="1">
        <f t="shared" si="15"/>
        <v>3541</v>
      </c>
      <c r="R138" s="171">
        <f>IF(AND($J$2&gt;=DATEVALUE("03/04/2020"),$J$2&lt;=DATEVALUE("25/11/2020")),0,IF(Resumo!$C$19="PF",IF(Q138&lt;360,0.0082%*Q138,3%),IF(Q138&lt;360,0.0041%*Q138,1.5%)))</f>
        <v>1.4999999999999999E-2</v>
      </c>
      <c r="S138" s="172">
        <f t="shared" ca="1" si="16"/>
        <v>12.523370473537605</v>
      </c>
      <c r="W138" s="216">
        <f t="shared" ca="1" si="22"/>
        <v>2255.2854533867467</v>
      </c>
    </row>
    <row r="139" spans="2:23">
      <c r="B139" s="37">
        <f t="shared" si="17"/>
        <v>117</v>
      </c>
      <c r="C139" s="163">
        <f t="shared" si="18"/>
        <v>48319</v>
      </c>
      <c r="D139" s="38">
        <f t="shared" ca="1" si="19"/>
        <v>431.57774439789023</v>
      </c>
      <c r="E139" s="38">
        <f t="shared" ca="1" si="23"/>
        <v>1823.7077089888564</v>
      </c>
      <c r="F139" s="38">
        <f ca="1">IF(B139&lt;=$D$16,F138*(1+$D$13)^((C139-C138)/_xlfn.DAYS(EDATE(C138,1),C138)),F138-D139)+IF(B139&lt;=$D$16,F138*Resumo!$F$12,0)+IF(B139&lt;=$D$16,$D$15*Resumo!$F$13,0)+IF(B139&lt;=$D$16,25,0)-IF(AND($D$16&gt;3,B139&lt;=$D$16),J139,0)</f>
        <v>267760.73240102216</v>
      </c>
      <c r="G139" s="38">
        <f ca="1">IF(AND(B139&lt;&gt;"",K139&lt;&gt;$D$17,$D$16&gt;3),F139*Resumo!$F$12,IF(AND(B139&lt;&gt;"",K139&lt;&gt;$D$17,B139&gt;$D$16),F139*Resumo!$F$12,0))</f>
        <v>56.22975380421466</v>
      </c>
      <c r="H139" s="38">
        <f>IF(AND(B139&lt;&gt;"",K139&lt;&gt;$D$17,$D$16&gt;3,$B139&lt;=$D$16),$D$15*Resumo!$F$13,IF(AND(B139&lt;&gt;"",K139&lt;&gt;$D$17,B139&gt;$D$16),$D$15*Resumo!$F$13,0))</f>
        <v>34.369999999999997</v>
      </c>
      <c r="I139" s="38">
        <f>IF(AND(B139&lt;&gt;"",K139&lt;&gt;$D$17,$D$16&gt;3,$B139&lt;=$D$16),Resumo!$F$11,IF(AND(B139&lt;&gt;"",K139&lt;&gt;$D$17,B139&gt;$D$16),Resumo!$F$11,0))</f>
        <v>25</v>
      </c>
      <c r="J139" s="38">
        <f t="shared" ca="1" si="20"/>
        <v>2370.8852071909614</v>
      </c>
      <c r="K139" s="39" t="str">
        <f>IF(B139&lt;&gt;"",VLOOKUP(MONTH(C139),Sheet2!$F$1:$G$12,2,0),"")</f>
        <v>Abril</v>
      </c>
      <c r="L139" s="200">
        <f t="shared" ca="1" si="21"/>
        <v>0</v>
      </c>
      <c r="M139" s="40">
        <f t="shared" ca="1" si="12"/>
        <v>2255.2854533867467</v>
      </c>
      <c r="N139" s="40">
        <f t="shared" ca="1" si="13"/>
        <v>2370.8852071909614</v>
      </c>
      <c r="O139" s="40"/>
      <c r="P139" s="20">
        <f t="shared" ca="1" si="14"/>
        <v>834.89136490250701</v>
      </c>
      <c r="Q139" s="1">
        <f t="shared" si="15"/>
        <v>3572</v>
      </c>
      <c r="R139" s="171">
        <f>IF(AND($J$2&gt;=DATEVALUE("03/04/2020"),$J$2&lt;=DATEVALUE("25/11/2020")),0,IF(Resumo!$C$19="PF",IF(Q139&lt;360,0.0082%*Q139,3%),IF(Q139&lt;360,0.0041%*Q139,1.5%)))</f>
        <v>1.4999999999999999E-2</v>
      </c>
      <c r="S139" s="172">
        <f t="shared" ca="1" si="16"/>
        <v>12.523370473537605</v>
      </c>
      <c r="W139" s="216">
        <f t="shared" ca="1" si="22"/>
        <v>2255.2854533867467</v>
      </c>
    </row>
    <row r="140" spans="2:23">
      <c r="B140" s="41">
        <f t="shared" si="17"/>
        <v>118</v>
      </c>
      <c r="C140" s="164">
        <f t="shared" si="18"/>
        <v>48349</v>
      </c>
      <c r="D140" s="42">
        <f t="shared" ca="1" si="19"/>
        <v>434.51247305979609</v>
      </c>
      <c r="E140" s="42">
        <f t="shared" ca="1" si="23"/>
        <v>1820.7729803269506</v>
      </c>
      <c r="F140" s="42">
        <f ca="1">IF(B140&lt;=$D$16,F139*(1+$D$13)^((C140-C139)/_xlfn.DAYS(EDATE(C139,1),C139)),F139-D140)+IF(B140&lt;=$D$16,F139*Resumo!$F$12,0)+IF(B140&lt;=$D$16,$D$15*Resumo!$F$13,0)+IF(B140&lt;=$D$16,25,0)-IF(AND($D$16&gt;3,B140&lt;=$D$16),J140,0)</f>
        <v>267326.21992796235</v>
      </c>
      <c r="G140" s="42">
        <f ca="1">IF(AND(B140&lt;&gt;"",K140&lt;&gt;$D$17,$D$16&gt;3),F140*Resumo!$F$12,IF(AND(B140&lt;&gt;"",K140&lt;&gt;$D$17,B140&gt;$D$16),F140*Resumo!$F$12,0))</f>
        <v>56.138506184872092</v>
      </c>
      <c r="H140" s="42">
        <f>IF(AND(B140&lt;&gt;"",K140&lt;&gt;$D$17,$D$16&gt;3,$B140&lt;=$D$16),$D$15*Resumo!$F$13,IF(AND(B140&lt;&gt;"",K140&lt;&gt;$D$17,B140&gt;$D$16),$D$15*Resumo!$F$13,0))</f>
        <v>34.369999999999997</v>
      </c>
      <c r="I140" s="42">
        <f>IF(AND(B140&lt;&gt;"",K140&lt;&gt;$D$17,$D$16&gt;3,$B140&lt;=$D$16),Resumo!$F$11,IF(AND(B140&lt;&gt;"",K140&lt;&gt;$D$17,B140&gt;$D$16),Resumo!$F$11,0))</f>
        <v>25</v>
      </c>
      <c r="J140" s="42">
        <f t="shared" ca="1" si="20"/>
        <v>2370.7939595716189</v>
      </c>
      <c r="K140" s="39" t="str">
        <f>IF(B140&lt;&gt;"",VLOOKUP(MONTH(C140),Sheet2!$F$1:$G$12,2,0),"")</f>
        <v>Maio</v>
      </c>
      <c r="L140" s="200">
        <f t="shared" ca="1" si="21"/>
        <v>0</v>
      </c>
      <c r="M140" s="40">
        <f t="shared" ca="1" si="12"/>
        <v>2255.2854533867467</v>
      </c>
      <c r="N140" s="40">
        <f t="shared" ca="1" si="13"/>
        <v>2370.7939595716189</v>
      </c>
      <c r="O140" s="40"/>
      <c r="P140" s="20">
        <f t="shared" ca="1" si="14"/>
        <v>834.89136490250701</v>
      </c>
      <c r="Q140" s="1">
        <f t="shared" si="15"/>
        <v>3602</v>
      </c>
      <c r="R140" s="171">
        <f>IF(AND($J$2&gt;=DATEVALUE("03/04/2020"),$J$2&lt;=DATEVALUE("25/11/2020")),0,IF(Resumo!$C$19="PF",IF(Q140&lt;360,0.0082%*Q140,3%),IF(Q140&lt;360,0.0041%*Q140,1.5%)))</f>
        <v>1.4999999999999999E-2</v>
      </c>
      <c r="S140" s="172">
        <f t="shared" ca="1" si="16"/>
        <v>12.523370473537605</v>
      </c>
      <c r="W140" s="216">
        <f t="shared" ca="1" si="22"/>
        <v>2255.2854533867467</v>
      </c>
    </row>
    <row r="141" spans="2:23">
      <c r="B141" s="37">
        <f t="shared" si="17"/>
        <v>119</v>
      </c>
      <c r="C141" s="163">
        <f t="shared" si="18"/>
        <v>48380</v>
      </c>
      <c r="D141" s="38">
        <f t="shared" ca="1" si="19"/>
        <v>437.46715787660287</v>
      </c>
      <c r="E141" s="38">
        <f t="shared" ca="1" si="23"/>
        <v>1817.8182955101438</v>
      </c>
      <c r="F141" s="38">
        <f ca="1">IF(B141&lt;=$D$16,F140*(1+$D$13)^((C141-C140)/_xlfn.DAYS(EDATE(C140,1),C140)),F140-D141)+IF(B141&lt;=$D$16,F140*Resumo!$F$12,0)+IF(B141&lt;=$D$16,$D$15*Resumo!$F$13,0)+IF(B141&lt;=$D$16,25,0)-IF(AND($D$16&gt;3,B141&lt;=$D$16),J141,0)</f>
        <v>266888.75277008576</v>
      </c>
      <c r="G141" s="38">
        <f ca="1">IF(AND(B141&lt;&gt;"",K141&lt;&gt;$D$17,$D$16&gt;3),F141*Resumo!$F$12,IF(AND(B141&lt;&gt;"",K141&lt;&gt;$D$17,B141&gt;$D$16),F141*Resumo!$F$12,0))</f>
        <v>56.046638081718015</v>
      </c>
      <c r="H141" s="38">
        <f>IF(AND(B141&lt;&gt;"",K141&lt;&gt;$D$17,$D$16&gt;3,$B141&lt;=$D$16),$D$15*Resumo!$F$13,IF(AND(B141&lt;&gt;"",K141&lt;&gt;$D$17,B141&gt;$D$16),$D$15*Resumo!$F$13,0))</f>
        <v>34.369999999999997</v>
      </c>
      <c r="I141" s="38">
        <f>IF(AND(B141&lt;&gt;"",K141&lt;&gt;$D$17,$D$16&gt;3,$B141&lt;=$D$16),Resumo!$F$11,IF(AND(B141&lt;&gt;"",K141&lt;&gt;$D$17,B141&gt;$D$16),Resumo!$F$11,0))</f>
        <v>25</v>
      </c>
      <c r="J141" s="38">
        <f t="shared" ca="1" si="20"/>
        <v>2370.7020914684645</v>
      </c>
      <c r="K141" s="39" t="str">
        <f>IF(B141&lt;&gt;"",VLOOKUP(MONTH(C141),Sheet2!$F$1:$G$12,2,0),"")</f>
        <v>Junho</v>
      </c>
      <c r="L141" s="200">
        <f t="shared" ca="1" si="21"/>
        <v>0</v>
      </c>
      <c r="M141" s="40">
        <f t="shared" ca="1" si="12"/>
        <v>2255.2854533867467</v>
      </c>
      <c r="N141" s="40">
        <f t="shared" ca="1" si="13"/>
        <v>2370.7020914684645</v>
      </c>
      <c r="O141" s="40"/>
      <c r="P141" s="20">
        <f t="shared" ca="1" si="14"/>
        <v>834.89136490250701</v>
      </c>
      <c r="Q141" s="1">
        <f t="shared" si="15"/>
        <v>3633</v>
      </c>
      <c r="R141" s="171">
        <f>IF(AND($J$2&gt;=DATEVALUE("03/04/2020"),$J$2&lt;=DATEVALUE("25/11/2020")),0,IF(Resumo!$C$19="PF",IF(Q141&lt;360,0.0082%*Q141,3%),IF(Q141&lt;360,0.0041%*Q141,1.5%)))</f>
        <v>1.4999999999999999E-2</v>
      </c>
      <c r="S141" s="172">
        <f t="shared" ca="1" si="16"/>
        <v>12.523370473537605</v>
      </c>
      <c r="W141" s="216">
        <f t="shared" ca="1" si="22"/>
        <v>2255.2854533867467</v>
      </c>
    </row>
    <row r="142" spans="2:23">
      <c r="B142" s="41">
        <f t="shared" si="17"/>
        <v>120</v>
      </c>
      <c r="C142" s="164">
        <f t="shared" si="18"/>
        <v>48410</v>
      </c>
      <c r="D142" s="42">
        <f t="shared" ca="1" si="19"/>
        <v>440.44193455016352</v>
      </c>
      <c r="E142" s="42">
        <f t="shared" ca="1" si="23"/>
        <v>1814.8435188365831</v>
      </c>
      <c r="F142" s="42">
        <f ca="1">IF(B142&lt;=$D$16,F141*(1+$D$13)^((C142-C141)/_xlfn.DAYS(EDATE(C141,1),C141)),F141-D142)+IF(B142&lt;=$D$16,F141*Resumo!$F$12,0)+IF(B142&lt;=$D$16,$D$15*Resumo!$F$13,0)+IF(B142&lt;=$D$16,25,0)-IF(AND($D$16&gt;3,B142&lt;=$D$16),J142,0)</f>
        <v>266448.31083553558</v>
      </c>
      <c r="G142" s="42">
        <f ca="1">IF(AND(B142&lt;&gt;"",K142&lt;&gt;$D$17,$D$16&gt;3),F142*Resumo!$F$12,IF(AND(B142&lt;&gt;"",K142&lt;&gt;$D$17,B142&gt;$D$16),F142*Resumo!$F$12,0))</f>
        <v>55.954145275462473</v>
      </c>
      <c r="H142" s="42">
        <f>IF(AND(B142&lt;&gt;"",K142&lt;&gt;$D$17,$D$16&gt;3,$B142&lt;=$D$16),$D$15*Resumo!$F$13,IF(AND(B142&lt;&gt;"",K142&lt;&gt;$D$17,B142&gt;$D$16),$D$15*Resumo!$F$13,0))</f>
        <v>34.369999999999997</v>
      </c>
      <c r="I142" s="42">
        <f>IF(AND(B142&lt;&gt;"",K142&lt;&gt;$D$17,$D$16&gt;3,$B142&lt;=$D$16),Resumo!$F$11,IF(AND(B142&lt;&gt;"",K142&lt;&gt;$D$17,B142&gt;$D$16),Resumo!$F$11,0))</f>
        <v>25</v>
      </c>
      <c r="J142" s="42">
        <f t="shared" ca="1" si="20"/>
        <v>2370.609598662209</v>
      </c>
      <c r="K142" s="39" t="str">
        <f>IF(B142&lt;&gt;"",VLOOKUP(MONTH(C142),Sheet2!$F$1:$G$12,2,0),"")</f>
        <v>Julho</v>
      </c>
      <c r="L142" s="200">
        <f t="shared" ca="1" si="21"/>
        <v>0</v>
      </c>
      <c r="M142" s="40">
        <f t="shared" ca="1" si="12"/>
        <v>2255.2854533867467</v>
      </c>
      <c r="N142" s="40">
        <f t="shared" ca="1" si="13"/>
        <v>2370.609598662209</v>
      </c>
      <c r="O142" s="40"/>
      <c r="P142" s="20">
        <f t="shared" ca="1" si="14"/>
        <v>834.89136490250701</v>
      </c>
      <c r="Q142" s="1">
        <f t="shared" si="15"/>
        <v>3663</v>
      </c>
      <c r="R142" s="171">
        <f>IF(AND($J$2&gt;=DATEVALUE("03/04/2020"),$J$2&lt;=DATEVALUE("25/11/2020")),0,IF(Resumo!$C$19="PF",IF(Q142&lt;360,0.0082%*Q142,3%),IF(Q142&lt;360,0.0041%*Q142,1.5%)))</f>
        <v>1.4999999999999999E-2</v>
      </c>
      <c r="S142" s="172">
        <f t="shared" ca="1" si="16"/>
        <v>12.523370473537605</v>
      </c>
      <c r="W142" s="216">
        <f t="shared" ca="1" si="22"/>
        <v>2255.2854533867467</v>
      </c>
    </row>
    <row r="143" spans="2:23">
      <c r="B143" s="37">
        <f t="shared" si="17"/>
        <v>121</v>
      </c>
      <c r="C143" s="163">
        <f t="shared" si="18"/>
        <v>48441</v>
      </c>
      <c r="D143" s="38">
        <f t="shared" ca="1" si="19"/>
        <v>443.43693970510481</v>
      </c>
      <c r="E143" s="38">
        <f t="shared" ca="1" si="23"/>
        <v>1811.8485136816419</v>
      </c>
      <c r="F143" s="38">
        <f ca="1">IF(B143&lt;=$D$16,F142*(1+$D$13)^((C143-C142)/_xlfn.DAYS(EDATE(C142,1),C142)),F142-D143)+IF(B143&lt;=$D$16,F142*Resumo!$F$12,0)+IF(B143&lt;=$D$16,$D$15*Resumo!$F$13,0)+IF(B143&lt;=$D$16,25,0)-IF(AND($D$16&gt;3,B143&lt;=$D$16),J143,0)</f>
        <v>266004.87389583047</v>
      </c>
      <c r="G143" s="38">
        <f ca="1">IF(AND(B143&lt;&gt;"",K143&lt;&gt;$D$17,$D$16&gt;3),F143*Resumo!$F$12,IF(AND(B143&lt;&gt;"",K143&lt;&gt;$D$17,B143&gt;$D$16),F143*Resumo!$F$12,0))</f>
        <v>55.861023518124405</v>
      </c>
      <c r="H143" s="38">
        <f>IF(AND(B143&lt;&gt;"",K143&lt;&gt;$D$17,$D$16&gt;3,$B143&lt;=$D$16),$D$15*Resumo!$F$13,IF(AND(B143&lt;&gt;"",K143&lt;&gt;$D$17,B143&gt;$D$16),$D$15*Resumo!$F$13,0))</f>
        <v>34.369999999999997</v>
      </c>
      <c r="I143" s="38">
        <f>IF(AND(B143&lt;&gt;"",K143&lt;&gt;$D$17,$D$16&gt;3,$B143&lt;=$D$16),Resumo!$F$11,IF(AND(B143&lt;&gt;"",K143&lt;&gt;$D$17,B143&gt;$D$16),Resumo!$F$11,0))</f>
        <v>25</v>
      </c>
      <c r="J143" s="38">
        <f t="shared" ca="1" si="20"/>
        <v>2370.5164769048711</v>
      </c>
      <c r="K143" s="39" t="str">
        <f>IF(B143&lt;&gt;"",VLOOKUP(MONTH(C143),Sheet2!$F$1:$G$12,2,0),"")</f>
        <v>Agosto</v>
      </c>
      <c r="L143" s="200">
        <f t="shared" ca="1" si="21"/>
        <v>0</v>
      </c>
      <c r="M143" s="40">
        <f t="shared" ca="1" si="12"/>
        <v>2255.2854533867467</v>
      </c>
      <c r="N143" s="40">
        <f t="shared" ca="1" si="13"/>
        <v>2370.5164769048711</v>
      </c>
      <c r="O143" s="40"/>
      <c r="P143" s="20">
        <f t="shared" ca="1" si="14"/>
        <v>834.89136490250701</v>
      </c>
      <c r="Q143" s="1">
        <f t="shared" si="15"/>
        <v>3694</v>
      </c>
      <c r="R143" s="171">
        <f>IF(AND($J$2&gt;=DATEVALUE("03/04/2020"),$J$2&lt;=DATEVALUE("25/11/2020")),0,IF(Resumo!$C$19="PF",IF(Q143&lt;360,0.0082%*Q143,3%),IF(Q143&lt;360,0.0041%*Q143,1.5%)))</f>
        <v>1.4999999999999999E-2</v>
      </c>
      <c r="S143" s="172">
        <f t="shared" ca="1" si="16"/>
        <v>12.523370473537605</v>
      </c>
      <c r="W143" s="216">
        <f t="shared" ca="1" si="22"/>
        <v>2255.2854533867467</v>
      </c>
    </row>
    <row r="144" spans="2:23">
      <c r="B144" s="41">
        <f t="shared" si="17"/>
        <v>122</v>
      </c>
      <c r="C144" s="164">
        <f t="shared" si="18"/>
        <v>48472</v>
      </c>
      <c r="D144" s="42">
        <f t="shared" ca="1" si="19"/>
        <v>446.45231089509957</v>
      </c>
      <c r="E144" s="42">
        <f t="shared" ca="1" si="23"/>
        <v>1808.8331424916471</v>
      </c>
      <c r="F144" s="42">
        <f ca="1">IF(B144&lt;=$D$16,F143*(1+$D$13)^((C144-C143)/_xlfn.DAYS(EDATE(C143,1),C143)),F143-D144)+IF(B144&lt;=$D$16,F143*Resumo!$F$12,0)+IF(B144&lt;=$D$16,$D$15*Resumo!$F$13,0)+IF(B144&lt;=$D$16,25,0)-IF(AND($D$16&gt;3,B144&lt;=$D$16),J144,0)</f>
        <v>265558.42158493539</v>
      </c>
      <c r="G144" s="42">
        <f ca="1">IF(AND(B144&lt;&gt;"",K144&lt;&gt;$D$17,$D$16&gt;3),F144*Resumo!$F$12,IF(AND(B144&lt;&gt;"",K144&lt;&gt;$D$17,B144&gt;$D$16),F144*Resumo!$F$12,0))</f>
        <v>55.767268532836432</v>
      </c>
      <c r="H144" s="42">
        <f>IF(AND(B144&lt;&gt;"",K144&lt;&gt;$D$17,$D$16&gt;3,$B144&lt;=$D$16),$D$15*Resumo!$F$13,IF(AND(B144&lt;&gt;"",K144&lt;&gt;$D$17,B144&gt;$D$16),$D$15*Resumo!$F$13,0))</f>
        <v>34.369999999999997</v>
      </c>
      <c r="I144" s="42">
        <f>IF(AND(B144&lt;&gt;"",K144&lt;&gt;$D$17,$D$16&gt;3,$B144&lt;=$D$16),Resumo!$F$11,IF(AND(B144&lt;&gt;"",K144&lt;&gt;$D$17,B144&gt;$D$16),Resumo!$F$11,0))</f>
        <v>25</v>
      </c>
      <c r="J144" s="42">
        <f t="shared" ca="1" si="20"/>
        <v>2370.4227219195832</v>
      </c>
      <c r="K144" s="39" t="str">
        <f>IF(B144&lt;&gt;"",VLOOKUP(MONTH(C144),Sheet2!$F$1:$G$12,2,0),"")</f>
        <v>Setembro</v>
      </c>
      <c r="L144" s="200">
        <f t="shared" ca="1" si="21"/>
        <v>0</v>
      </c>
      <c r="M144" s="40">
        <f t="shared" ca="1" si="12"/>
        <v>2255.2854533867467</v>
      </c>
      <c r="N144" s="40">
        <f t="shared" ca="1" si="13"/>
        <v>2370.4227219195832</v>
      </c>
      <c r="O144" s="40"/>
      <c r="P144" s="20">
        <f t="shared" ca="1" si="14"/>
        <v>834.89136490250701</v>
      </c>
      <c r="Q144" s="1">
        <f t="shared" si="15"/>
        <v>3725</v>
      </c>
      <c r="R144" s="171">
        <f>IF(AND($J$2&gt;=DATEVALUE("03/04/2020"),$J$2&lt;=DATEVALUE("25/11/2020")),0,IF(Resumo!$C$19="PF",IF(Q144&lt;360,0.0082%*Q144,3%),IF(Q144&lt;360,0.0041%*Q144,1.5%)))</f>
        <v>1.4999999999999999E-2</v>
      </c>
      <c r="S144" s="172">
        <f t="shared" ca="1" si="16"/>
        <v>12.523370473537605</v>
      </c>
      <c r="W144" s="216">
        <f t="shared" ca="1" si="22"/>
        <v>2255.2854533867467</v>
      </c>
    </row>
    <row r="145" spans="2:23">
      <c r="B145" s="37">
        <f t="shared" si="17"/>
        <v>123</v>
      </c>
      <c r="C145" s="163">
        <f t="shared" si="18"/>
        <v>48502</v>
      </c>
      <c r="D145" s="38">
        <f t="shared" ca="1" si="19"/>
        <v>449.48818660918619</v>
      </c>
      <c r="E145" s="38">
        <f t="shared" ca="1" si="23"/>
        <v>1805.7972667775605</v>
      </c>
      <c r="F145" s="38">
        <f ca="1">IF(B145&lt;=$D$16,F144*(1+$D$13)^((C145-C144)/_xlfn.DAYS(EDATE(C144,1),C144)),F144-D145)+IF(B145&lt;=$D$16,F144*Resumo!$F$12,0)+IF(B145&lt;=$D$16,$D$15*Resumo!$F$13,0)+IF(B145&lt;=$D$16,25,0)-IF(AND($D$16&gt;3,B145&lt;=$D$16),J145,0)</f>
        <v>265108.93339832622</v>
      </c>
      <c r="G145" s="38">
        <f ca="1">IF(AND(B145&lt;&gt;"",K145&lt;&gt;$D$17,$D$16&gt;3),F145*Resumo!$F$12,IF(AND(B145&lt;&gt;"",K145&lt;&gt;$D$17,B145&gt;$D$16),F145*Resumo!$F$12,0))</f>
        <v>55.672876013648505</v>
      </c>
      <c r="H145" s="38">
        <f>IF(AND(B145&lt;&gt;"",K145&lt;&gt;$D$17,$D$16&gt;3,$B145&lt;=$D$16),$D$15*Resumo!$F$13,IF(AND(B145&lt;&gt;"",K145&lt;&gt;$D$17,B145&gt;$D$16),$D$15*Resumo!$F$13,0))</f>
        <v>34.369999999999997</v>
      </c>
      <c r="I145" s="38">
        <f>IF(AND(B145&lt;&gt;"",K145&lt;&gt;$D$17,$D$16&gt;3,$B145&lt;=$D$16),Resumo!$F$11,IF(AND(B145&lt;&gt;"",K145&lt;&gt;$D$17,B145&gt;$D$16),Resumo!$F$11,0))</f>
        <v>25</v>
      </c>
      <c r="J145" s="38">
        <f t="shared" ca="1" si="20"/>
        <v>2370.328329400395</v>
      </c>
      <c r="K145" s="39" t="str">
        <f>IF(B145&lt;&gt;"",VLOOKUP(MONTH(C145),Sheet2!$F$1:$G$12,2,0),"")</f>
        <v>Outubro</v>
      </c>
      <c r="L145" s="200">
        <f t="shared" ca="1" si="21"/>
        <v>0</v>
      </c>
      <c r="M145" s="40">
        <f t="shared" ca="1" si="12"/>
        <v>2255.2854533867467</v>
      </c>
      <c r="N145" s="40">
        <f t="shared" ca="1" si="13"/>
        <v>2370.328329400395</v>
      </c>
      <c r="O145" s="40"/>
      <c r="P145" s="20">
        <f t="shared" ca="1" si="14"/>
        <v>834.89136490250701</v>
      </c>
      <c r="Q145" s="1">
        <f t="shared" si="15"/>
        <v>3755</v>
      </c>
      <c r="R145" s="171">
        <f>IF(AND($J$2&gt;=DATEVALUE("03/04/2020"),$J$2&lt;=DATEVALUE("25/11/2020")),0,IF(Resumo!$C$19="PF",IF(Q145&lt;360,0.0082%*Q145,3%),IF(Q145&lt;360,0.0041%*Q145,1.5%)))</f>
        <v>1.4999999999999999E-2</v>
      </c>
      <c r="S145" s="172">
        <f t="shared" ca="1" si="16"/>
        <v>12.523370473537605</v>
      </c>
      <c r="W145" s="216">
        <f t="shared" ca="1" si="22"/>
        <v>2255.2854533867467</v>
      </c>
    </row>
    <row r="146" spans="2:23">
      <c r="B146" s="41">
        <f t="shared" si="17"/>
        <v>124</v>
      </c>
      <c r="C146" s="164">
        <f t="shared" si="18"/>
        <v>48533</v>
      </c>
      <c r="D146" s="42">
        <f t="shared" ca="1" si="19"/>
        <v>452.54470627812839</v>
      </c>
      <c r="E146" s="42">
        <f t="shared" ca="1" si="23"/>
        <v>1802.7407471086183</v>
      </c>
      <c r="F146" s="42">
        <f ca="1">IF(B146&lt;=$D$16,F145*(1+$D$13)^((C146-C145)/_xlfn.DAYS(EDATE(C145,1),C145)),F145-D146)+IF(B146&lt;=$D$16,F145*Resumo!$F$12,0)+IF(B146&lt;=$D$16,$D$15*Resumo!$F$13,0)+IF(B146&lt;=$D$16,25,0)-IF(AND($D$16&gt;3,B146&lt;=$D$16),J146,0)</f>
        <v>264656.38869204809</v>
      </c>
      <c r="G146" s="42">
        <f ca="1">IF(AND(B146&lt;&gt;"",K146&lt;&gt;$D$17,$D$16&gt;3),F146*Resumo!$F$12,IF(AND(B146&lt;&gt;"",K146&lt;&gt;$D$17,B146&gt;$D$16),F146*Resumo!$F$12,0))</f>
        <v>55.577841625330102</v>
      </c>
      <c r="H146" s="42">
        <f>IF(AND(B146&lt;&gt;"",K146&lt;&gt;$D$17,$D$16&gt;3,$B146&lt;=$D$16),$D$15*Resumo!$F$13,IF(AND(B146&lt;&gt;"",K146&lt;&gt;$D$17,B146&gt;$D$16),$D$15*Resumo!$F$13,0))</f>
        <v>34.369999999999997</v>
      </c>
      <c r="I146" s="42">
        <f>IF(AND(B146&lt;&gt;"",K146&lt;&gt;$D$17,$D$16&gt;3,$B146&lt;=$D$16),Resumo!$F$11,IF(AND(B146&lt;&gt;"",K146&lt;&gt;$D$17,B146&gt;$D$16),Resumo!$F$11,0))</f>
        <v>25</v>
      </c>
      <c r="J146" s="42">
        <f t="shared" ca="1" si="20"/>
        <v>2370.2332950120767</v>
      </c>
      <c r="K146" s="39" t="str">
        <f>IF(B146&lt;&gt;"",VLOOKUP(MONTH(C146),Sheet2!$F$1:$G$12,2,0),"")</f>
        <v>Novembro</v>
      </c>
      <c r="L146" s="200">
        <f t="shared" ca="1" si="21"/>
        <v>0</v>
      </c>
      <c r="M146" s="40">
        <f t="shared" ca="1" si="12"/>
        <v>2255.2854533867467</v>
      </c>
      <c r="N146" s="40">
        <f t="shared" ca="1" si="13"/>
        <v>2370.2332950120767</v>
      </c>
      <c r="O146" s="40"/>
      <c r="P146" s="20">
        <f t="shared" ca="1" si="14"/>
        <v>834.89136490250701</v>
      </c>
      <c r="Q146" s="1">
        <f t="shared" si="15"/>
        <v>3786</v>
      </c>
      <c r="R146" s="171">
        <f>IF(AND($J$2&gt;=DATEVALUE("03/04/2020"),$J$2&lt;=DATEVALUE("25/11/2020")),0,IF(Resumo!$C$19="PF",IF(Q146&lt;360,0.0082%*Q146,3%),IF(Q146&lt;360,0.0041%*Q146,1.5%)))</f>
        <v>1.4999999999999999E-2</v>
      </c>
      <c r="S146" s="172">
        <f t="shared" ca="1" si="16"/>
        <v>12.523370473537605</v>
      </c>
      <c r="W146" s="216">
        <f t="shared" ca="1" si="22"/>
        <v>2255.2854533867467</v>
      </c>
    </row>
    <row r="147" spans="2:23">
      <c r="B147" s="37">
        <f t="shared" si="17"/>
        <v>125</v>
      </c>
      <c r="C147" s="163">
        <f t="shared" si="18"/>
        <v>48563</v>
      </c>
      <c r="D147" s="38">
        <f t="shared" ca="1" si="19"/>
        <v>455.62201028081972</v>
      </c>
      <c r="E147" s="38">
        <f t="shared" ca="1" si="23"/>
        <v>1799.6634431059269</v>
      </c>
      <c r="F147" s="38">
        <f ca="1">IF(B147&lt;=$D$16,F146*(1+$D$13)^((C147-C146)/_xlfn.DAYS(EDATE(C146,1),C146)),F146-D147)+IF(B147&lt;=$D$16,F146*Resumo!$F$12,0)+IF(B147&lt;=$D$16,$D$15*Resumo!$F$13,0)+IF(B147&lt;=$D$16,25,0)-IF(AND($D$16&gt;3,B147&lt;=$D$16),J147,0)</f>
        <v>264200.76668176724</v>
      </c>
      <c r="G147" s="38">
        <f ca="1">IF(AND(B147&lt;&gt;"",K147&lt;&gt;$D$17,$D$16&gt;3),F147*Resumo!$F$12,IF(AND(B147&lt;&gt;"",K147&lt;&gt;$D$17,B147&gt;$D$16),F147*Resumo!$F$12,0))</f>
        <v>55.482161003171122</v>
      </c>
      <c r="H147" s="38">
        <f>IF(AND(B147&lt;&gt;"",K147&lt;&gt;$D$17,$D$16&gt;3,$B147&lt;=$D$16),$D$15*Resumo!$F$13,IF(AND(B147&lt;&gt;"",K147&lt;&gt;$D$17,B147&gt;$D$16),$D$15*Resumo!$F$13,0))</f>
        <v>34.369999999999997</v>
      </c>
      <c r="I147" s="38">
        <f>IF(AND(B147&lt;&gt;"",K147&lt;&gt;$D$17,$D$16&gt;3,$B147&lt;=$D$16),Resumo!$F$11,IF(AND(B147&lt;&gt;"",K147&lt;&gt;$D$17,B147&gt;$D$16),Resumo!$F$11,0))</f>
        <v>25</v>
      </c>
      <c r="J147" s="38">
        <f t="shared" ca="1" si="20"/>
        <v>2370.1376143899179</v>
      </c>
      <c r="K147" s="39" t="str">
        <f>IF(B147&lt;&gt;"",VLOOKUP(MONTH(C147),Sheet2!$F$1:$G$12,2,0),"")</f>
        <v>Dezembro</v>
      </c>
      <c r="L147" s="200">
        <f t="shared" ca="1" si="21"/>
        <v>0</v>
      </c>
      <c r="M147" s="40">
        <f t="shared" ca="1" si="12"/>
        <v>2255.2854533867467</v>
      </c>
      <c r="N147" s="40">
        <f t="shared" ca="1" si="13"/>
        <v>2370.1376143899179</v>
      </c>
      <c r="O147" s="40"/>
      <c r="P147" s="20">
        <f t="shared" ca="1" si="14"/>
        <v>834.89136490250701</v>
      </c>
      <c r="Q147" s="1">
        <f t="shared" si="15"/>
        <v>3816</v>
      </c>
      <c r="R147" s="171">
        <f>IF(AND($J$2&gt;=DATEVALUE("03/04/2020"),$J$2&lt;=DATEVALUE("25/11/2020")),0,IF(Resumo!$C$19="PF",IF(Q147&lt;360,0.0082%*Q147,3%),IF(Q147&lt;360,0.0041%*Q147,1.5%)))</f>
        <v>1.4999999999999999E-2</v>
      </c>
      <c r="S147" s="172">
        <f t="shared" ca="1" si="16"/>
        <v>12.523370473537605</v>
      </c>
      <c r="W147" s="216">
        <f t="shared" ca="1" si="22"/>
        <v>2255.2854533867467</v>
      </c>
    </row>
    <row r="148" spans="2:23">
      <c r="B148" s="41">
        <f t="shared" si="17"/>
        <v>126</v>
      </c>
      <c r="C148" s="164">
        <f t="shared" si="18"/>
        <v>48594</v>
      </c>
      <c r="D148" s="42">
        <f t="shared" ca="1" si="19"/>
        <v>458.72023995072959</v>
      </c>
      <c r="E148" s="42">
        <f t="shared" ca="1" si="23"/>
        <v>1796.5652134360171</v>
      </c>
      <c r="F148" s="42">
        <f ca="1">IF(B148&lt;=$D$16,F147*(1+$D$13)^((C148-C147)/_xlfn.DAYS(EDATE(C147,1),C147)),F147-D148)+IF(B148&lt;=$D$16,F147*Resumo!$F$12,0)+IF(B148&lt;=$D$16,$D$15*Resumo!$F$13,0)+IF(B148&lt;=$D$16,25,0)-IF(AND($D$16&gt;3,B148&lt;=$D$16),J148,0)</f>
        <v>263742.04644181649</v>
      </c>
      <c r="G148" s="42">
        <f ca="1">IF(AND(B148&lt;&gt;"",K148&lt;&gt;$D$17,$D$16&gt;3),F148*Resumo!$F$12,IF(AND(B148&lt;&gt;"",K148&lt;&gt;$D$17,B148&gt;$D$16),F148*Resumo!$F$12,0))</f>
        <v>55.385829752781468</v>
      </c>
      <c r="H148" s="42">
        <f>IF(AND(B148&lt;&gt;"",K148&lt;&gt;$D$17,$D$16&gt;3,$B148&lt;=$D$16),$D$15*Resumo!$F$13,IF(AND(B148&lt;&gt;"",K148&lt;&gt;$D$17,B148&gt;$D$16),$D$15*Resumo!$F$13,0))</f>
        <v>34.369999999999997</v>
      </c>
      <c r="I148" s="42">
        <f>IF(AND(B148&lt;&gt;"",K148&lt;&gt;$D$17,$D$16&gt;3,$B148&lt;=$D$16),Resumo!$F$11,IF(AND(B148&lt;&gt;"",K148&lt;&gt;$D$17,B148&gt;$D$16),Resumo!$F$11,0))</f>
        <v>25</v>
      </c>
      <c r="J148" s="42">
        <f t="shared" ca="1" si="20"/>
        <v>2370.0412831395279</v>
      </c>
      <c r="K148" s="39" t="str">
        <f>IF(B148&lt;&gt;"",VLOOKUP(MONTH(C148),Sheet2!$F$1:$G$12,2,0),"")</f>
        <v>Janeiro</v>
      </c>
      <c r="L148" s="200">
        <f t="shared" ca="1" si="21"/>
        <v>0</v>
      </c>
      <c r="M148" s="40">
        <f t="shared" ca="1" si="12"/>
        <v>2255.2854533867467</v>
      </c>
      <c r="N148" s="40">
        <f t="shared" ca="1" si="13"/>
        <v>2370.0412831395279</v>
      </c>
      <c r="O148" s="40"/>
      <c r="P148" s="20">
        <f t="shared" ca="1" si="14"/>
        <v>834.89136490250701</v>
      </c>
      <c r="Q148" s="1">
        <f t="shared" si="15"/>
        <v>3847</v>
      </c>
      <c r="R148" s="171">
        <f>IF(AND($J$2&gt;=DATEVALUE("03/04/2020"),$J$2&lt;=DATEVALUE("25/11/2020")),0,IF(Resumo!$C$19="PF",IF(Q148&lt;360,0.0082%*Q148,3%),IF(Q148&lt;360,0.0041%*Q148,1.5%)))</f>
        <v>1.4999999999999999E-2</v>
      </c>
      <c r="S148" s="172">
        <f t="shared" ca="1" si="16"/>
        <v>12.523370473537605</v>
      </c>
      <c r="W148" s="216">
        <f t="shared" ca="1" si="22"/>
        <v>2255.2854533867467</v>
      </c>
    </row>
    <row r="149" spans="2:23">
      <c r="B149" s="37">
        <f t="shared" si="17"/>
        <v>127</v>
      </c>
      <c r="C149" s="163">
        <f t="shared" si="18"/>
        <v>48625</v>
      </c>
      <c r="D149" s="38">
        <f t="shared" ca="1" si="19"/>
        <v>461.83953758239454</v>
      </c>
      <c r="E149" s="38">
        <f t="shared" ca="1" si="23"/>
        <v>1793.4459158043521</v>
      </c>
      <c r="F149" s="38">
        <f ca="1">IF(B149&lt;=$D$16,F148*(1+$D$13)^((C149-C148)/_xlfn.DAYS(EDATE(C148,1),C148)),F148-D149)+IF(B149&lt;=$D$16,F148*Resumo!$F$12,0)+IF(B149&lt;=$D$16,$D$15*Resumo!$F$13,0)+IF(B149&lt;=$D$16,25,0)-IF(AND($D$16&gt;3,B149&lt;=$D$16),J149,0)</f>
        <v>263280.20690423407</v>
      </c>
      <c r="G149" s="38">
        <f ca="1">IF(AND(B149&lt;&gt;"",K149&lt;&gt;$D$17,$D$16&gt;3),F149*Resumo!$F$12,IF(AND(B149&lt;&gt;"",K149&lt;&gt;$D$17,B149&gt;$D$16),F149*Resumo!$F$12,0))</f>
        <v>55.288843449889157</v>
      </c>
      <c r="H149" s="38">
        <f>IF(AND(B149&lt;&gt;"",K149&lt;&gt;$D$17,$D$16&gt;3,$B149&lt;=$D$16),$D$15*Resumo!$F$13,IF(AND(B149&lt;&gt;"",K149&lt;&gt;$D$17,B149&gt;$D$16),$D$15*Resumo!$F$13,0))</f>
        <v>34.369999999999997</v>
      </c>
      <c r="I149" s="38">
        <f>IF(AND(B149&lt;&gt;"",K149&lt;&gt;$D$17,$D$16&gt;3,$B149&lt;=$D$16),Resumo!$F$11,IF(AND(B149&lt;&gt;"",K149&lt;&gt;$D$17,B149&gt;$D$16),Resumo!$F$11,0))</f>
        <v>25</v>
      </c>
      <c r="J149" s="38">
        <f t="shared" ca="1" si="20"/>
        <v>2369.9442968366357</v>
      </c>
      <c r="K149" s="39" t="str">
        <f>IF(B149&lt;&gt;"",VLOOKUP(MONTH(C149),Sheet2!$F$1:$G$12,2,0),"")</f>
        <v>Fevereiro</v>
      </c>
      <c r="L149" s="200">
        <f t="shared" ca="1" si="21"/>
        <v>0</v>
      </c>
      <c r="M149" s="40">
        <f t="shared" ca="1" si="12"/>
        <v>2255.2854533867467</v>
      </c>
      <c r="N149" s="40">
        <f t="shared" ca="1" si="13"/>
        <v>2369.9442968366357</v>
      </c>
      <c r="O149" s="40"/>
      <c r="P149" s="20">
        <f t="shared" ca="1" si="14"/>
        <v>834.89136490250701</v>
      </c>
      <c r="Q149" s="1">
        <f t="shared" si="15"/>
        <v>3878</v>
      </c>
      <c r="R149" s="171">
        <f>IF(AND($J$2&gt;=DATEVALUE("03/04/2020"),$J$2&lt;=DATEVALUE("25/11/2020")),0,IF(Resumo!$C$19="PF",IF(Q149&lt;360,0.0082%*Q149,3%),IF(Q149&lt;360,0.0041%*Q149,1.5%)))</f>
        <v>1.4999999999999999E-2</v>
      </c>
      <c r="S149" s="172">
        <f t="shared" ca="1" si="16"/>
        <v>12.523370473537605</v>
      </c>
      <c r="W149" s="216">
        <f t="shared" ca="1" si="22"/>
        <v>2255.2854533867467</v>
      </c>
    </row>
    <row r="150" spans="2:23">
      <c r="B150" s="41">
        <f t="shared" si="17"/>
        <v>128</v>
      </c>
      <c r="C150" s="164">
        <f t="shared" si="18"/>
        <v>48653</v>
      </c>
      <c r="D150" s="42">
        <f t="shared" ca="1" si="19"/>
        <v>464.98004643795502</v>
      </c>
      <c r="E150" s="42">
        <f t="shared" ca="1" si="23"/>
        <v>1790.3054069487916</v>
      </c>
      <c r="F150" s="42">
        <f ca="1">IF(B150&lt;=$D$16,F149*(1+$D$13)^((C150-C149)/_xlfn.DAYS(EDATE(C149,1),C149)),F149-D150)+IF(B150&lt;=$D$16,F149*Resumo!$F$12,0)+IF(B150&lt;=$D$16,$D$15*Resumo!$F$13,0)+IF(B150&lt;=$D$16,25,0)-IF(AND($D$16&gt;3,B150&lt;=$D$16),J150,0)</f>
        <v>262815.22685779614</v>
      </c>
      <c r="G150" s="42">
        <f ca="1">IF(AND(B150&lt;&gt;"",K150&lt;&gt;$D$17,$D$16&gt;3),F150*Resumo!$F$12,IF(AND(B150&lt;&gt;"",K150&lt;&gt;$D$17,B150&gt;$D$16),F150*Resumo!$F$12,0))</f>
        <v>55.19119764013719</v>
      </c>
      <c r="H150" s="42">
        <f>IF(AND(B150&lt;&gt;"",K150&lt;&gt;$D$17,$D$16&gt;3,$B150&lt;=$D$16),$D$15*Resumo!$F$13,IF(AND(B150&lt;&gt;"",K150&lt;&gt;$D$17,B150&gt;$D$16),$D$15*Resumo!$F$13,0))</f>
        <v>34.369999999999997</v>
      </c>
      <c r="I150" s="42">
        <f>IF(AND(B150&lt;&gt;"",K150&lt;&gt;$D$17,$D$16&gt;3,$B150&lt;=$D$16),Resumo!$F$11,IF(AND(B150&lt;&gt;"",K150&lt;&gt;$D$17,B150&gt;$D$16),Resumo!$F$11,0))</f>
        <v>25</v>
      </c>
      <c r="J150" s="42">
        <f t="shared" ca="1" si="20"/>
        <v>2369.8466510268836</v>
      </c>
      <c r="K150" s="39" t="str">
        <f>IF(B150&lt;&gt;"",VLOOKUP(MONTH(C150),Sheet2!$F$1:$G$12,2,0),"")</f>
        <v>Março</v>
      </c>
      <c r="L150" s="200">
        <f t="shared" ca="1" si="21"/>
        <v>0</v>
      </c>
      <c r="M150" s="40">
        <f t="shared" ca="1" si="12"/>
        <v>2255.2854533867467</v>
      </c>
      <c r="N150" s="40">
        <f t="shared" ca="1" si="13"/>
        <v>2369.8466510268836</v>
      </c>
      <c r="O150" s="40"/>
      <c r="P150" s="20">
        <f t="shared" ca="1" si="14"/>
        <v>834.89136490250701</v>
      </c>
      <c r="Q150" s="1">
        <f t="shared" si="15"/>
        <v>3906</v>
      </c>
      <c r="R150" s="171">
        <f>IF(AND($J$2&gt;=DATEVALUE("03/04/2020"),$J$2&lt;=DATEVALUE("25/11/2020")),0,IF(Resumo!$C$19="PF",IF(Q150&lt;360,0.0082%*Q150,3%),IF(Q150&lt;360,0.0041%*Q150,1.5%)))</f>
        <v>1.4999999999999999E-2</v>
      </c>
      <c r="S150" s="172">
        <f t="shared" ca="1" si="16"/>
        <v>12.523370473537605</v>
      </c>
      <c r="W150" s="216">
        <f t="shared" ca="1" si="22"/>
        <v>2255.2854533867467</v>
      </c>
    </row>
    <row r="151" spans="2:23">
      <c r="B151" s="37">
        <f t="shared" si="17"/>
        <v>129</v>
      </c>
      <c r="C151" s="163">
        <f t="shared" si="18"/>
        <v>48684</v>
      </c>
      <c r="D151" s="38">
        <f t="shared" ca="1" si="19"/>
        <v>468.1419107537331</v>
      </c>
      <c r="E151" s="38">
        <f t="shared" ca="1" si="23"/>
        <v>1787.1435426330136</v>
      </c>
      <c r="F151" s="38">
        <f ca="1">IF(B151&lt;=$D$16,F150*(1+$D$13)^((C151-C150)/_xlfn.DAYS(EDATE(C150,1),C150)),F150-D151)+IF(B151&lt;=$D$16,F150*Resumo!$F$12,0)+IF(B151&lt;=$D$16,$D$15*Resumo!$F$13,0)+IF(B151&lt;=$D$16,25,0)-IF(AND($D$16&gt;3,B151&lt;=$D$16),J151,0)</f>
        <v>262347.0849470424</v>
      </c>
      <c r="G151" s="38">
        <f ca="1">IF(AND(B151&lt;&gt;"",K151&lt;&gt;$D$17,$D$16&gt;3),F151*Resumo!$F$12,IF(AND(B151&lt;&gt;"",K151&lt;&gt;$D$17,B151&gt;$D$16),F151*Resumo!$F$12,0))</f>
        <v>55.092887838878909</v>
      </c>
      <c r="H151" s="38">
        <f>IF(AND(B151&lt;&gt;"",K151&lt;&gt;$D$17,$D$16&gt;3,$B151&lt;=$D$16),$D$15*Resumo!$F$13,IF(AND(B151&lt;&gt;"",K151&lt;&gt;$D$17,B151&gt;$D$16),$D$15*Resumo!$F$13,0))</f>
        <v>34.369999999999997</v>
      </c>
      <c r="I151" s="38">
        <f>IF(AND(B151&lt;&gt;"",K151&lt;&gt;$D$17,$D$16&gt;3,$B151&lt;=$D$16),Resumo!$F$11,IF(AND(B151&lt;&gt;"",K151&lt;&gt;$D$17,B151&gt;$D$16),Resumo!$F$11,0))</f>
        <v>25</v>
      </c>
      <c r="J151" s="38">
        <f t="shared" ca="1" si="20"/>
        <v>2369.7483412256256</v>
      </c>
      <c r="K151" s="39" t="str">
        <f>IF(B151&lt;&gt;"",VLOOKUP(MONTH(C151),Sheet2!$F$1:$G$12,2,0),"")</f>
        <v>Abril</v>
      </c>
      <c r="L151" s="200">
        <f t="shared" ca="1" si="21"/>
        <v>0</v>
      </c>
      <c r="M151" s="40">
        <f t="shared" ref="M151:M214" ca="1" si="24">D151+E151</f>
        <v>2255.2854533867467</v>
      </c>
      <c r="N151" s="40">
        <f t="shared" ref="N151:N214" ca="1" si="25">J151</f>
        <v>2369.7483412256256</v>
      </c>
      <c r="O151" s="40"/>
      <c r="P151" s="20">
        <f t="shared" ref="P151:P214" ca="1" si="26">IF(D151=0,0,$F$21/($D$12-$E$17-$D$16))</f>
        <v>834.89136490250701</v>
      </c>
      <c r="Q151" s="1">
        <f t="shared" ref="Q151:Q214" si="27">IFERROR(C151-$J$2,0)</f>
        <v>3937</v>
      </c>
      <c r="R151" s="171">
        <f>IF(AND($J$2&gt;=DATEVALUE("03/04/2020"),$J$2&lt;=DATEVALUE("25/11/2020")),0,IF(Resumo!$C$19="PF",IF(Q151&lt;360,0.0082%*Q151,3%),IF(Q151&lt;360,0.0041%*Q151,1.5%)))</f>
        <v>1.4999999999999999E-2</v>
      </c>
      <c r="S151" s="172">
        <f t="shared" ref="S151:S214" ca="1" si="28">R151*P151</f>
        <v>12.523370473537605</v>
      </c>
      <c r="W151" s="216">
        <f t="shared" ca="1" si="22"/>
        <v>2255.2854533867467</v>
      </c>
    </row>
    <row r="152" spans="2:23">
      <c r="B152" s="41">
        <f t="shared" ref="B152:B215" si="29">IF(B151&lt;$D$12,B151+1,"")</f>
        <v>130</v>
      </c>
      <c r="C152" s="164">
        <f t="shared" ref="C152:C215" si="30">IF(B152&lt;&gt;"",EDATE($C$22,B152),"")</f>
        <v>48714</v>
      </c>
      <c r="D152" s="42">
        <f t="shared" ref="D152:D215" ca="1" si="31">IF(AND(J152&lt;&gt;"",B152&gt;$D$16),$U$20-E152,0)</f>
        <v>471.32527574685855</v>
      </c>
      <c r="E152" s="42">
        <f t="shared" ca="1" si="23"/>
        <v>1783.9601776398881</v>
      </c>
      <c r="F152" s="42">
        <f ca="1">IF(B152&lt;=$D$16,F151*(1+$D$13)^((C152-C151)/_xlfn.DAYS(EDATE(C151,1),C151)),F151-D152)+IF(B152&lt;=$D$16,F151*Resumo!$F$12,0)+IF(B152&lt;=$D$16,$D$15*Resumo!$F$13,0)+IF(B152&lt;=$D$16,25,0)-IF(AND($D$16&gt;3,B152&lt;=$D$16),J152,0)</f>
        <v>261875.75967129553</v>
      </c>
      <c r="G152" s="42">
        <f ca="1">IF(AND(B152&lt;&gt;"",K152&lt;&gt;$D$17,$D$16&gt;3),F152*Resumo!$F$12,IF(AND(B152&lt;&gt;"",K152&lt;&gt;$D$17,B152&gt;$D$16),F152*Resumo!$F$12,0))</f>
        <v>54.993909530972061</v>
      </c>
      <c r="H152" s="42">
        <f>IF(AND(B152&lt;&gt;"",K152&lt;&gt;$D$17,$D$16&gt;3,$B152&lt;=$D$16),$D$15*Resumo!$F$13,IF(AND(B152&lt;&gt;"",K152&lt;&gt;$D$17,B152&gt;$D$16),$D$15*Resumo!$F$13,0))</f>
        <v>34.369999999999997</v>
      </c>
      <c r="I152" s="42">
        <f>IF(AND(B152&lt;&gt;"",K152&lt;&gt;$D$17,$D$16&gt;3,$B152&lt;=$D$16),Resumo!$F$11,IF(AND(B152&lt;&gt;"",K152&lt;&gt;$D$17,B152&gt;$D$16),Resumo!$F$11,0))</f>
        <v>25</v>
      </c>
      <c r="J152" s="42">
        <f t="shared" ref="J152:J215" ca="1" si="32">IF(B152&lt;&gt;"",D152+E152+H152+I152+G152,"")</f>
        <v>2369.6493629177185</v>
      </c>
      <c r="K152" s="39" t="str">
        <f>IF(B152&lt;&gt;"",VLOOKUP(MONTH(C152),Sheet2!$F$1:$G$12,2,0),"")</f>
        <v>Maio</v>
      </c>
      <c r="L152" s="200">
        <f t="shared" ref="L152:L215" ca="1" si="33">IF(AND(L151=0,J152&gt;J151),C152,0)</f>
        <v>0</v>
      </c>
      <c r="M152" s="40">
        <f t="shared" ca="1" si="24"/>
        <v>2255.2854533867467</v>
      </c>
      <c r="N152" s="40">
        <f t="shared" ca="1" si="25"/>
        <v>2369.6493629177185</v>
      </c>
      <c r="O152" s="40"/>
      <c r="P152" s="20">
        <f t="shared" ca="1" si="26"/>
        <v>834.89136490250701</v>
      </c>
      <c r="Q152" s="1">
        <f t="shared" si="27"/>
        <v>3967</v>
      </c>
      <c r="R152" s="171">
        <f>IF(AND($J$2&gt;=DATEVALUE("03/04/2020"),$J$2&lt;=DATEVALUE("25/11/2020")),0,IF(Resumo!$C$19="PF",IF(Q152&lt;360,0.0082%*Q152,3%),IF(Q152&lt;360,0.0041%*Q152,1.5%)))</f>
        <v>1.4999999999999999E-2</v>
      </c>
      <c r="S152" s="172">
        <f t="shared" ca="1" si="28"/>
        <v>12.523370473537605</v>
      </c>
      <c r="W152" s="216">
        <f t="shared" ref="W152:W215" ca="1" si="34">D152+E152</f>
        <v>2255.2854533867467</v>
      </c>
    </row>
    <row r="153" spans="2:23">
      <c r="B153" s="37">
        <f t="shared" si="29"/>
        <v>131</v>
      </c>
      <c r="C153" s="163">
        <f t="shared" si="30"/>
        <v>48745</v>
      </c>
      <c r="D153" s="38">
        <f t="shared" ca="1" si="31"/>
        <v>474.53028762193708</v>
      </c>
      <c r="E153" s="38">
        <f t="shared" ca="1" si="23"/>
        <v>1780.7551657648096</v>
      </c>
      <c r="F153" s="38">
        <f ca="1">IF(B153&lt;=$D$16,F152*(1+$D$13)^((C153-C152)/_xlfn.DAYS(EDATE(C152,1),C152)),F152-D153)+IF(B153&lt;=$D$16,F152*Resumo!$F$12,0)+IF(B153&lt;=$D$16,$D$15*Resumo!$F$13,0)+IF(B153&lt;=$D$16,25,0)-IF(AND($D$16&gt;3,B153&lt;=$D$16),J153,0)</f>
        <v>261401.22938367358</v>
      </c>
      <c r="G153" s="38">
        <f ca="1">IF(AND(B153&lt;&gt;"",K153&lt;&gt;$D$17,$D$16&gt;3),F153*Resumo!$F$12,IF(AND(B153&lt;&gt;"",K153&lt;&gt;$D$17,B153&gt;$D$16),F153*Resumo!$F$12,0))</f>
        <v>54.894258170571455</v>
      </c>
      <c r="H153" s="38">
        <f>IF(AND(B153&lt;&gt;"",K153&lt;&gt;$D$17,$D$16&gt;3,$B153&lt;=$D$16),$D$15*Resumo!$F$13,IF(AND(B153&lt;&gt;"",K153&lt;&gt;$D$17,B153&gt;$D$16),$D$15*Resumo!$F$13,0))</f>
        <v>34.369999999999997</v>
      </c>
      <c r="I153" s="38">
        <f>IF(AND(B153&lt;&gt;"",K153&lt;&gt;$D$17,$D$16&gt;3,$B153&lt;=$D$16),Resumo!$F$11,IF(AND(B153&lt;&gt;"",K153&lt;&gt;$D$17,B153&gt;$D$16),Resumo!$F$11,0))</f>
        <v>25</v>
      </c>
      <c r="J153" s="38">
        <f t="shared" ca="1" si="32"/>
        <v>2369.549711557318</v>
      </c>
      <c r="K153" s="39" t="str">
        <f>IF(B153&lt;&gt;"",VLOOKUP(MONTH(C153),Sheet2!$F$1:$G$12,2,0),"")</f>
        <v>Junho</v>
      </c>
      <c r="L153" s="200">
        <f t="shared" ca="1" si="33"/>
        <v>0</v>
      </c>
      <c r="M153" s="40">
        <f t="shared" ca="1" si="24"/>
        <v>2255.2854533867467</v>
      </c>
      <c r="N153" s="40">
        <f t="shared" ca="1" si="25"/>
        <v>2369.549711557318</v>
      </c>
      <c r="O153" s="40"/>
      <c r="P153" s="20">
        <f t="shared" ca="1" si="26"/>
        <v>834.89136490250701</v>
      </c>
      <c r="Q153" s="1">
        <f t="shared" si="27"/>
        <v>3998</v>
      </c>
      <c r="R153" s="171">
        <f>IF(AND($J$2&gt;=DATEVALUE("03/04/2020"),$J$2&lt;=DATEVALUE("25/11/2020")),0,IF(Resumo!$C$19="PF",IF(Q153&lt;360,0.0082%*Q153,3%),IF(Q153&lt;360,0.0041%*Q153,1.5%)))</f>
        <v>1.4999999999999999E-2</v>
      </c>
      <c r="S153" s="172">
        <f t="shared" ca="1" si="28"/>
        <v>12.523370473537605</v>
      </c>
      <c r="W153" s="216">
        <f t="shared" ca="1" si="34"/>
        <v>2255.2854533867467</v>
      </c>
    </row>
    <row r="154" spans="2:23">
      <c r="B154" s="41">
        <f t="shared" si="29"/>
        <v>132</v>
      </c>
      <c r="C154" s="164">
        <f t="shared" si="30"/>
        <v>48775</v>
      </c>
      <c r="D154" s="42">
        <f t="shared" ca="1" si="31"/>
        <v>477.75709357776645</v>
      </c>
      <c r="E154" s="42">
        <f t="shared" ca="1" si="23"/>
        <v>1777.5283598089802</v>
      </c>
      <c r="F154" s="42">
        <f ca="1">IF(B154&lt;=$D$16,F153*(1+$D$13)^((C154-C153)/_xlfn.DAYS(EDATE(C153,1),C153)),F153-D154)+IF(B154&lt;=$D$16,F153*Resumo!$F$12,0)+IF(B154&lt;=$D$16,$D$15*Resumo!$F$13,0)+IF(B154&lt;=$D$16,25,0)-IF(AND($D$16&gt;3,B154&lt;=$D$16),J154,0)</f>
        <v>260923.47229009581</v>
      </c>
      <c r="G154" s="42">
        <f ca="1">IF(AND(B154&lt;&gt;"",K154&lt;&gt;$D$17,$D$16&gt;3),F154*Resumo!$F$12,IF(AND(B154&lt;&gt;"",K154&lt;&gt;$D$17,B154&gt;$D$16),F154*Resumo!$F$12,0))</f>
        <v>54.793929180920124</v>
      </c>
      <c r="H154" s="42">
        <f>IF(AND(B154&lt;&gt;"",K154&lt;&gt;$D$17,$D$16&gt;3,$B154&lt;=$D$16),$D$15*Resumo!$F$13,IF(AND(B154&lt;&gt;"",K154&lt;&gt;$D$17,B154&gt;$D$16),$D$15*Resumo!$F$13,0))</f>
        <v>34.369999999999997</v>
      </c>
      <c r="I154" s="42">
        <f>IF(AND(B154&lt;&gt;"",K154&lt;&gt;$D$17,$D$16&gt;3,$B154&lt;=$D$16),Resumo!$F$11,IF(AND(B154&lt;&gt;"",K154&lt;&gt;$D$17,B154&gt;$D$16),Resumo!$F$11,0))</f>
        <v>25</v>
      </c>
      <c r="J154" s="42">
        <f t="shared" ca="1" si="32"/>
        <v>2369.4493825676668</v>
      </c>
      <c r="K154" s="39" t="str">
        <f>IF(B154&lt;&gt;"",VLOOKUP(MONTH(C154),Sheet2!$F$1:$G$12,2,0),"")</f>
        <v>Julho</v>
      </c>
      <c r="L154" s="200">
        <f t="shared" ca="1" si="33"/>
        <v>0</v>
      </c>
      <c r="M154" s="40">
        <f t="shared" ca="1" si="24"/>
        <v>2255.2854533867467</v>
      </c>
      <c r="N154" s="40">
        <f t="shared" ca="1" si="25"/>
        <v>2369.4493825676668</v>
      </c>
      <c r="O154" s="40"/>
      <c r="P154" s="20">
        <f t="shared" ca="1" si="26"/>
        <v>834.89136490250701</v>
      </c>
      <c r="Q154" s="1">
        <f t="shared" si="27"/>
        <v>4028</v>
      </c>
      <c r="R154" s="171">
        <f>IF(AND($J$2&gt;=DATEVALUE("03/04/2020"),$J$2&lt;=DATEVALUE("25/11/2020")),0,IF(Resumo!$C$19="PF",IF(Q154&lt;360,0.0082%*Q154,3%),IF(Q154&lt;360,0.0041%*Q154,1.5%)))</f>
        <v>1.4999999999999999E-2</v>
      </c>
      <c r="S154" s="172">
        <f t="shared" ca="1" si="28"/>
        <v>12.523370473537605</v>
      </c>
      <c r="W154" s="216">
        <f t="shared" ca="1" si="34"/>
        <v>2255.2854533867467</v>
      </c>
    </row>
    <row r="155" spans="2:23">
      <c r="B155" s="37">
        <f t="shared" si="29"/>
        <v>133</v>
      </c>
      <c r="C155" s="163">
        <f t="shared" si="30"/>
        <v>48806</v>
      </c>
      <c r="D155" s="38">
        <f t="shared" ca="1" si="31"/>
        <v>481.00584181409522</v>
      </c>
      <c r="E155" s="38">
        <f t="shared" ref="E155:E218" ca="1" si="35">IF(AND(B155&lt;&gt;"",L155&lt;&gt;$D$17,B155&lt;$D$16,$D$16&lt;4),0,IF(AND(B155&lt;&gt;"",L155&lt;&gt;$D$17,B155&lt;=$D$16,$D$16&gt;3),F154*$D$13,IF(AND(B155&lt;&gt;"",L155&lt;&gt;$D$17,B155&gt;$D$16),F154*$D$13,0)))</f>
        <v>1774.2796115726514</v>
      </c>
      <c r="F155" s="38">
        <f ca="1">IF(B155&lt;=$D$16,F154*(1+$D$13)^((C155-C154)/_xlfn.DAYS(EDATE(C154,1),C154)),F154-D155)+IF(B155&lt;=$D$16,F154*Resumo!$F$12,0)+IF(B155&lt;=$D$16,$D$15*Resumo!$F$13,0)+IF(B155&lt;=$D$16,25,0)-IF(AND($D$16&gt;3,B155&lt;=$D$16),J155,0)</f>
        <v>260442.46644828172</v>
      </c>
      <c r="G155" s="38">
        <f ca="1">IF(AND(B155&lt;&gt;"",K155&lt;&gt;$D$17,$D$16&gt;3),F155*Resumo!$F$12,IF(AND(B155&lt;&gt;"",K155&lt;&gt;$D$17,B155&gt;$D$16),F155*Resumo!$F$12,0))</f>
        <v>54.692917954139162</v>
      </c>
      <c r="H155" s="38">
        <f>IF(AND(B155&lt;&gt;"",K155&lt;&gt;$D$17,$D$16&gt;3,$B155&lt;=$D$16),$D$15*Resumo!$F$13,IF(AND(B155&lt;&gt;"",K155&lt;&gt;$D$17,B155&gt;$D$16),$D$15*Resumo!$F$13,0))</f>
        <v>34.369999999999997</v>
      </c>
      <c r="I155" s="38">
        <f>IF(AND(B155&lt;&gt;"",K155&lt;&gt;$D$17,$D$16&gt;3,$B155&lt;=$D$16),Resumo!$F$11,IF(AND(B155&lt;&gt;"",K155&lt;&gt;$D$17,B155&gt;$D$16),Resumo!$F$11,0))</f>
        <v>25</v>
      </c>
      <c r="J155" s="38">
        <f t="shared" ca="1" si="32"/>
        <v>2369.3483713408859</v>
      </c>
      <c r="K155" s="39" t="str">
        <f>IF(B155&lt;&gt;"",VLOOKUP(MONTH(C155),Sheet2!$F$1:$G$12,2,0),"")</f>
        <v>Agosto</v>
      </c>
      <c r="L155" s="200">
        <f t="shared" ca="1" si="33"/>
        <v>0</v>
      </c>
      <c r="M155" s="40">
        <f t="shared" ca="1" si="24"/>
        <v>2255.2854533867467</v>
      </c>
      <c r="N155" s="40">
        <f t="shared" ca="1" si="25"/>
        <v>2369.3483713408859</v>
      </c>
      <c r="O155" s="40"/>
      <c r="P155" s="20">
        <f t="shared" ca="1" si="26"/>
        <v>834.89136490250701</v>
      </c>
      <c r="Q155" s="1">
        <f t="shared" si="27"/>
        <v>4059</v>
      </c>
      <c r="R155" s="171">
        <f>IF(AND($J$2&gt;=DATEVALUE("03/04/2020"),$J$2&lt;=DATEVALUE("25/11/2020")),0,IF(Resumo!$C$19="PF",IF(Q155&lt;360,0.0082%*Q155,3%),IF(Q155&lt;360,0.0041%*Q155,1.5%)))</f>
        <v>1.4999999999999999E-2</v>
      </c>
      <c r="S155" s="172">
        <f t="shared" ca="1" si="28"/>
        <v>12.523370473537605</v>
      </c>
      <c r="W155" s="216">
        <f t="shared" ca="1" si="34"/>
        <v>2255.2854533867467</v>
      </c>
    </row>
    <row r="156" spans="2:23">
      <c r="B156" s="41">
        <f t="shared" si="29"/>
        <v>134</v>
      </c>
      <c r="C156" s="164">
        <f t="shared" si="30"/>
        <v>48837</v>
      </c>
      <c r="D156" s="42">
        <f t="shared" ca="1" si="31"/>
        <v>484.27668153843115</v>
      </c>
      <c r="E156" s="42">
        <f t="shared" ca="1" si="35"/>
        <v>1771.0087718483155</v>
      </c>
      <c r="F156" s="42">
        <f ca="1">IF(B156&lt;=$D$16,F155*(1+$D$13)^((C156-C155)/_xlfn.DAYS(EDATE(C155,1),C155)),F155-D156)+IF(B156&lt;=$D$16,F155*Resumo!$F$12,0)+IF(B156&lt;=$D$16,$D$15*Resumo!$F$13,0)+IF(B156&lt;=$D$16,25,0)-IF(AND($D$16&gt;3,B156&lt;=$D$16),J156,0)</f>
        <v>259958.18976674328</v>
      </c>
      <c r="G156" s="42">
        <f ca="1">IF(AND(B156&lt;&gt;"",K156&lt;&gt;$D$17,$D$16&gt;3),F156*Resumo!$F$12,IF(AND(B156&lt;&gt;"",K156&lt;&gt;$D$17,B156&gt;$D$16),F156*Resumo!$F$12,0))</f>
        <v>54.591219851016092</v>
      </c>
      <c r="H156" s="42">
        <f>IF(AND(B156&lt;&gt;"",K156&lt;&gt;$D$17,$D$16&gt;3,$B156&lt;=$D$16),$D$15*Resumo!$F$13,IF(AND(B156&lt;&gt;"",K156&lt;&gt;$D$17,B156&gt;$D$16),$D$15*Resumo!$F$13,0))</f>
        <v>34.369999999999997</v>
      </c>
      <c r="I156" s="42">
        <f>IF(AND(B156&lt;&gt;"",K156&lt;&gt;$D$17,$D$16&gt;3,$B156&lt;=$D$16),Resumo!$F$11,IF(AND(B156&lt;&gt;"",K156&lt;&gt;$D$17,B156&gt;$D$16),Resumo!$F$11,0))</f>
        <v>25</v>
      </c>
      <c r="J156" s="42">
        <f t="shared" ca="1" si="32"/>
        <v>2369.2466732377625</v>
      </c>
      <c r="K156" s="39" t="str">
        <f>IF(B156&lt;&gt;"",VLOOKUP(MONTH(C156),Sheet2!$F$1:$G$12,2,0),"")</f>
        <v>Setembro</v>
      </c>
      <c r="L156" s="200">
        <f t="shared" ca="1" si="33"/>
        <v>0</v>
      </c>
      <c r="M156" s="40">
        <f t="shared" ca="1" si="24"/>
        <v>2255.2854533867467</v>
      </c>
      <c r="N156" s="40">
        <f t="shared" ca="1" si="25"/>
        <v>2369.2466732377625</v>
      </c>
      <c r="O156" s="40"/>
      <c r="P156" s="20">
        <f t="shared" ca="1" si="26"/>
        <v>834.89136490250701</v>
      </c>
      <c r="Q156" s="1">
        <f t="shared" si="27"/>
        <v>4090</v>
      </c>
      <c r="R156" s="171">
        <f>IF(AND($J$2&gt;=DATEVALUE("03/04/2020"),$J$2&lt;=DATEVALUE("25/11/2020")),0,IF(Resumo!$C$19="PF",IF(Q156&lt;360,0.0082%*Q156,3%),IF(Q156&lt;360,0.0041%*Q156,1.5%)))</f>
        <v>1.4999999999999999E-2</v>
      </c>
      <c r="S156" s="172">
        <f t="shared" ca="1" si="28"/>
        <v>12.523370473537605</v>
      </c>
      <c r="W156" s="216">
        <f t="shared" ca="1" si="34"/>
        <v>2255.2854533867467</v>
      </c>
    </row>
    <row r="157" spans="2:23">
      <c r="B157" s="37">
        <f t="shared" si="29"/>
        <v>135</v>
      </c>
      <c r="C157" s="163">
        <f t="shared" si="30"/>
        <v>48867</v>
      </c>
      <c r="D157" s="38">
        <f t="shared" ca="1" si="31"/>
        <v>487.56976297289248</v>
      </c>
      <c r="E157" s="38">
        <f t="shared" ca="1" si="35"/>
        <v>1767.7156904138542</v>
      </c>
      <c r="F157" s="38">
        <f ca="1">IF(B157&lt;=$D$16,F156*(1+$D$13)^((C157-C156)/_xlfn.DAYS(EDATE(C156,1),C156)),F156-D157)+IF(B157&lt;=$D$16,F156*Resumo!$F$12,0)+IF(B157&lt;=$D$16,$D$15*Resumo!$F$13,0)+IF(B157&lt;=$D$16,25,0)-IF(AND($D$16&gt;3,B157&lt;=$D$16),J157,0)</f>
        <v>259470.6200037704</v>
      </c>
      <c r="G157" s="38">
        <f ca="1">IF(AND(B157&lt;&gt;"",K157&lt;&gt;$D$17,$D$16&gt;3),F157*Resumo!$F$12,IF(AND(B157&lt;&gt;"",K157&lt;&gt;$D$17,B157&gt;$D$16),F157*Resumo!$F$12,0))</f>
        <v>54.488830200791789</v>
      </c>
      <c r="H157" s="38">
        <f>IF(AND(B157&lt;&gt;"",K157&lt;&gt;$D$17,$D$16&gt;3,$B157&lt;=$D$16),$D$15*Resumo!$F$13,IF(AND(B157&lt;&gt;"",K157&lt;&gt;$D$17,B157&gt;$D$16),$D$15*Resumo!$F$13,0))</f>
        <v>34.369999999999997</v>
      </c>
      <c r="I157" s="38">
        <f>IF(AND(B157&lt;&gt;"",K157&lt;&gt;$D$17,$D$16&gt;3,$B157&lt;=$D$16),Resumo!$F$11,IF(AND(B157&lt;&gt;"",K157&lt;&gt;$D$17,B157&gt;$D$16),Resumo!$F$11,0))</f>
        <v>25</v>
      </c>
      <c r="J157" s="38">
        <f t="shared" ca="1" si="32"/>
        <v>2369.1442835875382</v>
      </c>
      <c r="K157" s="39" t="str">
        <f>IF(B157&lt;&gt;"",VLOOKUP(MONTH(C157),Sheet2!$F$1:$G$12,2,0),"")</f>
        <v>Outubro</v>
      </c>
      <c r="L157" s="200">
        <f t="shared" ca="1" si="33"/>
        <v>0</v>
      </c>
      <c r="M157" s="40">
        <f t="shared" ca="1" si="24"/>
        <v>2255.2854533867467</v>
      </c>
      <c r="N157" s="40">
        <f t="shared" ca="1" si="25"/>
        <v>2369.1442835875382</v>
      </c>
      <c r="O157" s="40"/>
      <c r="P157" s="20">
        <f t="shared" ca="1" si="26"/>
        <v>834.89136490250701</v>
      </c>
      <c r="Q157" s="1">
        <f t="shared" si="27"/>
        <v>4120</v>
      </c>
      <c r="R157" s="171">
        <f>IF(AND($J$2&gt;=DATEVALUE("03/04/2020"),$J$2&lt;=DATEVALUE("25/11/2020")),0,IF(Resumo!$C$19="PF",IF(Q157&lt;360,0.0082%*Q157,3%),IF(Q157&lt;360,0.0041%*Q157,1.5%)))</f>
        <v>1.4999999999999999E-2</v>
      </c>
      <c r="S157" s="172">
        <f t="shared" ca="1" si="28"/>
        <v>12.523370473537605</v>
      </c>
      <c r="W157" s="216">
        <f t="shared" ca="1" si="34"/>
        <v>2255.2854533867467</v>
      </c>
    </row>
    <row r="158" spans="2:23">
      <c r="B158" s="41">
        <f t="shared" si="29"/>
        <v>136</v>
      </c>
      <c r="C158" s="164">
        <f t="shared" si="30"/>
        <v>48898</v>
      </c>
      <c r="D158" s="42">
        <f t="shared" ca="1" si="31"/>
        <v>490.88523736110801</v>
      </c>
      <c r="E158" s="42">
        <f t="shared" ca="1" si="35"/>
        <v>1764.4002160256387</v>
      </c>
      <c r="F158" s="42">
        <f ca="1">IF(B158&lt;=$D$16,F157*(1+$D$13)^((C158-C157)/_xlfn.DAYS(EDATE(C157,1),C157)),F157-D158)+IF(B158&lt;=$D$16,F157*Resumo!$F$12,0)+IF(B158&lt;=$D$16,$D$15*Resumo!$F$13,0)+IF(B158&lt;=$D$16,25,0)-IF(AND($D$16&gt;3,B158&lt;=$D$16),J158,0)</f>
        <v>258979.7347664093</v>
      </c>
      <c r="G158" s="42">
        <f ca="1">IF(AND(B158&lt;&gt;"",K158&lt;&gt;$D$17,$D$16&gt;3),F158*Resumo!$F$12,IF(AND(B158&lt;&gt;"",K158&lt;&gt;$D$17,B158&gt;$D$16),F158*Resumo!$F$12,0))</f>
        <v>54.385744300945952</v>
      </c>
      <c r="H158" s="42">
        <f>IF(AND(B158&lt;&gt;"",K158&lt;&gt;$D$17,$D$16&gt;3,$B158&lt;=$D$16),$D$15*Resumo!$F$13,IF(AND(B158&lt;&gt;"",K158&lt;&gt;$D$17,B158&gt;$D$16),$D$15*Resumo!$F$13,0))</f>
        <v>34.369999999999997</v>
      </c>
      <c r="I158" s="42">
        <f>IF(AND(B158&lt;&gt;"",K158&lt;&gt;$D$17,$D$16&gt;3,$B158&lt;=$D$16),Resumo!$F$11,IF(AND(B158&lt;&gt;"",K158&lt;&gt;$D$17,B158&gt;$D$16),Resumo!$F$11,0))</f>
        <v>25</v>
      </c>
      <c r="J158" s="42">
        <f t="shared" ca="1" si="32"/>
        <v>2369.0411976876926</v>
      </c>
      <c r="K158" s="39" t="str">
        <f>IF(B158&lt;&gt;"",VLOOKUP(MONTH(C158),Sheet2!$F$1:$G$12,2,0),"")</f>
        <v>Novembro</v>
      </c>
      <c r="L158" s="200">
        <f t="shared" ca="1" si="33"/>
        <v>0</v>
      </c>
      <c r="M158" s="40">
        <f t="shared" ca="1" si="24"/>
        <v>2255.2854533867467</v>
      </c>
      <c r="N158" s="40">
        <f t="shared" ca="1" si="25"/>
        <v>2369.0411976876926</v>
      </c>
      <c r="O158" s="40"/>
      <c r="P158" s="20">
        <f t="shared" ca="1" si="26"/>
        <v>834.89136490250701</v>
      </c>
      <c r="Q158" s="1">
        <f t="shared" si="27"/>
        <v>4151</v>
      </c>
      <c r="R158" s="171">
        <f>IF(AND($J$2&gt;=DATEVALUE("03/04/2020"),$J$2&lt;=DATEVALUE("25/11/2020")),0,IF(Resumo!$C$19="PF",IF(Q158&lt;360,0.0082%*Q158,3%),IF(Q158&lt;360,0.0041%*Q158,1.5%)))</f>
        <v>1.4999999999999999E-2</v>
      </c>
      <c r="S158" s="172">
        <f t="shared" ca="1" si="28"/>
        <v>12.523370473537605</v>
      </c>
      <c r="W158" s="216">
        <f t="shared" ca="1" si="34"/>
        <v>2255.2854533867467</v>
      </c>
    </row>
    <row r="159" spans="2:23">
      <c r="B159" s="37">
        <f t="shared" si="29"/>
        <v>137</v>
      </c>
      <c r="C159" s="163">
        <f t="shared" si="30"/>
        <v>48928</v>
      </c>
      <c r="D159" s="38">
        <f t="shared" ca="1" si="31"/>
        <v>494.22325697516362</v>
      </c>
      <c r="E159" s="38">
        <f t="shared" ca="1" si="35"/>
        <v>1761.062196411583</v>
      </c>
      <c r="F159" s="38">
        <f ca="1">IF(B159&lt;=$D$16,F158*(1+$D$13)^((C159-C158)/_xlfn.DAYS(EDATE(C158,1),C158)),F158-D159)+IF(B159&lt;=$D$16,F158*Resumo!$F$12,0)+IF(B159&lt;=$D$16,$D$15*Resumo!$F$13,0)+IF(B159&lt;=$D$16,25,0)-IF(AND($D$16&gt;3,B159&lt;=$D$16),J159,0)</f>
        <v>258485.51150943415</v>
      </c>
      <c r="G159" s="38">
        <f ca="1">IF(AND(B159&lt;&gt;"",K159&lt;&gt;$D$17,$D$16&gt;3),F159*Resumo!$F$12,IF(AND(B159&lt;&gt;"",K159&lt;&gt;$D$17,B159&gt;$D$16),F159*Resumo!$F$12,0))</f>
        <v>54.281957416981172</v>
      </c>
      <c r="H159" s="38">
        <f>IF(AND(B159&lt;&gt;"",K159&lt;&gt;$D$17,$D$16&gt;3,$B159&lt;=$D$16),$D$15*Resumo!$F$13,IF(AND(B159&lt;&gt;"",K159&lt;&gt;$D$17,B159&gt;$D$16),$D$15*Resumo!$F$13,0))</f>
        <v>34.369999999999997</v>
      </c>
      <c r="I159" s="38">
        <f>IF(AND(B159&lt;&gt;"",K159&lt;&gt;$D$17,$D$16&gt;3,$B159&lt;=$D$16),Resumo!$F$11,IF(AND(B159&lt;&gt;"",K159&lt;&gt;$D$17,B159&gt;$D$16),Resumo!$F$11,0))</f>
        <v>25</v>
      </c>
      <c r="J159" s="38">
        <f t="shared" ca="1" si="32"/>
        <v>2368.9374108037277</v>
      </c>
      <c r="K159" s="39" t="str">
        <f>IF(B159&lt;&gt;"",VLOOKUP(MONTH(C159),Sheet2!$F$1:$G$12,2,0),"")</f>
        <v>Dezembro</v>
      </c>
      <c r="L159" s="200">
        <f t="shared" ca="1" si="33"/>
        <v>0</v>
      </c>
      <c r="M159" s="40">
        <f t="shared" ca="1" si="24"/>
        <v>2255.2854533867467</v>
      </c>
      <c r="N159" s="40">
        <f t="shared" ca="1" si="25"/>
        <v>2368.9374108037277</v>
      </c>
      <c r="O159" s="40"/>
      <c r="P159" s="20">
        <f t="shared" ca="1" si="26"/>
        <v>834.89136490250701</v>
      </c>
      <c r="Q159" s="1">
        <f t="shared" si="27"/>
        <v>4181</v>
      </c>
      <c r="R159" s="171">
        <f>IF(AND($J$2&gt;=DATEVALUE("03/04/2020"),$J$2&lt;=DATEVALUE("25/11/2020")),0,IF(Resumo!$C$19="PF",IF(Q159&lt;360,0.0082%*Q159,3%),IF(Q159&lt;360,0.0041%*Q159,1.5%)))</f>
        <v>1.4999999999999999E-2</v>
      </c>
      <c r="S159" s="172">
        <f t="shared" ca="1" si="28"/>
        <v>12.523370473537605</v>
      </c>
      <c r="W159" s="216">
        <f t="shared" ca="1" si="34"/>
        <v>2255.2854533867467</v>
      </c>
    </row>
    <row r="160" spans="2:23">
      <c r="B160" s="41">
        <f t="shared" si="29"/>
        <v>138</v>
      </c>
      <c r="C160" s="164">
        <f t="shared" si="30"/>
        <v>48959</v>
      </c>
      <c r="D160" s="42">
        <f t="shared" ca="1" si="31"/>
        <v>497.58397512259467</v>
      </c>
      <c r="E160" s="42">
        <f t="shared" ca="1" si="35"/>
        <v>1757.701478264152</v>
      </c>
      <c r="F160" s="42">
        <f ca="1">IF(B160&lt;=$D$16,F159*(1+$D$13)^((C160-C159)/_xlfn.DAYS(EDATE(C159,1),C159)),F159-D160)+IF(B160&lt;=$D$16,F159*Resumo!$F$12,0)+IF(B160&lt;=$D$16,$D$15*Resumo!$F$13,0)+IF(B160&lt;=$D$16,25,0)-IF(AND($D$16&gt;3,B160&lt;=$D$16),J160,0)</f>
        <v>257987.92753431154</v>
      </c>
      <c r="G160" s="42">
        <f ca="1">IF(AND(B160&lt;&gt;"",K160&lt;&gt;$D$17,$D$16&gt;3),F160*Resumo!$F$12,IF(AND(B160&lt;&gt;"",K160&lt;&gt;$D$17,B160&gt;$D$16),F160*Resumo!$F$12,0))</f>
        <v>54.177464782205426</v>
      </c>
      <c r="H160" s="42">
        <f>IF(AND(B160&lt;&gt;"",K160&lt;&gt;$D$17,$D$16&gt;3,$B160&lt;=$D$16),$D$15*Resumo!$F$13,IF(AND(B160&lt;&gt;"",K160&lt;&gt;$D$17,B160&gt;$D$16),$D$15*Resumo!$F$13,0))</f>
        <v>34.369999999999997</v>
      </c>
      <c r="I160" s="42">
        <f>IF(AND(B160&lt;&gt;"",K160&lt;&gt;$D$17,$D$16&gt;3,$B160&lt;=$D$16),Resumo!$F$11,IF(AND(B160&lt;&gt;"",K160&lt;&gt;$D$17,B160&gt;$D$16),Resumo!$F$11,0))</f>
        <v>25</v>
      </c>
      <c r="J160" s="42">
        <f t="shared" ca="1" si="32"/>
        <v>2368.8329181689519</v>
      </c>
      <c r="K160" s="39" t="str">
        <f>IF(B160&lt;&gt;"",VLOOKUP(MONTH(C160),Sheet2!$F$1:$G$12,2,0),"")</f>
        <v>Janeiro</v>
      </c>
      <c r="L160" s="200">
        <f t="shared" ca="1" si="33"/>
        <v>0</v>
      </c>
      <c r="M160" s="40">
        <f t="shared" ca="1" si="24"/>
        <v>2255.2854533867467</v>
      </c>
      <c r="N160" s="40">
        <f t="shared" ca="1" si="25"/>
        <v>2368.8329181689519</v>
      </c>
      <c r="O160" s="40"/>
      <c r="P160" s="20">
        <f t="shared" ca="1" si="26"/>
        <v>834.89136490250701</v>
      </c>
      <c r="Q160" s="1">
        <f t="shared" si="27"/>
        <v>4212</v>
      </c>
      <c r="R160" s="171">
        <f>IF(AND($J$2&gt;=DATEVALUE("03/04/2020"),$J$2&lt;=DATEVALUE("25/11/2020")),0,IF(Resumo!$C$19="PF",IF(Q160&lt;360,0.0082%*Q160,3%),IF(Q160&lt;360,0.0041%*Q160,1.5%)))</f>
        <v>1.4999999999999999E-2</v>
      </c>
      <c r="S160" s="172">
        <f t="shared" ca="1" si="28"/>
        <v>12.523370473537605</v>
      </c>
      <c r="W160" s="216">
        <f t="shared" ca="1" si="34"/>
        <v>2255.2854533867467</v>
      </c>
    </row>
    <row r="161" spans="2:23">
      <c r="B161" s="37">
        <f t="shared" si="29"/>
        <v>139</v>
      </c>
      <c r="C161" s="163">
        <f t="shared" si="30"/>
        <v>48990</v>
      </c>
      <c r="D161" s="38">
        <f t="shared" ca="1" si="31"/>
        <v>500.9675461534282</v>
      </c>
      <c r="E161" s="38">
        <f t="shared" ca="1" si="35"/>
        <v>1754.3179072333185</v>
      </c>
      <c r="F161" s="38">
        <f ca="1">IF(B161&lt;=$D$16,F160*(1+$D$13)^((C161-C160)/_xlfn.DAYS(EDATE(C160,1),C160)),F160-D161)+IF(B161&lt;=$D$16,F160*Resumo!$F$12,0)+IF(B161&lt;=$D$16,$D$15*Resumo!$F$13,0)+IF(B161&lt;=$D$16,25,0)-IF(AND($D$16&gt;3,B161&lt;=$D$16),J161,0)</f>
        <v>257486.95998815811</v>
      </c>
      <c r="G161" s="38">
        <f ca="1">IF(AND(B161&lt;&gt;"",K161&lt;&gt;$D$17,$D$16&gt;3),F161*Resumo!$F$12,IF(AND(B161&lt;&gt;"",K161&lt;&gt;$D$17,B161&gt;$D$16),F161*Resumo!$F$12,0))</f>
        <v>54.072261597513204</v>
      </c>
      <c r="H161" s="38">
        <f>IF(AND(B161&lt;&gt;"",K161&lt;&gt;$D$17,$D$16&gt;3,$B161&lt;=$D$16),$D$15*Resumo!$F$13,IF(AND(B161&lt;&gt;"",K161&lt;&gt;$D$17,B161&gt;$D$16),$D$15*Resumo!$F$13,0))</f>
        <v>34.369999999999997</v>
      </c>
      <c r="I161" s="38">
        <f>IF(AND(B161&lt;&gt;"",K161&lt;&gt;$D$17,$D$16&gt;3,$B161&lt;=$D$16),Resumo!$F$11,IF(AND(B161&lt;&gt;"",K161&lt;&gt;$D$17,B161&gt;$D$16),Resumo!$F$11,0))</f>
        <v>25</v>
      </c>
      <c r="J161" s="38">
        <f t="shared" ca="1" si="32"/>
        <v>2368.7277149842598</v>
      </c>
      <c r="K161" s="39" t="str">
        <f>IF(B161&lt;&gt;"",VLOOKUP(MONTH(C161),Sheet2!$F$1:$G$12,2,0),"")</f>
        <v>Fevereiro</v>
      </c>
      <c r="L161" s="200">
        <f t="shared" ca="1" si="33"/>
        <v>0</v>
      </c>
      <c r="M161" s="40">
        <f t="shared" ca="1" si="24"/>
        <v>2255.2854533867467</v>
      </c>
      <c r="N161" s="40">
        <f t="shared" ca="1" si="25"/>
        <v>2368.7277149842598</v>
      </c>
      <c r="O161" s="40"/>
      <c r="P161" s="20">
        <f t="shared" ca="1" si="26"/>
        <v>834.89136490250701</v>
      </c>
      <c r="Q161" s="1">
        <f t="shared" si="27"/>
        <v>4243</v>
      </c>
      <c r="R161" s="171">
        <f>IF(AND($J$2&gt;=DATEVALUE("03/04/2020"),$J$2&lt;=DATEVALUE("25/11/2020")),0,IF(Resumo!$C$19="PF",IF(Q161&lt;360,0.0082%*Q161,3%),IF(Q161&lt;360,0.0041%*Q161,1.5%)))</f>
        <v>1.4999999999999999E-2</v>
      </c>
      <c r="S161" s="172">
        <f t="shared" ca="1" si="28"/>
        <v>12.523370473537605</v>
      </c>
      <c r="W161" s="216">
        <f t="shared" ca="1" si="34"/>
        <v>2255.2854533867467</v>
      </c>
    </row>
    <row r="162" spans="2:23">
      <c r="B162" s="41">
        <f t="shared" si="29"/>
        <v>140</v>
      </c>
      <c r="C162" s="164">
        <f t="shared" si="30"/>
        <v>49018</v>
      </c>
      <c r="D162" s="42">
        <f t="shared" ca="1" si="31"/>
        <v>504.3741254672716</v>
      </c>
      <c r="E162" s="42">
        <f t="shared" ca="1" si="35"/>
        <v>1750.9113279194751</v>
      </c>
      <c r="F162" s="42">
        <f ca="1">IF(B162&lt;=$D$16,F161*(1+$D$13)^((C162-C161)/_xlfn.DAYS(EDATE(C161,1),C161)),F161-D162)+IF(B162&lt;=$D$16,F161*Resumo!$F$12,0)+IF(B162&lt;=$D$16,$D$15*Resumo!$F$13,0)+IF(B162&lt;=$D$16,25,0)-IF(AND($D$16&gt;3,B162&lt;=$D$16),J162,0)</f>
        <v>256982.58586269084</v>
      </c>
      <c r="G162" s="42">
        <f ca="1">IF(AND(B162&lt;&gt;"",K162&lt;&gt;$D$17,$D$16&gt;3),F162*Resumo!$F$12,IF(AND(B162&lt;&gt;"",K162&lt;&gt;$D$17,B162&gt;$D$16),F162*Resumo!$F$12,0))</f>
        <v>53.966343031165081</v>
      </c>
      <c r="H162" s="42">
        <f>IF(AND(B162&lt;&gt;"",K162&lt;&gt;$D$17,$D$16&gt;3,$B162&lt;=$D$16),$D$15*Resumo!$F$13,IF(AND(B162&lt;&gt;"",K162&lt;&gt;$D$17,B162&gt;$D$16),$D$15*Resumo!$F$13,0))</f>
        <v>34.369999999999997</v>
      </c>
      <c r="I162" s="42">
        <f>IF(AND(B162&lt;&gt;"",K162&lt;&gt;$D$17,$D$16&gt;3,$B162&lt;=$D$16),Resumo!$F$11,IF(AND(B162&lt;&gt;"",K162&lt;&gt;$D$17,B162&gt;$D$16),Resumo!$F$11,0))</f>
        <v>25</v>
      </c>
      <c r="J162" s="42">
        <f t="shared" ca="1" si="32"/>
        <v>2368.6217964179118</v>
      </c>
      <c r="K162" s="39" t="str">
        <f>IF(B162&lt;&gt;"",VLOOKUP(MONTH(C162),Sheet2!$F$1:$G$12,2,0),"")</f>
        <v>Março</v>
      </c>
      <c r="L162" s="200">
        <f t="shared" ca="1" si="33"/>
        <v>0</v>
      </c>
      <c r="M162" s="40">
        <f t="shared" ca="1" si="24"/>
        <v>2255.2854533867467</v>
      </c>
      <c r="N162" s="40">
        <f t="shared" ca="1" si="25"/>
        <v>2368.6217964179118</v>
      </c>
      <c r="O162" s="40"/>
      <c r="P162" s="20">
        <f t="shared" ca="1" si="26"/>
        <v>834.89136490250701</v>
      </c>
      <c r="Q162" s="1">
        <f t="shared" si="27"/>
        <v>4271</v>
      </c>
      <c r="R162" s="171">
        <f>IF(AND($J$2&gt;=DATEVALUE("03/04/2020"),$J$2&lt;=DATEVALUE("25/11/2020")),0,IF(Resumo!$C$19="PF",IF(Q162&lt;360,0.0082%*Q162,3%),IF(Q162&lt;360,0.0041%*Q162,1.5%)))</f>
        <v>1.4999999999999999E-2</v>
      </c>
      <c r="S162" s="172">
        <f t="shared" ca="1" si="28"/>
        <v>12.523370473537605</v>
      </c>
      <c r="W162" s="216">
        <f t="shared" ca="1" si="34"/>
        <v>2255.2854533867467</v>
      </c>
    </row>
    <row r="163" spans="2:23">
      <c r="B163" s="37">
        <f t="shared" si="29"/>
        <v>141</v>
      </c>
      <c r="C163" s="163">
        <f t="shared" si="30"/>
        <v>49049</v>
      </c>
      <c r="D163" s="38">
        <f t="shared" ca="1" si="31"/>
        <v>507.8038695204491</v>
      </c>
      <c r="E163" s="38">
        <f t="shared" ca="1" si="35"/>
        <v>1747.4815838662976</v>
      </c>
      <c r="F163" s="38">
        <f ca="1">IF(B163&lt;=$D$16,F162*(1+$D$13)^((C163-C162)/_xlfn.DAYS(EDATE(C162,1),C162)),F162-D163)+IF(B163&lt;=$D$16,F162*Resumo!$F$12,0)+IF(B163&lt;=$D$16,$D$15*Resumo!$F$13,0)+IF(B163&lt;=$D$16,25,0)-IF(AND($D$16&gt;3,B163&lt;=$D$16),J163,0)</f>
        <v>256474.78199317039</v>
      </c>
      <c r="G163" s="38">
        <f ca="1">IF(AND(B163&lt;&gt;"",K163&lt;&gt;$D$17,$D$16&gt;3),F163*Resumo!$F$12,IF(AND(B163&lt;&gt;"",K163&lt;&gt;$D$17,B163&gt;$D$16),F163*Resumo!$F$12,0))</f>
        <v>53.859704218565781</v>
      </c>
      <c r="H163" s="38">
        <f>IF(AND(B163&lt;&gt;"",K163&lt;&gt;$D$17,$D$16&gt;3,$B163&lt;=$D$16),$D$15*Resumo!$F$13,IF(AND(B163&lt;&gt;"",K163&lt;&gt;$D$17,B163&gt;$D$16),$D$15*Resumo!$F$13,0))</f>
        <v>34.369999999999997</v>
      </c>
      <c r="I163" s="38">
        <f>IF(AND(B163&lt;&gt;"",K163&lt;&gt;$D$17,$D$16&gt;3,$B163&lt;=$D$16),Resumo!$F$11,IF(AND(B163&lt;&gt;"",K163&lt;&gt;$D$17,B163&gt;$D$16),Resumo!$F$11,0))</f>
        <v>25</v>
      </c>
      <c r="J163" s="38">
        <f t="shared" ca="1" si="32"/>
        <v>2368.5151576053122</v>
      </c>
      <c r="K163" s="39" t="str">
        <f>IF(B163&lt;&gt;"",VLOOKUP(MONTH(C163),Sheet2!$F$1:$G$12,2,0),"")</f>
        <v>Abril</v>
      </c>
      <c r="L163" s="200">
        <f t="shared" ca="1" si="33"/>
        <v>0</v>
      </c>
      <c r="M163" s="40">
        <f t="shared" ca="1" si="24"/>
        <v>2255.2854533867467</v>
      </c>
      <c r="N163" s="40">
        <f t="shared" ca="1" si="25"/>
        <v>2368.5151576053122</v>
      </c>
      <c r="O163" s="40"/>
      <c r="P163" s="20">
        <f t="shared" ca="1" si="26"/>
        <v>834.89136490250701</v>
      </c>
      <c r="Q163" s="1">
        <f t="shared" si="27"/>
        <v>4302</v>
      </c>
      <c r="R163" s="171">
        <f>IF(AND($J$2&gt;=DATEVALUE("03/04/2020"),$J$2&lt;=DATEVALUE("25/11/2020")),0,IF(Resumo!$C$19="PF",IF(Q163&lt;360,0.0082%*Q163,3%),IF(Q163&lt;360,0.0041%*Q163,1.5%)))</f>
        <v>1.4999999999999999E-2</v>
      </c>
      <c r="S163" s="172">
        <f t="shared" ca="1" si="28"/>
        <v>12.523370473537605</v>
      </c>
      <c r="W163" s="216">
        <f t="shared" ca="1" si="34"/>
        <v>2255.2854533867467</v>
      </c>
    </row>
    <row r="164" spans="2:23">
      <c r="B164" s="41">
        <f t="shared" si="29"/>
        <v>142</v>
      </c>
      <c r="C164" s="164">
        <f t="shared" si="30"/>
        <v>49079</v>
      </c>
      <c r="D164" s="42">
        <f t="shared" ca="1" si="31"/>
        <v>511.25693583318821</v>
      </c>
      <c r="E164" s="42">
        <f t="shared" ca="1" si="35"/>
        <v>1744.0285175535585</v>
      </c>
      <c r="F164" s="42">
        <f ca="1">IF(B164&lt;=$D$16,F163*(1+$D$13)^((C164-C163)/_xlfn.DAYS(EDATE(C163,1),C163)),F163-D164)+IF(B164&lt;=$D$16,F163*Resumo!$F$12,0)+IF(B164&lt;=$D$16,$D$15*Resumo!$F$13,0)+IF(B164&lt;=$D$16,25,0)-IF(AND($D$16&gt;3,B164&lt;=$D$16),J164,0)</f>
        <v>255963.52505733719</v>
      </c>
      <c r="G164" s="42">
        <f ca="1">IF(AND(B164&lt;&gt;"",K164&lt;&gt;$D$17,$D$16&gt;3),F164*Resumo!$F$12,IF(AND(B164&lt;&gt;"",K164&lt;&gt;$D$17,B164&gt;$D$16),F164*Resumo!$F$12,0))</f>
        <v>53.752340262040811</v>
      </c>
      <c r="H164" s="42">
        <f>IF(AND(B164&lt;&gt;"",K164&lt;&gt;$D$17,$D$16&gt;3,$B164&lt;=$D$16),$D$15*Resumo!$F$13,IF(AND(B164&lt;&gt;"",K164&lt;&gt;$D$17,B164&gt;$D$16),$D$15*Resumo!$F$13,0))</f>
        <v>34.369999999999997</v>
      </c>
      <c r="I164" s="42">
        <f>IF(AND(B164&lt;&gt;"",K164&lt;&gt;$D$17,$D$16&gt;3,$B164&lt;=$D$16),Resumo!$F$11,IF(AND(B164&lt;&gt;"",K164&lt;&gt;$D$17,B164&gt;$D$16),Resumo!$F$11,0))</f>
        <v>25</v>
      </c>
      <c r="J164" s="42">
        <f t="shared" ca="1" si="32"/>
        <v>2368.4077936487874</v>
      </c>
      <c r="K164" s="39" t="str">
        <f>IF(B164&lt;&gt;"",VLOOKUP(MONTH(C164),Sheet2!$F$1:$G$12,2,0),"")</f>
        <v>Maio</v>
      </c>
      <c r="L164" s="200">
        <f t="shared" ca="1" si="33"/>
        <v>0</v>
      </c>
      <c r="M164" s="40">
        <f t="shared" ca="1" si="24"/>
        <v>2255.2854533867467</v>
      </c>
      <c r="N164" s="40">
        <f t="shared" ca="1" si="25"/>
        <v>2368.4077936487874</v>
      </c>
      <c r="O164" s="40"/>
      <c r="P164" s="20">
        <f t="shared" ca="1" si="26"/>
        <v>834.89136490250701</v>
      </c>
      <c r="Q164" s="1">
        <f t="shared" si="27"/>
        <v>4332</v>
      </c>
      <c r="R164" s="171">
        <f>IF(AND($J$2&gt;=DATEVALUE("03/04/2020"),$J$2&lt;=DATEVALUE("25/11/2020")),0,IF(Resumo!$C$19="PF",IF(Q164&lt;360,0.0082%*Q164,3%),IF(Q164&lt;360,0.0041%*Q164,1.5%)))</f>
        <v>1.4999999999999999E-2</v>
      </c>
      <c r="S164" s="172">
        <f t="shared" ca="1" si="28"/>
        <v>12.523370473537605</v>
      </c>
      <c r="W164" s="216">
        <f t="shared" ca="1" si="34"/>
        <v>2255.2854533867467</v>
      </c>
    </row>
    <row r="165" spans="2:23">
      <c r="B165" s="37">
        <f t="shared" si="29"/>
        <v>143</v>
      </c>
      <c r="C165" s="163">
        <f t="shared" si="30"/>
        <v>49110</v>
      </c>
      <c r="D165" s="38">
        <f t="shared" ca="1" si="31"/>
        <v>514.73348299685381</v>
      </c>
      <c r="E165" s="38">
        <f t="shared" ca="1" si="35"/>
        <v>1740.5519703898929</v>
      </c>
      <c r="F165" s="38">
        <f ca="1">IF(B165&lt;=$D$16,F164*(1+$D$13)^((C165-C164)/_xlfn.DAYS(EDATE(C164,1),C164)),F164-D165)+IF(B165&lt;=$D$16,F164*Resumo!$F$12,0)+IF(B165&lt;=$D$16,$D$15*Resumo!$F$13,0)+IF(B165&lt;=$D$16,25,0)-IF(AND($D$16&gt;3,B165&lt;=$D$16),J165,0)</f>
        <v>255448.79157434034</v>
      </c>
      <c r="G165" s="38">
        <f ca="1">IF(AND(B165&lt;&gt;"",K165&lt;&gt;$D$17,$D$16&gt;3),F165*Resumo!$F$12,IF(AND(B165&lt;&gt;"",K165&lt;&gt;$D$17,B165&gt;$D$16),F165*Resumo!$F$12,0))</f>
        <v>53.644246230611472</v>
      </c>
      <c r="H165" s="38">
        <f>IF(AND(B165&lt;&gt;"",K165&lt;&gt;$D$17,$D$16&gt;3,$B165&lt;=$D$16),$D$15*Resumo!$F$13,IF(AND(B165&lt;&gt;"",K165&lt;&gt;$D$17,B165&gt;$D$16),$D$15*Resumo!$F$13,0))</f>
        <v>34.369999999999997</v>
      </c>
      <c r="I165" s="38">
        <f>IF(AND(B165&lt;&gt;"",K165&lt;&gt;$D$17,$D$16&gt;3,$B165&lt;=$D$16),Resumo!$F$11,IF(AND(B165&lt;&gt;"",K165&lt;&gt;$D$17,B165&gt;$D$16),Resumo!$F$11,0))</f>
        <v>25</v>
      </c>
      <c r="J165" s="38">
        <f t="shared" ca="1" si="32"/>
        <v>2368.2996996173579</v>
      </c>
      <c r="K165" s="39" t="str">
        <f>IF(B165&lt;&gt;"",VLOOKUP(MONTH(C165),Sheet2!$F$1:$G$12,2,0),"")</f>
        <v>Junho</v>
      </c>
      <c r="L165" s="200">
        <f t="shared" ca="1" si="33"/>
        <v>0</v>
      </c>
      <c r="M165" s="40">
        <f t="shared" ca="1" si="24"/>
        <v>2255.2854533867467</v>
      </c>
      <c r="N165" s="40">
        <f t="shared" ca="1" si="25"/>
        <v>2368.2996996173579</v>
      </c>
      <c r="O165" s="40"/>
      <c r="P165" s="20">
        <f t="shared" ca="1" si="26"/>
        <v>834.89136490250701</v>
      </c>
      <c r="Q165" s="1">
        <f t="shared" si="27"/>
        <v>4363</v>
      </c>
      <c r="R165" s="171">
        <f>IF(AND($J$2&gt;=DATEVALUE("03/04/2020"),$J$2&lt;=DATEVALUE("25/11/2020")),0,IF(Resumo!$C$19="PF",IF(Q165&lt;360,0.0082%*Q165,3%),IF(Q165&lt;360,0.0041%*Q165,1.5%)))</f>
        <v>1.4999999999999999E-2</v>
      </c>
      <c r="S165" s="172">
        <f t="shared" ca="1" si="28"/>
        <v>12.523370473537605</v>
      </c>
      <c r="W165" s="216">
        <f t="shared" ca="1" si="34"/>
        <v>2255.2854533867467</v>
      </c>
    </row>
    <row r="166" spans="2:23">
      <c r="B166" s="41">
        <f t="shared" si="29"/>
        <v>144</v>
      </c>
      <c r="C166" s="164">
        <f t="shared" si="30"/>
        <v>49140</v>
      </c>
      <c r="D166" s="42">
        <f t="shared" ca="1" si="31"/>
        <v>518.23367068123252</v>
      </c>
      <c r="E166" s="42">
        <f t="shared" ca="1" si="35"/>
        <v>1737.0517827055141</v>
      </c>
      <c r="F166" s="42">
        <f ca="1">IF(B166&lt;=$D$16,F165*(1+$D$13)^((C166-C165)/_xlfn.DAYS(EDATE(C165,1),C165)),F165-D166)+IF(B166&lt;=$D$16,F165*Resumo!$F$12,0)+IF(B166&lt;=$D$16,$D$15*Resumo!$F$13,0)+IF(B166&lt;=$D$16,25,0)-IF(AND($D$16&gt;3,B166&lt;=$D$16),J166,0)</f>
        <v>254930.55790365912</v>
      </c>
      <c r="G166" s="42">
        <f ca="1">IF(AND(B166&lt;&gt;"",K166&lt;&gt;$D$17,$D$16&gt;3),F166*Resumo!$F$12,IF(AND(B166&lt;&gt;"",K166&lt;&gt;$D$17,B166&gt;$D$16),F166*Resumo!$F$12,0))</f>
        <v>53.535417159768421</v>
      </c>
      <c r="H166" s="42">
        <f>IF(AND(B166&lt;&gt;"",K166&lt;&gt;$D$17,$D$16&gt;3,$B166&lt;=$D$16),$D$15*Resumo!$F$13,IF(AND(B166&lt;&gt;"",K166&lt;&gt;$D$17,B166&gt;$D$16),$D$15*Resumo!$F$13,0))</f>
        <v>34.369999999999997</v>
      </c>
      <c r="I166" s="42">
        <f>IF(AND(B166&lt;&gt;"",K166&lt;&gt;$D$17,$D$16&gt;3,$B166&lt;=$D$16),Resumo!$F$11,IF(AND(B166&lt;&gt;"",K166&lt;&gt;$D$17,B166&gt;$D$16),Resumo!$F$11,0))</f>
        <v>25</v>
      </c>
      <c r="J166" s="42">
        <f t="shared" ca="1" si="32"/>
        <v>2368.1908705465148</v>
      </c>
      <c r="K166" s="39" t="str">
        <f>IF(B166&lt;&gt;"",VLOOKUP(MONTH(C166),Sheet2!$F$1:$G$12,2,0),"")</f>
        <v>Julho</v>
      </c>
      <c r="L166" s="200">
        <f t="shared" ca="1" si="33"/>
        <v>0</v>
      </c>
      <c r="M166" s="40">
        <f t="shared" ca="1" si="24"/>
        <v>2255.2854533867467</v>
      </c>
      <c r="N166" s="40">
        <f t="shared" ca="1" si="25"/>
        <v>2368.1908705465148</v>
      </c>
      <c r="O166" s="40"/>
      <c r="P166" s="20">
        <f t="shared" ca="1" si="26"/>
        <v>834.89136490250701</v>
      </c>
      <c r="Q166" s="1">
        <f t="shared" si="27"/>
        <v>4393</v>
      </c>
      <c r="R166" s="171">
        <f>IF(AND($J$2&gt;=DATEVALUE("03/04/2020"),$J$2&lt;=DATEVALUE("25/11/2020")),0,IF(Resumo!$C$19="PF",IF(Q166&lt;360,0.0082%*Q166,3%),IF(Q166&lt;360,0.0041%*Q166,1.5%)))</f>
        <v>1.4999999999999999E-2</v>
      </c>
      <c r="S166" s="172">
        <f t="shared" ca="1" si="28"/>
        <v>12.523370473537605</v>
      </c>
      <c r="W166" s="216">
        <f t="shared" ca="1" si="34"/>
        <v>2255.2854533867467</v>
      </c>
    </row>
    <row r="167" spans="2:23">
      <c r="B167" s="37">
        <f t="shared" si="29"/>
        <v>145</v>
      </c>
      <c r="C167" s="163">
        <f t="shared" si="30"/>
        <v>49171</v>
      </c>
      <c r="D167" s="38">
        <f t="shared" ca="1" si="31"/>
        <v>521.75765964186462</v>
      </c>
      <c r="E167" s="38">
        <f t="shared" ca="1" si="35"/>
        <v>1733.527793744882</v>
      </c>
      <c r="F167" s="38">
        <f ca="1">IF(B167&lt;=$D$16,F166*(1+$D$13)^((C167-C166)/_xlfn.DAYS(EDATE(C166,1),C166)),F166-D167)+IF(B167&lt;=$D$16,F166*Resumo!$F$12,0)+IF(B167&lt;=$D$16,$D$15*Resumo!$F$13,0)+IF(B167&lt;=$D$16,25,0)-IF(AND($D$16&gt;3,B167&lt;=$D$16),J167,0)</f>
        <v>254408.80024401727</v>
      </c>
      <c r="G167" s="38">
        <f ca="1">IF(AND(B167&lt;&gt;"",K167&lt;&gt;$D$17,$D$16&gt;3),F167*Resumo!$F$12,IF(AND(B167&lt;&gt;"",K167&lt;&gt;$D$17,B167&gt;$D$16),F167*Resumo!$F$12,0))</f>
        <v>53.425848051243626</v>
      </c>
      <c r="H167" s="38">
        <f>IF(AND(B167&lt;&gt;"",K167&lt;&gt;$D$17,$D$16&gt;3,$B167&lt;=$D$16),$D$15*Resumo!$F$13,IF(AND(B167&lt;&gt;"",K167&lt;&gt;$D$17,B167&gt;$D$16),$D$15*Resumo!$F$13,0))</f>
        <v>34.369999999999997</v>
      </c>
      <c r="I167" s="38">
        <f>IF(AND(B167&lt;&gt;"",K167&lt;&gt;$D$17,$D$16&gt;3,$B167&lt;=$D$16),Resumo!$F$11,IF(AND(B167&lt;&gt;"",K167&lt;&gt;$D$17,B167&gt;$D$16),Resumo!$F$11,0))</f>
        <v>25</v>
      </c>
      <c r="J167" s="38">
        <f t="shared" ca="1" si="32"/>
        <v>2368.0813014379901</v>
      </c>
      <c r="K167" s="39" t="str">
        <f>IF(B167&lt;&gt;"",VLOOKUP(MONTH(C167),Sheet2!$F$1:$G$12,2,0),"")</f>
        <v>Agosto</v>
      </c>
      <c r="L167" s="200">
        <f t="shared" ca="1" si="33"/>
        <v>0</v>
      </c>
      <c r="M167" s="40">
        <f t="shared" ca="1" si="24"/>
        <v>2255.2854533867467</v>
      </c>
      <c r="N167" s="40">
        <f t="shared" ca="1" si="25"/>
        <v>2368.0813014379901</v>
      </c>
      <c r="O167" s="40"/>
      <c r="P167" s="20">
        <f t="shared" ca="1" si="26"/>
        <v>834.89136490250701</v>
      </c>
      <c r="Q167" s="1">
        <f t="shared" si="27"/>
        <v>4424</v>
      </c>
      <c r="R167" s="171">
        <f>IF(AND($J$2&gt;=DATEVALUE("03/04/2020"),$J$2&lt;=DATEVALUE("25/11/2020")),0,IF(Resumo!$C$19="PF",IF(Q167&lt;360,0.0082%*Q167,3%),IF(Q167&lt;360,0.0041%*Q167,1.5%)))</f>
        <v>1.4999999999999999E-2</v>
      </c>
      <c r="S167" s="172">
        <f t="shared" ca="1" si="28"/>
        <v>12.523370473537605</v>
      </c>
      <c r="W167" s="216">
        <f t="shared" ca="1" si="34"/>
        <v>2255.2854533867467</v>
      </c>
    </row>
    <row r="168" spans="2:23">
      <c r="B168" s="41">
        <f t="shared" si="29"/>
        <v>146</v>
      </c>
      <c r="C168" s="164">
        <f t="shared" si="30"/>
        <v>49202</v>
      </c>
      <c r="D168" s="42">
        <f t="shared" ca="1" si="31"/>
        <v>525.30561172742932</v>
      </c>
      <c r="E168" s="42">
        <f t="shared" ca="1" si="35"/>
        <v>1729.9798416593173</v>
      </c>
      <c r="F168" s="42">
        <f ca="1">IF(B168&lt;=$D$16,F167*(1+$D$13)^((C168-C167)/_xlfn.DAYS(EDATE(C167,1),C167)),F167-D168)+IF(B168&lt;=$D$16,F167*Resumo!$F$12,0)+IF(B168&lt;=$D$16,$D$15*Resumo!$F$13,0)+IF(B168&lt;=$D$16,25,0)-IF(AND($D$16&gt;3,B168&lt;=$D$16),J168,0)</f>
        <v>253883.49463228983</v>
      </c>
      <c r="G168" s="42">
        <f ca="1">IF(AND(B168&lt;&gt;"",K168&lt;&gt;$D$17,$D$16&gt;3),F168*Resumo!$F$12,IF(AND(B168&lt;&gt;"",K168&lt;&gt;$D$17,B168&gt;$D$16),F168*Resumo!$F$12,0))</f>
        <v>53.315533872780868</v>
      </c>
      <c r="H168" s="42">
        <f>IF(AND(B168&lt;&gt;"",K168&lt;&gt;$D$17,$D$16&gt;3,$B168&lt;=$D$16),$D$15*Resumo!$F$13,IF(AND(B168&lt;&gt;"",K168&lt;&gt;$D$17,B168&gt;$D$16),$D$15*Resumo!$F$13,0))</f>
        <v>34.369999999999997</v>
      </c>
      <c r="I168" s="42">
        <f>IF(AND(B168&lt;&gt;"",K168&lt;&gt;$D$17,$D$16&gt;3,$B168&lt;=$D$16),Resumo!$F$11,IF(AND(B168&lt;&gt;"",K168&lt;&gt;$D$17,B168&gt;$D$16),Resumo!$F$11,0))</f>
        <v>25</v>
      </c>
      <c r="J168" s="42">
        <f t="shared" ca="1" si="32"/>
        <v>2367.9709872595276</v>
      </c>
      <c r="K168" s="39" t="str">
        <f>IF(B168&lt;&gt;"",VLOOKUP(MONTH(C168),Sheet2!$F$1:$G$12,2,0),"")</f>
        <v>Setembro</v>
      </c>
      <c r="L168" s="200">
        <f t="shared" ca="1" si="33"/>
        <v>0</v>
      </c>
      <c r="M168" s="40">
        <f t="shared" ca="1" si="24"/>
        <v>2255.2854533867467</v>
      </c>
      <c r="N168" s="40">
        <f t="shared" ca="1" si="25"/>
        <v>2367.9709872595276</v>
      </c>
      <c r="O168" s="40"/>
      <c r="P168" s="20">
        <f t="shared" ca="1" si="26"/>
        <v>834.89136490250701</v>
      </c>
      <c r="Q168" s="1">
        <f t="shared" si="27"/>
        <v>4455</v>
      </c>
      <c r="R168" s="171">
        <f>IF(AND($J$2&gt;=DATEVALUE("03/04/2020"),$J$2&lt;=DATEVALUE("25/11/2020")),0,IF(Resumo!$C$19="PF",IF(Q168&lt;360,0.0082%*Q168,3%),IF(Q168&lt;360,0.0041%*Q168,1.5%)))</f>
        <v>1.4999999999999999E-2</v>
      </c>
      <c r="S168" s="172">
        <f t="shared" ca="1" si="28"/>
        <v>12.523370473537605</v>
      </c>
      <c r="W168" s="216">
        <f t="shared" ca="1" si="34"/>
        <v>2255.2854533867467</v>
      </c>
    </row>
    <row r="169" spans="2:23">
      <c r="B169" s="37">
        <f t="shared" si="29"/>
        <v>147</v>
      </c>
      <c r="C169" s="163">
        <f t="shared" si="30"/>
        <v>49232</v>
      </c>
      <c r="D169" s="38">
        <f t="shared" ca="1" si="31"/>
        <v>528.87768988717585</v>
      </c>
      <c r="E169" s="38">
        <f t="shared" ca="1" si="35"/>
        <v>1726.4077634995708</v>
      </c>
      <c r="F169" s="38">
        <f ca="1">IF(B169&lt;=$D$16,F168*(1+$D$13)^((C169-C168)/_xlfn.DAYS(EDATE(C168,1),C168)),F168-D169)+IF(B169&lt;=$D$16,F168*Resumo!$F$12,0)+IF(B169&lt;=$D$16,$D$15*Resumo!$F$13,0)+IF(B169&lt;=$D$16,25,0)-IF(AND($D$16&gt;3,B169&lt;=$D$16),J169,0)</f>
        <v>253354.61694240264</v>
      </c>
      <c r="G169" s="38">
        <f ca="1">IF(AND(B169&lt;&gt;"",K169&lt;&gt;$D$17,$D$16&gt;3),F169*Resumo!$F$12,IF(AND(B169&lt;&gt;"",K169&lt;&gt;$D$17,B169&gt;$D$16),F169*Resumo!$F$12,0))</f>
        <v>53.204469557904559</v>
      </c>
      <c r="H169" s="38">
        <f>IF(AND(B169&lt;&gt;"",K169&lt;&gt;$D$17,$D$16&gt;3,$B169&lt;=$D$16),$D$15*Resumo!$F$13,IF(AND(B169&lt;&gt;"",K169&lt;&gt;$D$17,B169&gt;$D$16),$D$15*Resumo!$F$13,0))</f>
        <v>34.369999999999997</v>
      </c>
      <c r="I169" s="38">
        <f>IF(AND(B169&lt;&gt;"",K169&lt;&gt;$D$17,$D$16&gt;3,$B169&lt;=$D$16),Resumo!$F$11,IF(AND(B169&lt;&gt;"",K169&lt;&gt;$D$17,B169&gt;$D$16),Resumo!$F$11,0))</f>
        <v>25</v>
      </c>
      <c r="J169" s="38">
        <f t="shared" ca="1" si="32"/>
        <v>2367.8599229446513</v>
      </c>
      <c r="K169" s="39" t="str">
        <f>IF(B169&lt;&gt;"",VLOOKUP(MONTH(C169),Sheet2!$F$1:$G$12,2,0),"")</f>
        <v>Outubro</v>
      </c>
      <c r="L169" s="200">
        <f t="shared" ca="1" si="33"/>
        <v>0</v>
      </c>
      <c r="M169" s="40">
        <f t="shared" ca="1" si="24"/>
        <v>2255.2854533867467</v>
      </c>
      <c r="N169" s="40">
        <f t="shared" ca="1" si="25"/>
        <v>2367.8599229446513</v>
      </c>
      <c r="O169" s="40"/>
      <c r="P169" s="20">
        <f t="shared" ca="1" si="26"/>
        <v>834.89136490250701</v>
      </c>
      <c r="Q169" s="1">
        <f t="shared" si="27"/>
        <v>4485</v>
      </c>
      <c r="R169" s="171">
        <f>IF(AND($J$2&gt;=DATEVALUE("03/04/2020"),$J$2&lt;=DATEVALUE("25/11/2020")),0,IF(Resumo!$C$19="PF",IF(Q169&lt;360,0.0082%*Q169,3%),IF(Q169&lt;360,0.0041%*Q169,1.5%)))</f>
        <v>1.4999999999999999E-2</v>
      </c>
      <c r="S169" s="172">
        <f t="shared" ca="1" si="28"/>
        <v>12.523370473537605</v>
      </c>
      <c r="W169" s="216">
        <f t="shared" ca="1" si="34"/>
        <v>2255.2854533867467</v>
      </c>
    </row>
    <row r="170" spans="2:23">
      <c r="B170" s="41">
        <f t="shared" si="29"/>
        <v>148</v>
      </c>
      <c r="C170" s="164">
        <f t="shared" si="30"/>
        <v>49263</v>
      </c>
      <c r="D170" s="42">
        <f t="shared" ca="1" si="31"/>
        <v>532.47405817840877</v>
      </c>
      <c r="E170" s="42">
        <f t="shared" ca="1" si="35"/>
        <v>1722.8113952083379</v>
      </c>
      <c r="F170" s="42">
        <f ca="1">IF(B170&lt;=$D$16,F169*(1+$D$13)^((C170-C169)/_xlfn.DAYS(EDATE(C169,1),C169)),F169-D170)+IF(B170&lt;=$D$16,F169*Resumo!$F$12,0)+IF(B170&lt;=$D$16,$D$15*Resumo!$F$13,0)+IF(B170&lt;=$D$16,25,0)-IF(AND($D$16&gt;3,B170&lt;=$D$16),J170,0)</f>
        <v>252822.14288422425</v>
      </c>
      <c r="G170" s="42">
        <f ca="1">IF(AND(B170&lt;&gt;"",K170&lt;&gt;$D$17,$D$16&gt;3),F170*Resumo!$F$12,IF(AND(B170&lt;&gt;"",K170&lt;&gt;$D$17,B170&gt;$D$16),F170*Resumo!$F$12,0))</f>
        <v>53.092650005687091</v>
      </c>
      <c r="H170" s="42">
        <f>IF(AND(B170&lt;&gt;"",K170&lt;&gt;$D$17,$D$16&gt;3,$B170&lt;=$D$16),$D$15*Resumo!$F$13,IF(AND(B170&lt;&gt;"",K170&lt;&gt;$D$17,B170&gt;$D$16),$D$15*Resumo!$F$13,0))</f>
        <v>34.369999999999997</v>
      </c>
      <c r="I170" s="42">
        <f>IF(AND(B170&lt;&gt;"",K170&lt;&gt;$D$17,$D$16&gt;3,$B170&lt;=$D$16),Resumo!$F$11,IF(AND(B170&lt;&gt;"",K170&lt;&gt;$D$17,B170&gt;$D$16),Resumo!$F$11,0))</f>
        <v>25</v>
      </c>
      <c r="J170" s="42">
        <f t="shared" ca="1" si="32"/>
        <v>2367.7481033924337</v>
      </c>
      <c r="K170" s="39" t="str">
        <f>IF(B170&lt;&gt;"",VLOOKUP(MONTH(C170),Sheet2!$F$1:$G$12,2,0),"")</f>
        <v>Novembro</v>
      </c>
      <c r="L170" s="200">
        <f t="shared" ca="1" si="33"/>
        <v>0</v>
      </c>
      <c r="M170" s="40">
        <f t="shared" ca="1" si="24"/>
        <v>2255.2854533867467</v>
      </c>
      <c r="N170" s="40">
        <f t="shared" ca="1" si="25"/>
        <v>2367.7481033924337</v>
      </c>
      <c r="O170" s="40"/>
      <c r="P170" s="20">
        <f t="shared" ca="1" si="26"/>
        <v>834.89136490250701</v>
      </c>
      <c r="Q170" s="1">
        <f t="shared" si="27"/>
        <v>4516</v>
      </c>
      <c r="R170" s="171">
        <f>IF(AND($J$2&gt;=DATEVALUE("03/04/2020"),$J$2&lt;=DATEVALUE("25/11/2020")),0,IF(Resumo!$C$19="PF",IF(Q170&lt;360,0.0082%*Q170,3%),IF(Q170&lt;360,0.0041%*Q170,1.5%)))</f>
        <v>1.4999999999999999E-2</v>
      </c>
      <c r="S170" s="172">
        <f t="shared" ca="1" si="28"/>
        <v>12.523370473537605</v>
      </c>
      <c r="W170" s="216">
        <f t="shared" ca="1" si="34"/>
        <v>2255.2854533867467</v>
      </c>
    </row>
    <row r="171" spans="2:23">
      <c r="B171" s="37">
        <f t="shared" si="29"/>
        <v>149</v>
      </c>
      <c r="C171" s="163">
        <f t="shared" si="30"/>
        <v>49293</v>
      </c>
      <c r="D171" s="38">
        <f t="shared" ca="1" si="31"/>
        <v>536.09488177402181</v>
      </c>
      <c r="E171" s="38">
        <f t="shared" ca="1" si="35"/>
        <v>1719.1905716127249</v>
      </c>
      <c r="F171" s="38">
        <f ca="1">IF(B171&lt;=$D$16,F170*(1+$D$13)^((C171-C170)/_xlfn.DAYS(EDATE(C170,1),C170)),F170-D171)+IF(B171&lt;=$D$16,F170*Resumo!$F$12,0)+IF(B171&lt;=$D$16,$D$15*Resumo!$F$13,0)+IF(B171&lt;=$D$16,25,0)-IF(AND($D$16&gt;3,B171&lt;=$D$16),J171,0)</f>
        <v>252286.04800245023</v>
      </c>
      <c r="G171" s="38">
        <f ca="1">IF(AND(B171&lt;&gt;"",K171&lt;&gt;$D$17,$D$16&gt;3),F171*Resumo!$F$12,IF(AND(B171&lt;&gt;"",K171&lt;&gt;$D$17,B171&gt;$D$16),F171*Resumo!$F$12,0))</f>
        <v>52.980070080514551</v>
      </c>
      <c r="H171" s="38">
        <f>IF(AND(B171&lt;&gt;"",K171&lt;&gt;$D$17,$D$16&gt;3,$B171&lt;=$D$16),$D$15*Resumo!$F$13,IF(AND(B171&lt;&gt;"",K171&lt;&gt;$D$17,B171&gt;$D$16),$D$15*Resumo!$F$13,0))</f>
        <v>34.369999999999997</v>
      </c>
      <c r="I171" s="38">
        <f>IF(AND(B171&lt;&gt;"",K171&lt;&gt;$D$17,$D$16&gt;3,$B171&lt;=$D$16),Resumo!$F$11,IF(AND(B171&lt;&gt;"",K171&lt;&gt;$D$17,B171&gt;$D$16),Resumo!$F$11,0))</f>
        <v>25</v>
      </c>
      <c r="J171" s="38">
        <f t="shared" ca="1" si="32"/>
        <v>2367.635523467261</v>
      </c>
      <c r="K171" s="39" t="str">
        <f>IF(B171&lt;&gt;"",VLOOKUP(MONTH(C171),Sheet2!$F$1:$G$12,2,0),"")</f>
        <v>Dezembro</v>
      </c>
      <c r="L171" s="200">
        <f t="shared" ca="1" si="33"/>
        <v>0</v>
      </c>
      <c r="M171" s="40">
        <f t="shared" ca="1" si="24"/>
        <v>2255.2854533867467</v>
      </c>
      <c r="N171" s="40">
        <f t="shared" ca="1" si="25"/>
        <v>2367.635523467261</v>
      </c>
      <c r="O171" s="40"/>
      <c r="P171" s="20">
        <f t="shared" ca="1" si="26"/>
        <v>834.89136490250701</v>
      </c>
      <c r="Q171" s="1">
        <f t="shared" si="27"/>
        <v>4546</v>
      </c>
      <c r="R171" s="171">
        <f>IF(AND($J$2&gt;=DATEVALUE("03/04/2020"),$J$2&lt;=DATEVALUE("25/11/2020")),0,IF(Resumo!$C$19="PF",IF(Q171&lt;360,0.0082%*Q171,3%),IF(Q171&lt;360,0.0041%*Q171,1.5%)))</f>
        <v>1.4999999999999999E-2</v>
      </c>
      <c r="S171" s="172">
        <f t="shared" ca="1" si="28"/>
        <v>12.523370473537605</v>
      </c>
      <c r="W171" s="216">
        <f t="shared" ca="1" si="34"/>
        <v>2255.2854533867467</v>
      </c>
    </row>
    <row r="172" spans="2:23">
      <c r="B172" s="41">
        <f t="shared" si="29"/>
        <v>150</v>
      </c>
      <c r="C172" s="164">
        <f t="shared" si="30"/>
        <v>49324</v>
      </c>
      <c r="D172" s="42">
        <f t="shared" ca="1" si="31"/>
        <v>539.74032697008511</v>
      </c>
      <c r="E172" s="42">
        <f t="shared" ca="1" si="35"/>
        <v>1715.5451264166616</v>
      </c>
      <c r="F172" s="42">
        <f ca="1">IF(B172&lt;=$D$16,F171*(1+$D$13)^((C172-C171)/_xlfn.DAYS(EDATE(C171,1),C171)),F171-D172)+IF(B172&lt;=$D$16,F171*Resumo!$F$12,0)+IF(B172&lt;=$D$16,$D$15*Resumo!$F$13,0)+IF(B172&lt;=$D$16,25,0)-IF(AND($D$16&gt;3,B172&lt;=$D$16),J172,0)</f>
        <v>251746.30767548014</v>
      </c>
      <c r="G172" s="42">
        <f ca="1">IF(AND(B172&lt;&gt;"",K172&lt;&gt;$D$17,$D$16&gt;3),F172*Resumo!$F$12,IF(AND(B172&lt;&gt;"",K172&lt;&gt;$D$17,B172&gt;$D$16),F172*Resumo!$F$12,0))</f>
        <v>52.866724611850834</v>
      </c>
      <c r="H172" s="42">
        <f>IF(AND(B172&lt;&gt;"",K172&lt;&gt;$D$17,$D$16&gt;3,$B172&lt;=$D$16),$D$15*Resumo!$F$13,IF(AND(B172&lt;&gt;"",K172&lt;&gt;$D$17,B172&gt;$D$16),$D$15*Resumo!$F$13,0))</f>
        <v>34.369999999999997</v>
      </c>
      <c r="I172" s="42">
        <f>IF(AND(B172&lt;&gt;"",K172&lt;&gt;$D$17,$D$16&gt;3,$B172&lt;=$D$16),Resumo!$F$11,IF(AND(B172&lt;&gt;"",K172&lt;&gt;$D$17,B172&gt;$D$16),Resumo!$F$11,0))</f>
        <v>25</v>
      </c>
      <c r="J172" s="42">
        <f t="shared" ca="1" si="32"/>
        <v>2367.5221779985973</v>
      </c>
      <c r="K172" s="39" t="str">
        <f>IF(B172&lt;&gt;"",VLOOKUP(MONTH(C172),Sheet2!$F$1:$G$12,2,0),"")</f>
        <v>Janeiro</v>
      </c>
      <c r="L172" s="200">
        <f t="shared" ca="1" si="33"/>
        <v>0</v>
      </c>
      <c r="M172" s="40">
        <f t="shared" ca="1" si="24"/>
        <v>2255.2854533867467</v>
      </c>
      <c r="N172" s="40">
        <f t="shared" ca="1" si="25"/>
        <v>2367.5221779985973</v>
      </c>
      <c r="O172" s="40"/>
      <c r="P172" s="20">
        <f t="shared" ca="1" si="26"/>
        <v>834.89136490250701</v>
      </c>
      <c r="Q172" s="1">
        <f t="shared" si="27"/>
        <v>4577</v>
      </c>
      <c r="R172" s="171">
        <f>IF(AND($J$2&gt;=DATEVALUE("03/04/2020"),$J$2&lt;=DATEVALUE("25/11/2020")),0,IF(Resumo!$C$19="PF",IF(Q172&lt;360,0.0082%*Q172,3%),IF(Q172&lt;360,0.0041%*Q172,1.5%)))</f>
        <v>1.4999999999999999E-2</v>
      </c>
      <c r="S172" s="172">
        <f t="shared" ca="1" si="28"/>
        <v>12.523370473537605</v>
      </c>
      <c r="W172" s="216">
        <f t="shared" ca="1" si="34"/>
        <v>2255.2854533867467</v>
      </c>
    </row>
    <row r="173" spans="2:23">
      <c r="B173" s="37">
        <f t="shared" si="29"/>
        <v>151</v>
      </c>
      <c r="C173" s="163">
        <f t="shared" si="30"/>
        <v>49355</v>
      </c>
      <c r="D173" s="38">
        <f t="shared" ca="1" si="31"/>
        <v>543.41056119348173</v>
      </c>
      <c r="E173" s="38">
        <f t="shared" ca="1" si="35"/>
        <v>1711.8748921932649</v>
      </c>
      <c r="F173" s="38">
        <f ca="1">IF(B173&lt;=$D$16,F172*(1+$D$13)^((C173-C172)/_xlfn.DAYS(EDATE(C172,1),C172)),F172-D173)+IF(B173&lt;=$D$16,F172*Resumo!$F$12,0)+IF(B173&lt;=$D$16,$D$15*Resumo!$F$13,0)+IF(B173&lt;=$D$16,25,0)-IF(AND($D$16&gt;3,B173&lt;=$D$16),J173,0)</f>
        <v>251202.89711428666</v>
      </c>
      <c r="G173" s="38">
        <f ca="1">IF(AND(B173&lt;&gt;"",K173&lt;&gt;$D$17,$D$16&gt;3),F173*Resumo!$F$12,IF(AND(B173&lt;&gt;"",K173&lt;&gt;$D$17,B173&gt;$D$16),F173*Resumo!$F$12,0))</f>
        <v>52.752608394000205</v>
      </c>
      <c r="H173" s="38">
        <f>IF(AND(B173&lt;&gt;"",K173&lt;&gt;$D$17,$D$16&gt;3,$B173&lt;=$D$16),$D$15*Resumo!$F$13,IF(AND(B173&lt;&gt;"",K173&lt;&gt;$D$17,B173&gt;$D$16),$D$15*Resumo!$F$13,0))</f>
        <v>34.369999999999997</v>
      </c>
      <c r="I173" s="38">
        <f>IF(AND(B173&lt;&gt;"",K173&lt;&gt;$D$17,$D$16&gt;3,$B173&lt;=$D$16),Resumo!$F$11,IF(AND(B173&lt;&gt;"",K173&lt;&gt;$D$17,B173&gt;$D$16),Resumo!$F$11,0))</f>
        <v>25</v>
      </c>
      <c r="J173" s="38">
        <f t="shared" ca="1" si="32"/>
        <v>2367.4080617807467</v>
      </c>
      <c r="K173" s="39" t="str">
        <f>IF(B173&lt;&gt;"",VLOOKUP(MONTH(C173),Sheet2!$F$1:$G$12,2,0),"")</f>
        <v>Fevereiro</v>
      </c>
      <c r="L173" s="200">
        <f t="shared" ca="1" si="33"/>
        <v>0</v>
      </c>
      <c r="M173" s="40">
        <f t="shared" ca="1" si="24"/>
        <v>2255.2854533867467</v>
      </c>
      <c r="N173" s="40">
        <f t="shared" ca="1" si="25"/>
        <v>2367.4080617807467</v>
      </c>
      <c r="O173" s="40"/>
      <c r="P173" s="20">
        <f t="shared" ca="1" si="26"/>
        <v>834.89136490250701</v>
      </c>
      <c r="Q173" s="1">
        <f t="shared" si="27"/>
        <v>4608</v>
      </c>
      <c r="R173" s="171">
        <f>IF(AND($J$2&gt;=DATEVALUE("03/04/2020"),$J$2&lt;=DATEVALUE("25/11/2020")),0,IF(Resumo!$C$19="PF",IF(Q173&lt;360,0.0082%*Q173,3%),IF(Q173&lt;360,0.0041%*Q173,1.5%)))</f>
        <v>1.4999999999999999E-2</v>
      </c>
      <c r="S173" s="172">
        <f t="shared" ca="1" si="28"/>
        <v>12.523370473537605</v>
      </c>
      <c r="W173" s="216">
        <f t="shared" ca="1" si="34"/>
        <v>2255.2854533867467</v>
      </c>
    </row>
    <row r="174" spans="2:23">
      <c r="B174" s="41">
        <f t="shared" si="29"/>
        <v>152</v>
      </c>
      <c r="C174" s="164">
        <f t="shared" si="30"/>
        <v>49383</v>
      </c>
      <c r="D174" s="42">
        <f t="shared" ca="1" si="31"/>
        <v>547.10575300959749</v>
      </c>
      <c r="E174" s="42">
        <f t="shared" ca="1" si="35"/>
        <v>1708.1797003771492</v>
      </c>
      <c r="F174" s="42">
        <f ca="1">IF(B174&lt;=$D$16,F173*(1+$D$13)^((C174-C173)/_xlfn.DAYS(EDATE(C173,1),C173)),F173-D174)+IF(B174&lt;=$D$16,F173*Resumo!$F$12,0)+IF(B174&lt;=$D$16,$D$15*Resumo!$F$13,0)+IF(B174&lt;=$D$16,25,0)-IF(AND($D$16&gt;3,B174&lt;=$D$16),J174,0)</f>
        <v>250655.79136127708</v>
      </c>
      <c r="G174" s="42">
        <f ca="1">IF(AND(B174&lt;&gt;"",K174&lt;&gt;$D$17,$D$16&gt;3),F174*Resumo!$F$12,IF(AND(B174&lt;&gt;"",K174&lt;&gt;$D$17,B174&gt;$D$16),F174*Resumo!$F$12,0))</f>
        <v>52.637716185868186</v>
      </c>
      <c r="H174" s="42">
        <f>IF(AND(B174&lt;&gt;"",K174&lt;&gt;$D$17,$D$16&gt;3,$B174&lt;=$D$16),$D$15*Resumo!$F$13,IF(AND(B174&lt;&gt;"",K174&lt;&gt;$D$17,B174&gt;$D$16),$D$15*Resumo!$F$13,0))</f>
        <v>34.369999999999997</v>
      </c>
      <c r="I174" s="42">
        <f>IF(AND(B174&lt;&gt;"",K174&lt;&gt;$D$17,$D$16&gt;3,$B174&lt;=$D$16),Resumo!$F$11,IF(AND(B174&lt;&gt;"",K174&lt;&gt;$D$17,B174&gt;$D$16),Resumo!$F$11,0))</f>
        <v>25</v>
      </c>
      <c r="J174" s="42">
        <f t="shared" ca="1" si="32"/>
        <v>2367.2931695726147</v>
      </c>
      <c r="K174" s="39" t="str">
        <f>IF(B174&lt;&gt;"",VLOOKUP(MONTH(C174),Sheet2!$F$1:$G$12,2,0),"")</f>
        <v>Março</v>
      </c>
      <c r="L174" s="200">
        <f t="shared" ca="1" si="33"/>
        <v>0</v>
      </c>
      <c r="M174" s="40">
        <f t="shared" ca="1" si="24"/>
        <v>2255.2854533867467</v>
      </c>
      <c r="N174" s="40">
        <f t="shared" ca="1" si="25"/>
        <v>2367.2931695726147</v>
      </c>
      <c r="O174" s="40"/>
      <c r="P174" s="20">
        <f t="shared" ca="1" si="26"/>
        <v>834.89136490250701</v>
      </c>
      <c r="Q174" s="1">
        <f t="shared" si="27"/>
        <v>4636</v>
      </c>
      <c r="R174" s="171">
        <f>IF(AND($J$2&gt;=DATEVALUE("03/04/2020"),$J$2&lt;=DATEVALUE("25/11/2020")),0,IF(Resumo!$C$19="PF",IF(Q174&lt;360,0.0082%*Q174,3%),IF(Q174&lt;360,0.0041%*Q174,1.5%)))</f>
        <v>1.4999999999999999E-2</v>
      </c>
      <c r="S174" s="172">
        <f t="shared" ca="1" si="28"/>
        <v>12.523370473537605</v>
      </c>
      <c r="W174" s="216">
        <f t="shared" ca="1" si="34"/>
        <v>2255.2854533867467</v>
      </c>
    </row>
    <row r="175" spans="2:23">
      <c r="B175" s="37">
        <f t="shared" si="29"/>
        <v>153</v>
      </c>
      <c r="C175" s="163">
        <f t="shared" si="30"/>
        <v>49414</v>
      </c>
      <c r="D175" s="38">
        <f t="shared" ca="1" si="31"/>
        <v>550.82607213006258</v>
      </c>
      <c r="E175" s="38">
        <f t="shared" ca="1" si="35"/>
        <v>1704.4593812566841</v>
      </c>
      <c r="F175" s="38">
        <f ca="1">IF(B175&lt;=$D$16,F174*(1+$D$13)^((C175-C174)/_xlfn.DAYS(EDATE(C174,1),C174)),F174-D175)+IF(B175&lt;=$D$16,F174*Resumo!$F$12,0)+IF(B175&lt;=$D$16,$D$15*Resumo!$F$13,0)+IF(B175&lt;=$D$16,25,0)-IF(AND($D$16&gt;3,B175&lt;=$D$16),J175,0)</f>
        <v>250104.96528914702</v>
      </c>
      <c r="G175" s="38">
        <f ca="1">IF(AND(B175&lt;&gt;"",K175&lt;&gt;$D$17,$D$16&gt;3),F175*Resumo!$F$12,IF(AND(B175&lt;&gt;"",K175&lt;&gt;$D$17,B175&gt;$D$16),F175*Resumo!$F$12,0))</f>
        <v>52.522042710720875</v>
      </c>
      <c r="H175" s="38">
        <f>IF(AND(B175&lt;&gt;"",K175&lt;&gt;$D$17,$D$16&gt;3,$B175&lt;=$D$16),$D$15*Resumo!$F$13,IF(AND(B175&lt;&gt;"",K175&lt;&gt;$D$17,B175&gt;$D$16),$D$15*Resumo!$F$13,0))</f>
        <v>34.369999999999997</v>
      </c>
      <c r="I175" s="38">
        <f>IF(AND(B175&lt;&gt;"",K175&lt;&gt;$D$17,$D$16&gt;3,$B175&lt;=$D$16),Resumo!$F$11,IF(AND(B175&lt;&gt;"",K175&lt;&gt;$D$17,B175&gt;$D$16),Resumo!$F$11,0))</f>
        <v>25</v>
      </c>
      <c r="J175" s="38">
        <f t="shared" ca="1" si="32"/>
        <v>2367.1774960974676</v>
      </c>
      <c r="K175" s="39" t="str">
        <f>IF(B175&lt;&gt;"",VLOOKUP(MONTH(C175),Sheet2!$F$1:$G$12,2,0),"")</f>
        <v>Abril</v>
      </c>
      <c r="L175" s="200">
        <f t="shared" ca="1" si="33"/>
        <v>0</v>
      </c>
      <c r="M175" s="40">
        <f t="shared" ca="1" si="24"/>
        <v>2255.2854533867467</v>
      </c>
      <c r="N175" s="40">
        <f t="shared" ca="1" si="25"/>
        <v>2367.1774960974676</v>
      </c>
      <c r="O175" s="40"/>
      <c r="P175" s="20">
        <f t="shared" ca="1" si="26"/>
        <v>834.89136490250701</v>
      </c>
      <c r="Q175" s="1">
        <f t="shared" si="27"/>
        <v>4667</v>
      </c>
      <c r="R175" s="171">
        <f>IF(AND($J$2&gt;=DATEVALUE("03/04/2020"),$J$2&lt;=DATEVALUE("25/11/2020")),0,IF(Resumo!$C$19="PF",IF(Q175&lt;360,0.0082%*Q175,3%),IF(Q175&lt;360,0.0041%*Q175,1.5%)))</f>
        <v>1.4999999999999999E-2</v>
      </c>
      <c r="S175" s="172">
        <f t="shared" ca="1" si="28"/>
        <v>12.523370473537605</v>
      </c>
      <c r="W175" s="216">
        <f t="shared" ca="1" si="34"/>
        <v>2255.2854533867467</v>
      </c>
    </row>
    <row r="176" spans="2:23">
      <c r="B176" s="41">
        <f t="shared" si="29"/>
        <v>154</v>
      </c>
      <c r="C176" s="164">
        <f t="shared" si="30"/>
        <v>49444</v>
      </c>
      <c r="D176" s="42">
        <f t="shared" ca="1" si="31"/>
        <v>554.57168942054705</v>
      </c>
      <c r="E176" s="42">
        <f t="shared" ca="1" si="35"/>
        <v>1700.7137639661996</v>
      </c>
      <c r="F176" s="42">
        <f ca="1">IF(B176&lt;=$D$16,F175*(1+$D$13)^((C176-C175)/_xlfn.DAYS(EDATE(C175,1),C175)),F175-D176)+IF(B176&lt;=$D$16,F175*Resumo!$F$12,0)+IF(B176&lt;=$D$16,$D$15*Resumo!$F$13,0)+IF(B176&lt;=$D$16,25,0)-IF(AND($D$16&gt;3,B176&lt;=$D$16),J176,0)</f>
        <v>249550.39359972646</v>
      </c>
      <c r="G176" s="42">
        <f ca="1">IF(AND(B176&lt;&gt;"",K176&lt;&gt;$D$17,$D$16&gt;3),F176*Resumo!$F$12,IF(AND(B176&lt;&gt;"",K176&lt;&gt;$D$17,B176&gt;$D$16),F176*Resumo!$F$12,0))</f>
        <v>52.40558265594256</v>
      </c>
      <c r="H176" s="42">
        <f>IF(AND(B176&lt;&gt;"",K176&lt;&gt;$D$17,$D$16&gt;3,$B176&lt;=$D$16),$D$15*Resumo!$F$13,IF(AND(B176&lt;&gt;"",K176&lt;&gt;$D$17,B176&gt;$D$16),$D$15*Resumo!$F$13,0))</f>
        <v>34.369999999999997</v>
      </c>
      <c r="I176" s="42">
        <f>IF(AND(B176&lt;&gt;"",K176&lt;&gt;$D$17,$D$16&gt;3,$B176&lt;=$D$16),Resumo!$F$11,IF(AND(B176&lt;&gt;"",K176&lt;&gt;$D$17,B176&gt;$D$16),Resumo!$F$11,0))</f>
        <v>25</v>
      </c>
      <c r="J176" s="42">
        <f t="shared" ca="1" si="32"/>
        <v>2367.061036042689</v>
      </c>
      <c r="K176" s="39" t="str">
        <f>IF(B176&lt;&gt;"",VLOOKUP(MONTH(C176),Sheet2!$F$1:$G$12,2,0),"")</f>
        <v>Maio</v>
      </c>
      <c r="L176" s="200">
        <f t="shared" ca="1" si="33"/>
        <v>0</v>
      </c>
      <c r="M176" s="40">
        <f t="shared" ca="1" si="24"/>
        <v>2255.2854533867467</v>
      </c>
      <c r="N176" s="40">
        <f t="shared" ca="1" si="25"/>
        <v>2367.061036042689</v>
      </c>
      <c r="O176" s="40"/>
      <c r="P176" s="20">
        <f t="shared" ca="1" si="26"/>
        <v>834.89136490250701</v>
      </c>
      <c r="Q176" s="1">
        <f t="shared" si="27"/>
        <v>4697</v>
      </c>
      <c r="R176" s="171">
        <f>IF(AND($J$2&gt;=DATEVALUE("03/04/2020"),$J$2&lt;=DATEVALUE("25/11/2020")),0,IF(Resumo!$C$19="PF",IF(Q176&lt;360,0.0082%*Q176,3%),IF(Q176&lt;360,0.0041%*Q176,1.5%)))</f>
        <v>1.4999999999999999E-2</v>
      </c>
      <c r="S176" s="172">
        <f t="shared" ca="1" si="28"/>
        <v>12.523370473537605</v>
      </c>
      <c r="W176" s="216">
        <f t="shared" ca="1" si="34"/>
        <v>2255.2854533867467</v>
      </c>
    </row>
    <row r="177" spans="2:23">
      <c r="B177" s="37">
        <f t="shared" si="29"/>
        <v>155</v>
      </c>
      <c r="C177" s="163">
        <f t="shared" si="30"/>
        <v>49475</v>
      </c>
      <c r="D177" s="38">
        <f t="shared" ca="1" si="31"/>
        <v>558.34277690860677</v>
      </c>
      <c r="E177" s="38">
        <f t="shared" ca="1" si="35"/>
        <v>1696.9426764781399</v>
      </c>
      <c r="F177" s="38">
        <f ca="1">IF(B177&lt;=$D$16,F176*(1+$D$13)^((C177-C176)/_xlfn.DAYS(EDATE(C176,1),C176)),F176-D177)+IF(B177&lt;=$D$16,F176*Resumo!$F$12,0)+IF(B177&lt;=$D$16,$D$15*Resumo!$F$13,0)+IF(B177&lt;=$D$16,25,0)-IF(AND($D$16&gt;3,B177&lt;=$D$16),J177,0)</f>
        <v>248992.05082281787</v>
      </c>
      <c r="G177" s="38">
        <f ca="1">IF(AND(B177&lt;&gt;"",K177&lt;&gt;$D$17,$D$16&gt;3),F177*Resumo!$F$12,IF(AND(B177&lt;&gt;"",K177&lt;&gt;$D$17,B177&gt;$D$16),F177*Resumo!$F$12,0))</f>
        <v>52.288330672791751</v>
      </c>
      <c r="H177" s="38">
        <f>IF(AND(B177&lt;&gt;"",K177&lt;&gt;$D$17,$D$16&gt;3,$B177&lt;=$D$16),$D$15*Resumo!$F$13,IF(AND(B177&lt;&gt;"",K177&lt;&gt;$D$17,B177&gt;$D$16),$D$15*Resumo!$F$13,0))</f>
        <v>34.369999999999997</v>
      </c>
      <c r="I177" s="38">
        <f>IF(AND(B177&lt;&gt;"",K177&lt;&gt;$D$17,$D$16&gt;3,$B177&lt;=$D$16),Resumo!$F$11,IF(AND(B177&lt;&gt;"",K177&lt;&gt;$D$17,B177&gt;$D$16),Resumo!$F$11,0))</f>
        <v>25</v>
      </c>
      <c r="J177" s="38">
        <f t="shared" ca="1" si="32"/>
        <v>2366.9437840595383</v>
      </c>
      <c r="K177" s="39" t="str">
        <f>IF(B177&lt;&gt;"",VLOOKUP(MONTH(C177),Sheet2!$F$1:$G$12,2,0),"")</f>
        <v>Junho</v>
      </c>
      <c r="L177" s="200">
        <f t="shared" ca="1" si="33"/>
        <v>0</v>
      </c>
      <c r="M177" s="40">
        <f t="shared" ca="1" si="24"/>
        <v>2255.2854533867467</v>
      </c>
      <c r="N177" s="40">
        <f t="shared" ca="1" si="25"/>
        <v>2366.9437840595383</v>
      </c>
      <c r="O177" s="40"/>
      <c r="P177" s="20">
        <f t="shared" ca="1" si="26"/>
        <v>834.89136490250701</v>
      </c>
      <c r="Q177" s="1">
        <f t="shared" si="27"/>
        <v>4728</v>
      </c>
      <c r="R177" s="171">
        <f>IF(AND($J$2&gt;=DATEVALUE("03/04/2020"),$J$2&lt;=DATEVALUE("25/11/2020")),0,IF(Resumo!$C$19="PF",IF(Q177&lt;360,0.0082%*Q177,3%),IF(Q177&lt;360,0.0041%*Q177,1.5%)))</f>
        <v>1.4999999999999999E-2</v>
      </c>
      <c r="S177" s="172">
        <f t="shared" ca="1" si="28"/>
        <v>12.523370473537605</v>
      </c>
      <c r="W177" s="216">
        <f t="shared" ca="1" si="34"/>
        <v>2255.2854533867467</v>
      </c>
    </row>
    <row r="178" spans="2:23">
      <c r="B178" s="41">
        <f t="shared" si="29"/>
        <v>156</v>
      </c>
      <c r="C178" s="164">
        <f t="shared" si="30"/>
        <v>49505</v>
      </c>
      <c r="D178" s="42">
        <f t="shared" ca="1" si="31"/>
        <v>562.13950779158517</v>
      </c>
      <c r="E178" s="42">
        <f t="shared" ca="1" si="35"/>
        <v>1693.1459455951615</v>
      </c>
      <c r="F178" s="42">
        <f ca="1">IF(B178&lt;=$D$16,F177*(1+$D$13)^((C178-C177)/_xlfn.DAYS(EDATE(C177,1),C177)),F177-D178)+IF(B178&lt;=$D$16,F177*Resumo!$F$12,0)+IF(B178&lt;=$D$16,$D$15*Resumo!$F$13,0)+IF(B178&lt;=$D$16,25,0)-IF(AND($D$16&gt;3,B178&lt;=$D$16),J178,0)</f>
        <v>248429.91131502629</v>
      </c>
      <c r="G178" s="42">
        <f ca="1">IF(AND(B178&lt;&gt;"",K178&lt;&gt;$D$17,$D$16&gt;3),F178*Resumo!$F$12,IF(AND(B178&lt;&gt;"",K178&lt;&gt;$D$17,B178&gt;$D$16),F178*Resumo!$F$12,0))</f>
        <v>52.170281376155522</v>
      </c>
      <c r="H178" s="42">
        <f>IF(AND(B178&lt;&gt;"",K178&lt;&gt;$D$17,$D$16&gt;3,$B178&lt;=$D$16),$D$15*Resumo!$F$13,IF(AND(B178&lt;&gt;"",K178&lt;&gt;$D$17,B178&gt;$D$16),$D$15*Resumo!$F$13,0))</f>
        <v>34.369999999999997</v>
      </c>
      <c r="I178" s="42">
        <f>IF(AND(B178&lt;&gt;"",K178&lt;&gt;$D$17,$D$16&gt;3,$B178&lt;=$D$16),Resumo!$F$11,IF(AND(B178&lt;&gt;"",K178&lt;&gt;$D$17,B178&gt;$D$16),Resumo!$F$11,0))</f>
        <v>25</v>
      </c>
      <c r="J178" s="42">
        <f t="shared" ca="1" si="32"/>
        <v>2366.8257347629019</v>
      </c>
      <c r="K178" s="39" t="str">
        <f>IF(B178&lt;&gt;"",VLOOKUP(MONTH(C178),Sheet2!$F$1:$G$12,2,0),"")</f>
        <v>Julho</v>
      </c>
      <c r="L178" s="200">
        <f t="shared" ca="1" si="33"/>
        <v>0</v>
      </c>
      <c r="M178" s="40">
        <f t="shared" ca="1" si="24"/>
        <v>2255.2854533867467</v>
      </c>
      <c r="N178" s="40">
        <f t="shared" ca="1" si="25"/>
        <v>2366.8257347629019</v>
      </c>
      <c r="O178" s="40"/>
      <c r="P178" s="20">
        <f t="shared" ca="1" si="26"/>
        <v>834.89136490250701</v>
      </c>
      <c r="Q178" s="1">
        <f t="shared" si="27"/>
        <v>4758</v>
      </c>
      <c r="R178" s="171">
        <f>IF(AND($J$2&gt;=DATEVALUE("03/04/2020"),$J$2&lt;=DATEVALUE("25/11/2020")),0,IF(Resumo!$C$19="PF",IF(Q178&lt;360,0.0082%*Q178,3%),IF(Q178&lt;360,0.0041%*Q178,1.5%)))</f>
        <v>1.4999999999999999E-2</v>
      </c>
      <c r="S178" s="172">
        <f t="shared" ca="1" si="28"/>
        <v>12.523370473537605</v>
      </c>
      <c r="W178" s="216">
        <f t="shared" ca="1" si="34"/>
        <v>2255.2854533867467</v>
      </c>
    </row>
    <row r="179" spans="2:23">
      <c r="B179" s="37">
        <f t="shared" si="29"/>
        <v>157</v>
      </c>
      <c r="C179" s="163">
        <f t="shared" si="30"/>
        <v>49536</v>
      </c>
      <c r="D179" s="38">
        <f t="shared" ca="1" si="31"/>
        <v>565.96205644456791</v>
      </c>
      <c r="E179" s="38">
        <f t="shared" ca="1" si="35"/>
        <v>1689.3233969421788</v>
      </c>
      <c r="F179" s="38">
        <f ca="1">IF(B179&lt;=$D$16,F178*(1+$D$13)^((C179-C178)/_xlfn.DAYS(EDATE(C178,1),C178)),F178-D179)+IF(B179&lt;=$D$16,F178*Resumo!$F$12,0)+IF(B179&lt;=$D$16,$D$15*Resumo!$F$13,0)+IF(B179&lt;=$D$16,25,0)-IF(AND($D$16&gt;3,B179&lt;=$D$16),J179,0)</f>
        <v>247863.94925858171</v>
      </c>
      <c r="G179" s="38">
        <f ca="1">IF(AND(B179&lt;&gt;"",K179&lt;&gt;$D$17,$D$16&gt;3),F179*Resumo!$F$12,IF(AND(B179&lt;&gt;"",K179&lt;&gt;$D$17,B179&gt;$D$16),F179*Resumo!$F$12,0))</f>
        <v>52.051429344302157</v>
      </c>
      <c r="H179" s="38">
        <f>IF(AND(B179&lt;&gt;"",K179&lt;&gt;$D$17,$D$16&gt;3,$B179&lt;=$D$16),$D$15*Resumo!$F$13,IF(AND(B179&lt;&gt;"",K179&lt;&gt;$D$17,B179&gt;$D$16),$D$15*Resumo!$F$13,0))</f>
        <v>34.369999999999997</v>
      </c>
      <c r="I179" s="38">
        <f>IF(AND(B179&lt;&gt;"",K179&lt;&gt;$D$17,$D$16&gt;3,$B179&lt;=$D$16),Resumo!$F$11,IF(AND(B179&lt;&gt;"",K179&lt;&gt;$D$17,B179&gt;$D$16),Resumo!$F$11,0))</f>
        <v>25</v>
      </c>
      <c r="J179" s="38">
        <f t="shared" ca="1" si="32"/>
        <v>2366.7068827310486</v>
      </c>
      <c r="K179" s="39" t="str">
        <f>IF(B179&lt;&gt;"",VLOOKUP(MONTH(C179),Sheet2!$F$1:$G$12,2,0),"")</f>
        <v>Agosto</v>
      </c>
      <c r="L179" s="200">
        <f t="shared" ca="1" si="33"/>
        <v>0</v>
      </c>
      <c r="M179" s="40">
        <f t="shared" ca="1" si="24"/>
        <v>2255.2854533867467</v>
      </c>
      <c r="N179" s="40">
        <f t="shared" ca="1" si="25"/>
        <v>2366.7068827310486</v>
      </c>
      <c r="O179" s="40"/>
      <c r="P179" s="20">
        <f t="shared" ca="1" si="26"/>
        <v>834.89136490250701</v>
      </c>
      <c r="Q179" s="1">
        <f t="shared" si="27"/>
        <v>4789</v>
      </c>
      <c r="R179" s="171">
        <f>IF(AND($J$2&gt;=DATEVALUE("03/04/2020"),$J$2&lt;=DATEVALUE("25/11/2020")),0,IF(Resumo!$C$19="PF",IF(Q179&lt;360,0.0082%*Q179,3%),IF(Q179&lt;360,0.0041%*Q179,1.5%)))</f>
        <v>1.4999999999999999E-2</v>
      </c>
      <c r="S179" s="172">
        <f t="shared" ca="1" si="28"/>
        <v>12.523370473537605</v>
      </c>
      <c r="W179" s="216">
        <f t="shared" ca="1" si="34"/>
        <v>2255.2854533867467</v>
      </c>
    </row>
    <row r="180" spans="2:23">
      <c r="B180" s="41">
        <f t="shared" si="29"/>
        <v>158</v>
      </c>
      <c r="C180" s="164">
        <f t="shared" si="30"/>
        <v>49567</v>
      </c>
      <c r="D180" s="42">
        <f t="shared" ca="1" si="31"/>
        <v>569.81059842839113</v>
      </c>
      <c r="E180" s="42">
        <f t="shared" ca="1" si="35"/>
        <v>1685.4748549583555</v>
      </c>
      <c r="F180" s="42">
        <f ca="1">IF(B180&lt;=$D$16,F179*(1+$D$13)^((C180-C179)/_xlfn.DAYS(EDATE(C179,1),C179)),F179-D180)+IF(B180&lt;=$D$16,F179*Resumo!$F$12,0)+IF(B180&lt;=$D$16,$D$15*Resumo!$F$13,0)+IF(B180&lt;=$D$16,25,0)-IF(AND($D$16&gt;3,B180&lt;=$D$16),J180,0)</f>
        <v>247294.13866015332</v>
      </c>
      <c r="G180" s="42">
        <f ca="1">IF(AND(B180&lt;&gt;"",K180&lt;&gt;$D$17,$D$16&gt;3),F180*Resumo!$F$12,IF(AND(B180&lt;&gt;"",K180&lt;&gt;$D$17,B180&gt;$D$16),F180*Resumo!$F$12,0))</f>
        <v>51.931769118632197</v>
      </c>
      <c r="H180" s="42">
        <f>IF(AND(B180&lt;&gt;"",K180&lt;&gt;$D$17,$D$16&gt;3,$B180&lt;=$D$16),$D$15*Resumo!$F$13,IF(AND(B180&lt;&gt;"",K180&lt;&gt;$D$17,B180&gt;$D$16),$D$15*Resumo!$F$13,0))</f>
        <v>34.369999999999997</v>
      </c>
      <c r="I180" s="42">
        <f>IF(AND(B180&lt;&gt;"",K180&lt;&gt;$D$17,$D$16&gt;3,$B180&lt;=$D$16),Resumo!$F$11,IF(AND(B180&lt;&gt;"",K180&lt;&gt;$D$17,B180&gt;$D$16),Resumo!$F$11,0))</f>
        <v>25</v>
      </c>
      <c r="J180" s="42">
        <f t="shared" ca="1" si="32"/>
        <v>2366.5872225053786</v>
      </c>
      <c r="K180" s="39" t="str">
        <f>IF(B180&lt;&gt;"",VLOOKUP(MONTH(C180),Sheet2!$F$1:$G$12,2,0),"")</f>
        <v>Setembro</v>
      </c>
      <c r="L180" s="200">
        <f t="shared" ca="1" si="33"/>
        <v>0</v>
      </c>
      <c r="M180" s="40">
        <f t="shared" ca="1" si="24"/>
        <v>2255.2854533867467</v>
      </c>
      <c r="N180" s="40">
        <f t="shared" ca="1" si="25"/>
        <v>2366.5872225053786</v>
      </c>
      <c r="O180" s="40"/>
      <c r="P180" s="20">
        <f t="shared" ca="1" si="26"/>
        <v>834.89136490250701</v>
      </c>
      <c r="Q180" s="1">
        <f t="shared" si="27"/>
        <v>4820</v>
      </c>
      <c r="R180" s="171">
        <f>IF(AND($J$2&gt;=DATEVALUE("03/04/2020"),$J$2&lt;=DATEVALUE("25/11/2020")),0,IF(Resumo!$C$19="PF",IF(Q180&lt;360,0.0082%*Q180,3%),IF(Q180&lt;360,0.0041%*Q180,1.5%)))</f>
        <v>1.4999999999999999E-2</v>
      </c>
      <c r="S180" s="172">
        <f t="shared" ca="1" si="28"/>
        <v>12.523370473537605</v>
      </c>
      <c r="W180" s="216">
        <f t="shared" ca="1" si="34"/>
        <v>2255.2854533867467</v>
      </c>
    </row>
    <row r="181" spans="2:23">
      <c r="B181" s="37">
        <f t="shared" si="29"/>
        <v>159</v>
      </c>
      <c r="C181" s="163">
        <f t="shared" si="30"/>
        <v>49597</v>
      </c>
      <c r="D181" s="38">
        <f t="shared" ca="1" si="31"/>
        <v>573.68531049770422</v>
      </c>
      <c r="E181" s="38">
        <f t="shared" ca="1" si="35"/>
        <v>1681.6001428890424</v>
      </c>
      <c r="F181" s="38">
        <f ca="1">IF(B181&lt;=$D$16,F180*(1+$D$13)^((C181-C180)/_xlfn.DAYS(EDATE(C180,1),C180)),F180-D181)+IF(B181&lt;=$D$16,F180*Resumo!$F$12,0)+IF(B181&lt;=$D$16,$D$15*Resumo!$F$13,0)+IF(B181&lt;=$D$16,25,0)-IF(AND($D$16&gt;3,B181&lt;=$D$16),J181,0)</f>
        <v>246720.45334965561</v>
      </c>
      <c r="G181" s="38">
        <f ca="1">IF(AND(B181&lt;&gt;"",K181&lt;&gt;$D$17,$D$16&gt;3),F181*Resumo!$F$12,IF(AND(B181&lt;&gt;"",K181&lt;&gt;$D$17,B181&gt;$D$16),F181*Resumo!$F$12,0))</f>
        <v>51.811295203427683</v>
      </c>
      <c r="H181" s="38">
        <f>IF(AND(B181&lt;&gt;"",K181&lt;&gt;$D$17,$D$16&gt;3,$B181&lt;=$D$16),$D$15*Resumo!$F$13,IF(AND(B181&lt;&gt;"",K181&lt;&gt;$D$17,B181&gt;$D$16),$D$15*Resumo!$F$13,0))</f>
        <v>34.369999999999997</v>
      </c>
      <c r="I181" s="38">
        <f>IF(AND(B181&lt;&gt;"",K181&lt;&gt;$D$17,$D$16&gt;3,$B181&lt;=$D$16),Resumo!$F$11,IF(AND(B181&lt;&gt;"",K181&lt;&gt;$D$17,B181&gt;$D$16),Resumo!$F$11,0))</f>
        <v>25</v>
      </c>
      <c r="J181" s="38">
        <f t="shared" ca="1" si="32"/>
        <v>2366.4667485901741</v>
      </c>
      <c r="K181" s="39" t="str">
        <f>IF(B181&lt;&gt;"",VLOOKUP(MONTH(C181),Sheet2!$F$1:$G$12,2,0),"")</f>
        <v>Outubro</v>
      </c>
      <c r="L181" s="200">
        <f t="shared" ca="1" si="33"/>
        <v>0</v>
      </c>
      <c r="M181" s="40">
        <f t="shared" ca="1" si="24"/>
        <v>2255.2854533867467</v>
      </c>
      <c r="N181" s="40">
        <f t="shared" ca="1" si="25"/>
        <v>2366.4667485901741</v>
      </c>
      <c r="O181" s="40"/>
      <c r="P181" s="20">
        <f t="shared" ca="1" si="26"/>
        <v>834.89136490250701</v>
      </c>
      <c r="Q181" s="1">
        <f t="shared" si="27"/>
        <v>4850</v>
      </c>
      <c r="R181" s="171">
        <f>IF(AND($J$2&gt;=DATEVALUE("03/04/2020"),$J$2&lt;=DATEVALUE("25/11/2020")),0,IF(Resumo!$C$19="PF",IF(Q181&lt;360,0.0082%*Q181,3%),IF(Q181&lt;360,0.0041%*Q181,1.5%)))</f>
        <v>1.4999999999999999E-2</v>
      </c>
      <c r="S181" s="172">
        <f t="shared" ca="1" si="28"/>
        <v>12.523370473537605</v>
      </c>
      <c r="W181" s="216">
        <f t="shared" ca="1" si="34"/>
        <v>2255.2854533867467</v>
      </c>
    </row>
    <row r="182" spans="2:23">
      <c r="B182" s="41">
        <f t="shared" si="29"/>
        <v>160</v>
      </c>
      <c r="C182" s="164">
        <f t="shared" si="30"/>
        <v>49628</v>
      </c>
      <c r="D182" s="42">
        <f t="shared" ca="1" si="31"/>
        <v>577.58637060908859</v>
      </c>
      <c r="E182" s="42">
        <f t="shared" ca="1" si="35"/>
        <v>1677.6990827776581</v>
      </c>
      <c r="F182" s="42">
        <f ca="1">IF(B182&lt;=$D$16,F181*(1+$D$13)^((C182-C181)/_xlfn.DAYS(EDATE(C181,1),C181)),F181-D182)+IF(B182&lt;=$D$16,F181*Resumo!$F$12,0)+IF(B182&lt;=$D$16,$D$15*Resumo!$F$13,0)+IF(B182&lt;=$D$16,25,0)-IF(AND($D$16&gt;3,B182&lt;=$D$16),J182,0)</f>
        <v>246142.86697904652</v>
      </c>
      <c r="G182" s="42">
        <f ca="1">IF(AND(B182&lt;&gt;"",K182&lt;&gt;$D$17,$D$16&gt;3),F182*Resumo!$F$12,IF(AND(B182&lt;&gt;"",K182&lt;&gt;$D$17,B182&gt;$D$16),F182*Resumo!$F$12,0))</f>
        <v>51.690002065599771</v>
      </c>
      <c r="H182" s="42">
        <f>IF(AND(B182&lt;&gt;"",K182&lt;&gt;$D$17,$D$16&gt;3,$B182&lt;=$D$16),$D$15*Resumo!$F$13,IF(AND(B182&lt;&gt;"",K182&lt;&gt;$D$17,B182&gt;$D$16),$D$15*Resumo!$F$13,0))</f>
        <v>34.369999999999997</v>
      </c>
      <c r="I182" s="42">
        <f>IF(AND(B182&lt;&gt;"",K182&lt;&gt;$D$17,$D$16&gt;3,$B182&lt;=$D$16),Resumo!$F$11,IF(AND(B182&lt;&gt;"",K182&lt;&gt;$D$17,B182&gt;$D$16),Resumo!$F$11,0))</f>
        <v>25</v>
      </c>
      <c r="J182" s="42">
        <f t="shared" ca="1" si="32"/>
        <v>2366.3454554523464</v>
      </c>
      <c r="K182" s="39" t="str">
        <f>IF(B182&lt;&gt;"",VLOOKUP(MONTH(C182),Sheet2!$F$1:$G$12,2,0),"")</f>
        <v>Novembro</v>
      </c>
      <c r="L182" s="200">
        <f t="shared" ca="1" si="33"/>
        <v>0</v>
      </c>
      <c r="M182" s="40">
        <f t="shared" ca="1" si="24"/>
        <v>2255.2854533867467</v>
      </c>
      <c r="N182" s="40">
        <f t="shared" ca="1" si="25"/>
        <v>2366.3454554523464</v>
      </c>
      <c r="O182" s="40"/>
      <c r="P182" s="20">
        <f t="shared" ca="1" si="26"/>
        <v>834.89136490250701</v>
      </c>
      <c r="Q182" s="1">
        <f t="shared" si="27"/>
        <v>4881</v>
      </c>
      <c r="R182" s="171">
        <f>IF(AND($J$2&gt;=DATEVALUE("03/04/2020"),$J$2&lt;=DATEVALUE("25/11/2020")),0,IF(Resumo!$C$19="PF",IF(Q182&lt;360,0.0082%*Q182,3%),IF(Q182&lt;360,0.0041%*Q182,1.5%)))</f>
        <v>1.4999999999999999E-2</v>
      </c>
      <c r="S182" s="172">
        <f t="shared" ca="1" si="28"/>
        <v>12.523370473537605</v>
      </c>
      <c r="W182" s="216">
        <f t="shared" ca="1" si="34"/>
        <v>2255.2854533867467</v>
      </c>
    </row>
    <row r="183" spans="2:23">
      <c r="B183" s="37">
        <f t="shared" si="29"/>
        <v>161</v>
      </c>
      <c r="C183" s="163">
        <f t="shared" si="30"/>
        <v>49658</v>
      </c>
      <c r="D183" s="38">
        <f t="shared" ca="1" si="31"/>
        <v>581.5139579292304</v>
      </c>
      <c r="E183" s="38">
        <f t="shared" ca="1" si="35"/>
        <v>1673.7714954575163</v>
      </c>
      <c r="F183" s="38">
        <f ca="1">IF(B183&lt;=$D$16,F182*(1+$D$13)^((C183-C182)/_xlfn.DAYS(EDATE(C182,1),C182)),F182-D183)+IF(B183&lt;=$D$16,F182*Resumo!$F$12,0)+IF(B183&lt;=$D$16,$D$15*Resumo!$F$13,0)+IF(B183&lt;=$D$16,25,0)-IF(AND($D$16&gt;3,B183&lt;=$D$16),J183,0)</f>
        <v>245561.35302111728</v>
      </c>
      <c r="G183" s="38">
        <f ca="1">IF(AND(B183&lt;&gt;"",K183&lt;&gt;$D$17,$D$16&gt;3),F183*Resumo!$F$12,IF(AND(B183&lt;&gt;"",K183&lt;&gt;$D$17,B183&gt;$D$16),F183*Resumo!$F$12,0))</f>
        <v>51.567884134434628</v>
      </c>
      <c r="H183" s="38">
        <f>IF(AND(B183&lt;&gt;"",K183&lt;&gt;$D$17,$D$16&gt;3,$B183&lt;=$D$16),$D$15*Resumo!$F$13,IF(AND(B183&lt;&gt;"",K183&lt;&gt;$D$17,B183&gt;$D$16),$D$15*Resumo!$F$13,0))</f>
        <v>34.369999999999997</v>
      </c>
      <c r="I183" s="38">
        <f>IF(AND(B183&lt;&gt;"",K183&lt;&gt;$D$17,$D$16&gt;3,$B183&lt;=$D$16),Resumo!$F$11,IF(AND(B183&lt;&gt;"",K183&lt;&gt;$D$17,B183&gt;$D$16),Resumo!$F$11,0))</f>
        <v>25</v>
      </c>
      <c r="J183" s="38">
        <f t="shared" ca="1" si="32"/>
        <v>2366.2233375211813</v>
      </c>
      <c r="K183" s="39" t="str">
        <f>IF(B183&lt;&gt;"",VLOOKUP(MONTH(C183),Sheet2!$F$1:$G$12,2,0),"")</f>
        <v>Dezembro</v>
      </c>
      <c r="L183" s="200">
        <f t="shared" ca="1" si="33"/>
        <v>0</v>
      </c>
      <c r="M183" s="40">
        <f t="shared" ca="1" si="24"/>
        <v>2255.2854533867467</v>
      </c>
      <c r="N183" s="40">
        <f t="shared" ca="1" si="25"/>
        <v>2366.2233375211813</v>
      </c>
      <c r="O183" s="40"/>
      <c r="P183" s="20">
        <f t="shared" ca="1" si="26"/>
        <v>834.89136490250701</v>
      </c>
      <c r="Q183" s="1">
        <f t="shared" si="27"/>
        <v>4911</v>
      </c>
      <c r="R183" s="171">
        <f>IF(AND($J$2&gt;=DATEVALUE("03/04/2020"),$J$2&lt;=DATEVALUE("25/11/2020")),0,IF(Resumo!$C$19="PF",IF(Q183&lt;360,0.0082%*Q183,3%),IF(Q183&lt;360,0.0041%*Q183,1.5%)))</f>
        <v>1.4999999999999999E-2</v>
      </c>
      <c r="S183" s="172">
        <f t="shared" ca="1" si="28"/>
        <v>12.523370473537605</v>
      </c>
      <c r="W183" s="216">
        <f t="shared" ca="1" si="34"/>
        <v>2255.2854533867467</v>
      </c>
    </row>
    <row r="184" spans="2:23">
      <c r="B184" s="41">
        <f t="shared" si="29"/>
        <v>162</v>
      </c>
      <c r="C184" s="164">
        <f t="shared" si="30"/>
        <v>49689</v>
      </c>
      <c r="D184" s="42">
        <f t="shared" ca="1" si="31"/>
        <v>585.46825284314923</v>
      </c>
      <c r="E184" s="42">
        <f t="shared" ca="1" si="35"/>
        <v>1669.8172005435974</v>
      </c>
      <c r="F184" s="42">
        <f ca="1">IF(B184&lt;=$D$16,F183*(1+$D$13)^((C184-C183)/_xlfn.DAYS(EDATE(C183,1),C183)),F183-D184)+IF(B184&lt;=$D$16,F183*Resumo!$F$12,0)+IF(B184&lt;=$D$16,$D$15*Resumo!$F$13,0)+IF(B184&lt;=$D$16,25,0)-IF(AND($D$16&gt;3,B184&lt;=$D$16),J184,0)</f>
        <v>244975.88476827412</v>
      </c>
      <c r="G184" s="42">
        <f ca="1">IF(AND(B184&lt;&gt;"",K184&lt;&gt;$D$17,$D$16&gt;3),F184*Resumo!$F$12,IF(AND(B184&lt;&gt;"",K184&lt;&gt;$D$17,B184&gt;$D$16),F184*Resumo!$F$12,0))</f>
        <v>51.444935801337564</v>
      </c>
      <c r="H184" s="42">
        <f>IF(AND(B184&lt;&gt;"",K184&lt;&gt;$D$17,$D$16&gt;3,$B184&lt;=$D$16),$D$15*Resumo!$F$13,IF(AND(B184&lt;&gt;"",K184&lt;&gt;$D$17,B184&gt;$D$16),$D$15*Resumo!$F$13,0))</f>
        <v>34.369999999999997</v>
      </c>
      <c r="I184" s="42">
        <f>IF(AND(B184&lt;&gt;"",K184&lt;&gt;$D$17,$D$16&gt;3,$B184&lt;=$D$16),Resumo!$F$11,IF(AND(B184&lt;&gt;"",K184&lt;&gt;$D$17,B184&gt;$D$16),Resumo!$F$11,0))</f>
        <v>25</v>
      </c>
      <c r="J184" s="42">
        <f t="shared" ca="1" si="32"/>
        <v>2366.1003891880841</v>
      </c>
      <c r="K184" s="39" t="str">
        <f>IF(B184&lt;&gt;"",VLOOKUP(MONTH(C184),Sheet2!$F$1:$G$12,2,0),"")</f>
        <v>Janeiro</v>
      </c>
      <c r="L184" s="200">
        <f t="shared" ca="1" si="33"/>
        <v>0</v>
      </c>
      <c r="M184" s="40">
        <f t="shared" ca="1" si="24"/>
        <v>2255.2854533867467</v>
      </c>
      <c r="N184" s="40">
        <f t="shared" ca="1" si="25"/>
        <v>2366.1003891880841</v>
      </c>
      <c r="O184" s="40"/>
      <c r="P184" s="20">
        <f t="shared" ca="1" si="26"/>
        <v>834.89136490250701</v>
      </c>
      <c r="Q184" s="1">
        <f t="shared" si="27"/>
        <v>4942</v>
      </c>
      <c r="R184" s="171">
        <f>IF(AND($J$2&gt;=DATEVALUE("03/04/2020"),$J$2&lt;=DATEVALUE("25/11/2020")),0,IF(Resumo!$C$19="PF",IF(Q184&lt;360,0.0082%*Q184,3%),IF(Q184&lt;360,0.0041%*Q184,1.5%)))</f>
        <v>1.4999999999999999E-2</v>
      </c>
      <c r="S184" s="172">
        <f t="shared" ca="1" si="28"/>
        <v>12.523370473537605</v>
      </c>
      <c r="W184" s="216">
        <f t="shared" ca="1" si="34"/>
        <v>2255.2854533867467</v>
      </c>
    </row>
    <row r="185" spans="2:23">
      <c r="B185" s="37">
        <f t="shared" si="29"/>
        <v>163</v>
      </c>
      <c r="C185" s="163">
        <f t="shared" si="30"/>
        <v>49720</v>
      </c>
      <c r="D185" s="38">
        <f t="shared" ca="1" si="31"/>
        <v>589.44943696248265</v>
      </c>
      <c r="E185" s="38">
        <f t="shared" ca="1" si="35"/>
        <v>1665.836016424264</v>
      </c>
      <c r="F185" s="38">
        <f ca="1">IF(B185&lt;=$D$16,F184*(1+$D$13)^((C185-C184)/_xlfn.DAYS(EDATE(C184,1),C184)),F184-D185)+IF(B185&lt;=$D$16,F184*Resumo!$F$12,0)+IF(B185&lt;=$D$16,$D$15*Resumo!$F$13,0)+IF(B185&lt;=$D$16,25,0)-IF(AND($D$16&gt;3,B185&lt;=$D$16),J185,0)</f>
        <v>244386.43533131163</v>
      </c>
      <c r="G185" s="38">
        <f ca="1">IF(AND(B185&lt;&gt;"",K185&lt;&gt;$D$17,$D$16&gt;3),F185*Resumo!$F$12,IF(AND(B185&lt;&gt;"",K185&lt;&gt;$D$17,B185&gt;$D$16),F185*Resumo!$F$12,0))</f>
        <v>51.321151419575443</v>
      </c>
      <c r="H185" s="38">
        <f>IF(AND(B185&lt;&gt;"",K185&lt;&gt;$D$17,$D$16&gt;3,$B185&lt;=$D$16),$D$15*Resumo!$F$13,IF(AND(B185&lt;&gt;"",K185&lt;&gt;$D$17,B185&gt;$D$16),$D$15*Resumo!$F$13,0))</f>
        <v>34.369999999999997</v>
      </c>
      <c r="I185" s="38">
        <f>IF(AND(B185&lt;&gt;"",K185&lt;&gt;$D$17,$D$16&gt;3,$B185&lt;=$D$16),Resumo!$F$11,IF(AND(B185&lt;&gt;"",K185&lt;&gt;$D$17,B185&gt;$D$16),Resumo!$F$11,0))</f>
        <v>25</v>
      </c>
      <c r="J185" s="38">
        <f t="shared" ca="1" si="32"/>
        <v>2365.976604806322</v>
      </c>
      <c r="K185" s="39" t="str">
        <f>IF(B185&lt;&gt;"",VLOOKUP(MONTH(C185),Sheet2!$F$1:$G$12,2,0),"")</f>
        <v>Fevereiro</v>
      </c>
      <c r="L185" s="200">
        <f t="shared" ca="1" si="33"/>
        <v>0</v>
      </c>
      <c r="M185" s="40">
        <f t="shared" ca="1" si="24"/>
        <v>2255.2854533867467</v>
      </c>
      <c r="N185" s="40">
        <f t="shared" ca="1" si="25"/>
        <v>2365.976604806322</v>
      </c>
      <c r="O185" s="40"/>
      <c r="P185" s="20">
        <f t="shared" ca="1" si="26"/>
        <v>834.89136490250701</v>
      </c>
      <c r="Q185" s="1">
        <f t="shared" si="27"/>
        <v>4973</v>
      </c>
      <c r="R185" s="171">
        <f>IF(AND($J$2&gt;=DATEVALUE("03/04/2020"),$J$2&lt;=DATEVALUE("25/11/2020")),0,IF(Resumo!$C$19="PF",IF(Q185&lt;360,0.0082%*Q185,3%),IF(Q185&lt;360,0.0041%*Q185,1.5%)))</f>
        <v>1.4999999999999999E-2</v>
      </c>
      <c r="S185" s="172">
        <f t="shared" ca="1" si="28"/>
        <v>12.523370473537605</v>
      </c>
      <c r="W185" s="216">
        <f t="shared" ca="1" si="34"/>
        <v>2255.2854533867467</v>
      </c>
    </row>
    <row r="186" spans="2:23">
      <c r="B186" s="41">
        <f t="shared" si="29"/>
        <v>164</v>
      </c>
      <c r="C186" s="164">
        <f t="shared" si="30"/>
        <v>49749</v>
      </c>
      <c r="D186" s="42">
        <f t="shared" ca="1" si="31"/>
        <v>593.45769313382766</v>
      </c>
      <c r="E186" s="42">
        <f t="shared" ca="1" si="35"/>
        <v>1661.827760252919</v>
      </c>
      <c r="F186" s="42">
        <f ca="1">IF(B186&lt;=$D$16,F185*(1+$D$13)^((C186-C185)/_xlfn.DAYS(EDATE(C185,1),C185)),F185-D186)+IF(B186&lt;=$D$16,F185*Resumo!$F$12,0)+IF(B186&lt;=$D$16,$D$15*Resumo!$F$13,0)+IF(B186&lt;=$D$16,25,0)-IF(AND($D$16&gt;3,B186&lt;=$D$16),J186,0)</f>
        <v>243792.97763817781</v>
      </c>
      <c r="G186" s="42">
        <f ca="1">IF(AND(B186&lt;&gt;"",K186&lt;&gt;$D$17,$D$16&gt;3),F186*Resumo!$F$12,IF(AND(B186&lt;&gt;"",K186&lt;&gt;$D$17,B186&gt;$D$16),F186*Resumo!$F$12,0))</f>
        <v>51.196525304017342</v>
      </c>
      <c r="H186" s="42">
        <f>IF(AND(B186&lt;&gt;"",K186&lt;&gt;$D$17,$D$16&gt;3,$B186&lt;=$D$16),$D$15*Resumo!$F$13,IF(AND(B186&lt;&gt;"",K186&lt;&gt;$D$17,B186&gt;$D$16),$D$15*Resumo!$F$13,0))</f>
        <v>34.369999999999997</v>
      </c>
      <c r="I186" s="42">
        <f>IF(AND(B186&lt;&gt;"",K186&lt;&gt;$D$17,$D$16&gt;3,$B186&lt;=$D$16),Resumo!$F$11,IF(AND(B186&lt;&gt;"",K186&lt;&gt;$D$17,B186&gt;$D$16),Resumo!$F$11,0))</f>
        <v>25</v>
      </c>
      <c r="J186" s="42">
        <f t="shared" ca="1" si="32"/>
        <v>2365.8519786907641</v>
      </c>
      <c r="K186" s="39" t="str">
        <f>IF(B186&lt;&gt;"",VLOOKUP(MONTH(C186),Sheet2!$F$1:$G$12,2,0),"")</f>
        <v>Março</v>
      </c>
      <c r="L186" s="200">
        <f t="shared" ca="1" si="33"/>
        <v>0</v>
      </c>
      <c r="M186" s="40">
        <f t="shared" ca="1" si="24"/>
        <v>2255.2854533867467</v>
      </c>
      <c r="N186" s="40">
        <f t="shared" ca="1" si="25"/>
        <v>2365.8519786907641</v>
      </c>
      <c r="O186" s="40"/>
      <c r="P186" s="20">
        <f t="shared" ca="1" si="26"/>
        <v>834.89136490250701</v>
      </c>
      <c r="Q186" s="1">
        <f t="shared" si="27"/>
        <v>5002</v>
      </c>
      <c r="R186" s="171">
        <f>IF(AND($J$2&gt;=DATEVALUE("03/04/2020"),$J$2&lt;=DATEVALUE("25/11/2020")),0,IF(Resumo!$C$19="PF",IF(Q186&lt;360,0.0082%*Q186,3%),IF(Q186&lt;360,0.0041%*Q186,1.5%)))</f>
        <v>1.4999999999999999E-2</v>
      </c>
      <c r="S186" s="172">
        <f t="shared" ca="1" si="28"/>
        <v>12.523370473537605</v>
      </c>
      <c r="W186" s="216">
        <f t="shared" ca="1" si="34"/>
        <v>2255.2854533867467</v>
      </c>
    </row>
    <row r="187" spans="2:23">
      <c r="B187" s="37">
        <f t="shared" si="29"/>
        <v>165</v>
      </c>
      <c r="C187" s="163">
        <f t="shared" si="30"/>
        <v>49780</v>
      </c>
      <c r="D187" s="38">
        <f t="shared" ca="1" si="31"/>
        <v>597.4932054471376</v>
      </c>
      <c r="E187" s="38">
        <f t="shared" ca="1" si="35"/>
        <v>1657.7922479396091</v>
      </c>
      <c r="F187" s="38">
        <f ca="1">IF(B187&lt;=$D$16,F186*(1+$D$13)^((C187-C186)/_xlfn.DAYS(EDATE(C186,1),C186)),F186-D187)+IF(B187&lt;=$D$16,F186*Resumo!$F$12,0)+IF(B187&lt;=$D$16,$D$15*Resumo!$F$13,0)+IF(B187&lt;=$D$16,25,0)-IF(AND($D$16&gt;3,B187&lt;=$D$16),J187,0)</f>
        <v>243195.48443273068</v>
      </c>
      <c r="G187" s="38">
        <f ca="1">IF(AND(B187&lt;&gt;"",K187&lt;&gt;$D$17,$D$16&gt;3),F187*Resumo!$F$12,IF(AND(B187&lt;&gt;"",K187&lt;&gt;$D$17,B187&gt;$D$16),F187*Resumo!$F$12,0))</f>
        <v>51.071051730873442</v>
      </c>
      <c r="H187" s="38">
        <f>IF(AND(B187&lt;&gt;"",K187&lt;&gt;$D$17,$D$16&gt;3,$B187&lt;=$D$16),$D$15*Resumo!$F$13,IF(AND(B187&lt;&gt;"",K187&lt;&gt;$D$17,B187&gt;$D$16),$D$15*Resumo!$F$13,0))</f>
        <v>34.369999999999997</v>
      </c>
      <c r="I187" s="38">
        <f>IF(AND(B187&lt;&gt;"",K187&lt;&gt;$D$17,$D$16&gt;3,$B187&lt;=$D$16),Resumo!$F$11,IF(AND(B187&lt;&gt;"",K187&lt;&gt;$D$17,B187&gt;$D$16),Resumo!$F$11,0))</f>
        <v>25</v>
      </c>
      <c r="J187" s="38">
        <f t="shared" ca="1" si="32"/>
        <v>2365.72650511762</v>
      </c>
      <c r="K187" s="39" t="str">
        <f>IF(B187&lt;&gt;"",VLOOKUP(MONTH(C187),Sheet2!$F$1:$G$12,2,0),"")</f>
        <v>Abril</v>
      </c>
      <c r="L187" s="200">
        <f t="shared" ca="1" si="33"/>
        <v>0</v>
      </c>
      <c r="M187" s="40">
        <f t="shared" ca="1" si="24"/>
        <v>2255.2854533867467</v>
      </c>
      <c r="N187" s="40">
        <f t="shared" ca="1" si="25"/>
        <v>2365.72650511762</v>
      </c>
      <c r="O187" s="40"/>
      <c r="P187" s="20">
        <f t="shared" ca="1" si="26"/>
        <v>834.89136490250701</v>
      </c>
      <c r="Q187" s="1">
        <f t="shared" si="27"/>
        <v>5033</v>
      </c>
      <c r="R187" s="171">
        <f>IF(AND($J$2&gt;=DATEVALUE("03/04/2020"),$J$2&lt;=DATEVALUE("25/11/2020")),0,IF(Resumo!$C$19="PF",IF(Q187&lt;360,0.0082%*Q187,3%),IF(Q187&lt;360,0.0041%*Q187,1.5%)))</f>
        <v>1.4999999999999999E-2</v>
      </c>
      <c r="S187" s="172">
        <f t="shared" ca="1" si="28"/>
        <v>12.523370473537605</v>
      </c>
      <c r="W187" s="216">
        <f t="shared" ca="1" si="34"/>
        <v>2255.2854533867467</v>
      </c>
    </row>
    <row r="188" spans="2:23">
      <c r="B188" s="41">
        <f t="shared" si="29"/>
        <v>166</v>
      </c>
      <c r="C188" s="164">
        <f t="shared" si="30"/>
        <v>49810</v>
      </c>
      <c r="D188" s="42">
        <f t="shared" ca="1" si="31"/>
        <v>601.55615924417816</v>
      </c>
      <c r="E188" s="42">
        <f t="shared" ca="1" si="35"/>
        <v>1653.7292941425685</v>
      </c>
      <c r="F188" s="42">
        <f ca="1">IF(B188&lt;=$D$16,F187*(1+$D$13)^((C188-C187)/_xlfn.DAYS(EDATE(C187,1),C187)),F187-D188)+IF(B188&lt;=$D$16,F187*Resumo!$F$12,0)+IF(B188&lt;=$D$16,$D$15*Resumo!$F$13,0)+IF(B188&lt;=$D$16,25,0)-IF(AND($D$16&gt;3,B188&lt;=$D$16),J188,0)</f>
        <v>242593.9282734865</v>
      </c>
      <c r="G188" s="42">
        <f ca="1">IF(AND(B188&lt;&gt;"",K188&lt;&gt;$D$17,$D$16&gt;3),F188*Resumo!$F$12,IF(AND(B188&lt;&gt;"",K188&lt;&gt;$D$17,B188&gt;$D$16),F188*Resumo!$F$12,0))</f>
        <v>50.94472493743217</v>
      </c>
      <c r="H188" s="42">
        <f>IF(AND(B188&lt;&gt;"",K188&lt;&gt;$D$17,$D$16&gt;3,$B188&lt;=$D$16),$D$15*Resumo!$F$13,IF(AND(B188&lt;&gt;"",K188&lt;&gt;$D$17,B188&gt;$D$16),$D$15*Resumo!$F$13,0))</f>
        <v>34.369999999999997</v>
      </c>
      <c r="I188" s="42">
        <f>IF(AND(B188&lt;&gt;"",K188&lt;&gt;$D$17,$D$16&gt;3,$B188&lt;=$D$16),Resumo!$F$11,IF(AND(B188&lt;&gt;"",K188&lt;&gt;$D$17,B188&gt;$D$16),Resumo!$F$11,0))</f>
        <v>25</v>
      </c>
      <c r="J188" s="42">
        <f t="shared" ca="1" si="32"/>
        <v>2365.6001783241786</v>
      </c>
      <c r="K188" s="39" t="str">
        <f>IF(B188&lt;&gt;"",VLOOKUP(MONTH(C188),Sheet2!$F$1:$G$12,2,0),"")</f>
        <v>Maio</v>
      </c>
      <c r="L188" s="200">
        <f t="shared" ca="1" si="33"/>
        <v>0</v>
      </c>
      <c r="M188" s="40">
        <f t="shared" ca="1" si="24"/>
        <v>2255.2854533867467</v>
      </c>
      <c r="N188" s="40">
        <f t="shared" ca="1" si="25"/>
        <v>2365.6001783241786</v>
      </c>
      <c r="O188" s="40"/>
      <c r="P188" s="20">
        <f t="shared" ca="1" si="26"/>
        <v>834.89136490250701</v>
      </c>
      <c r="Q188" s="1">
        <f t="shared" si="27"/>
        <v>5063</v>
      </c>
      <c r="R188" s="171">
        <f>IF(AND($J$2&gt;=DATEVALUE("03/04/2020"),$J$2&lt;=DATEVALUE("25/11/2020")),0,IF(Resumo!$C$19="PF",IF(Q188&lt;360,0.0082%*Q188,3%),IF(Q188&lt;360,0.0041%*Q188,1.5%)))</f>
        <v>1.4999999999999999E-2</v>
      </c>
      <c r="S188" s="172">
        <f t="shared" ca="1" si="28"/>
        <v>12.523370473537605</v>
      </c>
      <c r="W188" s="216">
        <f t="shared" ca="1" si="34"/>
        <v>2255.2854533867467</v>
      </c>
    </row>
    <row r="189" spans="2:23">
      <c r="B189" s="37">
        <f t="shared" si="29"/>
        <v>167</v>
      </c>
      <c r="C189" s="163">
        <f t="shared" si="30"/>
        <v>49841</v>
      </c>
      <c r="D189" s="38">
        <f t="shared" ca="1" si="31"/>
        <v>605.64674112703847</v>
      </c>
      <c r="E189" s="38">
        <f t="shared" ca="1" si="35"/>
        <v>1649.6387122597082</v>
      </c>
      <c r="F189" s="38">
        <f ca="1">IF(B189&lt;=$D$16,F188*(1+$D$13)^((C189-C188)/_xlfn.DAYS(EDATE(C188,1),C188)),F188-D189)+IF(B189&lt;=$D$16,F188*Resumo!$F$12,0)+IF(B189&lt;=$D$16,$D$15*Resumo!$F$13,0)+IF(B189&lt;=$D$16,25,0)-IF(AND($D$16&gt;3,B189&lt;=$D$16),J189,0)</f>
        <v>241988.28153235946</v>
      </c>
      <c r="G189" s="38">
        <f ca="1">IF(AND(B189&lt;&gt;"",K189&lt;&gt;$D$17,$D$16&gt;3),F189*Resumo!$F$12,IF(AND(B189&lt;&gt;"",K189&lt;&gt;$D$17,B189&gt;$D$16),F189*Resumo!$F$12,0))</f>
        <v>50.817539121795491</v>
      </c>
      <c r="H189" s="38">
        <f>IF(AND(B189&lt;&gt;"",K189&lt;&gt;$D$17,$D$16&gt;3,$B189&lt;=$D$16),$D$15*Resumo!$F$13,IF(AND(B189&lt;&gt;"",K189&lt;&gt;$D$17,B189&gt;$D$16),$D$15*Resumo!$F$13,0))</f>
        <v>34.369999999999997</v>
      </c>
      <c r="I189" s="38">
        <f>IF(AND(B189&lt;&gt;"",K189&lt;&gt;$D$17,$D$16&gt;3,$B189&lt;=$D$16),Resumo!$F$11,IF(AND(B189&lt;&gt;"",K189&lt;&gt;$D$17,B189&gt;$D$16),Resumo!$F$11,0))</f>
        <v>25</v>
      </c>
      <c r="J189" s="38">
        <f t="shared" ca="1" si="32"/>
        <v>2365.4729925085421</v>
      </c>
      <c r="K189" s="39" t="str">
        <f>IF(B189&lt;&gt;"",VLOOKUP(MONTH(C189),Sheet2!$F$1:$G$12,2,0),"")</f>
        <v>Junho</v>
      </c>
      <c r="L189" s="200">
        <f t="shared" ca="1" si="33"/>
        <v>0</v>
      </c>
      <c r="M189" s="40">
        <f t="shared" ca="1" si="24"/>
        <v>2255.2854533867467</v>
      </c>
      <c r="N189" s="40">
        <f t="shared" ca="1" si="25"/>
        <v>2365.4729925085421</v>
      </c>
      <c r="O189" s="40"/>
      <c r="P189" s="20">
        <f t="shared" ca="1" si="26"/>
        <v>834.89136490250701</v>
      </c>
      <c r="Q189" s="1">
        <f t="shared" si="27"/>
        <v>5094</v>
      </c>
      <c r="R189" s="171">
        <f>IF(AND($J$2&gt;=DATEVALUE("03/04/2020"),$J$2&lt;=DATEVALUE("25/11/2020")),0,IF(Resumo!$C$19="PF",IF(Q189&lt;360,0.0082%*Q189,3%),IF(Q189&lt;360,0.0041%*Q189,1.5%)))</f>
        <v>1.4999999999999999E-2</v>
      </c>
      <c r="S189" s="172">
        <f t="shared" ca="1" si="28"/>
        <v>12.523370473537605</v>
      </c>
      <c r="W189" s="216">
        <f t="shared" ca="1" si="34"/>
        <v>2255.2854533867467</v>
      </c>
    </row>
    <row r="190" spans="2:23">
      <c r="B190" s="41">
        <f t="shared" si="29"/>
        <v>168</v>
      </c>
      <c r="C190" s="164">
        <f t="shared" si="30"/>
        <v>49871</v>
      </c>
      <c r="D190" s="42">
        <f t="shared" ca="1" si="31"/>
        <v>609.76513896670235</v>
      </c>
      <c r="E190" s="42">
        <f t="shared" ca="1" si="35"/>
        <v>1645.5203144200443</v>
      </c>
      <c r="F190" s="42">
        <f ca="1">IF(B190&lt;=$D$16,F189*(1+$D$13)^((C190-C189)/_xlfn.DAYS(EDATE(C189,1),C189)),F189-D190)+IF(B190&lt;=$D$16,F189*Resumo!$F$12,0)+IF(B190&lt;=$D$16,$D$15*Resumo!$F$13,0)+IF(B190&lt;=$D$16,25,0)-IF(AND($D$16&gt;3,B190&lt;=$D$16),J190,0)</f>
        <v>241378.51639339275</v>
      </c>
      <c r="G190" s="42">
        <f ca="1">IF(AND(B190&lt;&gt;"",K190&lt;&gt;$D$17,$D$16&gt;3),F190*Resumo!$F$12,IF(AND(B190&lt;&gt;"",K190&lt;&gt;$D$17,B190&gt;$D$16),F190*Resumo!$F$12,0))</f>
        <v>50.689488442612479</v>
      </c>
      <c r="H190" s="42">
        <f>IF(AND(B190&lt;&gt;"",K190&lt;&gt;$D$17,$D$16&gt;3,$B190&lt;=$D$16),$D$15*Resumo!$F$13,IF(AND(B190&lt;&gt;"",K190&lt;&gt;$D$17,B190&gt;$D$16),$D$15*Resumo!$F$13,0))</f>
        <v>34.369999999999997</v>
      </c>
      <c r="I190" s="42">
        <f>IF(AND(B190&lt;&gt;"",K190&lt;&gt;$D$17,$D$16&gt;3,$B190&lt;=$D$16),Resumo!$F$11,IF(AND(B190&lt;&gt;"",K190&lt;&gt;$D$17,B190&gt;$D$16),Resumo!$F$11,0))</f>
        <v>25</v>
      </c>
      <c r="J190" s="42">
        <f t="shared" ca="1" si="32"/>
        <v>2365.344941829359</v>
      </c>
      <c r="K190" s="39" t="str">
        <f>IF(B190&lt;&gt;"",VLOOKUP(MONTH(C190),Sheet2!$F$1:$G$12,2,0),"")</f>
        <v>Julho</v>
      </c>
      <c r="L190" s="200">
        <f t="shared" ca="1" si="33"/>
        <v>0</v>
      </c>
      <c r="M190" s="40">
        <f t="shared" ca="1" si="24"/>
        <v>2255.2854533867467</v>
      </c>
      <c r="N190" s="40">
        <f t="shared" ca="1" si="25"/>
        <v>2365.344941829359</v>
      </c>
      <c r="O190" s="40"/>
      <c r="P190" s="20">
        <f t="shared" ca="1" si="26"/>
        <v>834.89136490250701</v>
      </c>
      <c r="Q190" s="1">
        <f t="shared" si="27"/>
        <v>5124</v>
      </c>
      <c r="R190" s="171">
        <f>IF(AND($J$2&gt;=DATEVALUE("03/04/2020"),$J$2&lt;=DATEVALUE("25/11/2020")),0,IF(Resumo!$C$19="PF",IF(Q190&lt;360,0.0082%*Q190,3%),IF(Q190&lt;360,0.0041%*Q190,1.5%)))</f>
        <v>1.4999999999999999E-2</v>
      </c>
      <c r="S190" s="172">
        <f t="shared" ca="1" si="28"/>
        <v>12.523370473537605</v>
      </c>
      <c r="W190" s="216">
        <f t="shared" ca="1" si="34"/>
        <v>2255.2854533867467</v>
      </c>
    </row>
    <row r="191" spans="2:23">
      <c r="B191" s="37">
        <f t="shared" si="29"/>
        <v>169</v>
      </c>
      <c r="C191" s="163">
        <f t="shared" si="30"/>
        <v>49902</v>
      </c>
      <c r="D191" s="38">
        <f t="shared" ca="1" si="31"/>
        <v>613.91154191167607</v>
      </c>
      <c r="E191" s="38">
        <f t="shared" ca="1" si="35"/>
        <v>1641.3739114750706</v>
      </c>
      <c r="F191" s="38">
        <f ca="1">IF(B191&lt;=$D$16,F190*(1+$D$13)^((C191-C190)/_xlfn.DAYS(EDATE(C190,1),C190)),F190-D191)+IF(B191&lt;=$D$16,F190*Resumo!$F$12,0)+IF(B191&lt;=$D$16,$D$15*Resumo!$F$13,0)+IF(B191&lt;=$D$16,25,0)-IF(AND($D$16&gt;3,B191&lt;=$D$16),J191,0)</f>
        <v>240764.60485148107</v>
      </c>
      <c r="G191" s="38">
        <f ca="1">IF(AND(B191&lt;&gt;"",K191&lt;&gt;$D$17,$D$16&gt;3),F191*Resumo!$F$12,IF(AND(B191&lt;&gt;"",K191&lt;&gt;$D$17,B191&gt;$D$16),F191*Resumo!$F$12,0))</f>
        <v>50.560567018811028</v>
      </c>
      <c r="H191" s="38">
        <f>IF(AND(B191&lt;&gt;"",K191&lt;&gt;$D$17,$D$16&gt;3,$B191&lt;=$D$16),$D$15*Resumo!$F$13,IF(AND(B191&lt;&gt;"",K191&lt;&gt;$D$17,B191&gt;$D$16),$D$15*Resumo!$F$13,0))</f>
        <v>34.369999999999997</v>
      </c>
      <c r="I191" s="38">
        <f>IF(AND(B191&lt;&gt;"",K191&lt;&gt;$D$17,$D$16&gt;3,$B191&lt;=$D$16),Resumo!$F$11,IF(AND(B191&lt;&gt;"",K191&lt;&gt;$D$17,B191&gt;$D$16),Resumo!$F$11,0))</f>
        <v>25</v>
      </c>
      <c r="J191" s="38">
        <f t="shared" ca="1" si="32"/>
        <v>2365.2160204055576</v>
      </c>
      <c r="K191" s="39" t="str">
        <f>IF(B191&lt;&gt;"",VLOOKUP(MONTH(C191),Sheet2!$F$1:$G$12,2,0),"")</f>
        <v>Agosto</v>
      </c>
      <c r="L191" s="200">
        <f t="shared" ca="1" si="33"/>
        <v>0</v>
      </c>
      <c r="M191" s="40">
        <f t="shared" ca="1" si="24"/>
        <v>2255.2854533867467</v>
      </c>
      <c r="N191" s="40">
        <f t="shared" ca="1" si="25"/>
        <v>2365.2160204055576</v>
      </c>
      <c r="O191" s="40"/>
      <c r="P191" s="20">
        <f t="shared" ca="1" si="26"/>
        <v>834.89136490250701</v>
      </c>
      <c r="Q191" s="1">
        <f t="shared" si="27"/>
        <v>5155</v>
      </c>
      <c r="R191" s="171">
        <f>IF(AND($J$2&gt;=DATEVALUE("03/04/2020"),$J$2&lt;=DATEVALUE("25/11/2020")),0,IF(Resumo!$C$19="PF",IF(Q191&lt;360,0.0082%*Q191,3%),IF(Q191&lt;360,0.0041%*Q191,1.5%)))</f>
        <v>1.4999999999999999E-2</v>
      </c>
      <c r="S191" s="172">
        <f t="shared" ca="1" si="28"/>
        <v>12.523370473537605</v>
      </c>
      <c r="W191" s="216">
        <f t="shared" ca="1" si="34"/>
        <v>2255.2854533867467</v>
      </c>
    </row>
    <row r="192" spans="2:23">
      <c r="B192" s="41">
        <f t="shared" si="29"/>
        <v>170</v>
      </c>
      <c r="C192" s="164">
        <f t="shared" si="30"/>
        <v>49933</v>
      </c>
      <c r="D192" s="42">
        <f t="shared" ca="1" si="31"/>
        <v>618.08614039667555</v>
      </c>
      <c r="E192" s="42">
        <f t="shared" ca="1" si="35"/>
        <v>1637.1993129900711</v>
      </c>
      <c r="F192" s="42">
        <f ca="1">IF(B192&lt;=$D$16,F191*(1+$D$13)^((C192-C191)/_xlfn.DAYS(EDATE(C191,1),C191)),F191-D192)+IF(B192&lt;=$D$16,F191*Resumo!$F$12,0)+IF(B192&lt;=$D$16,$D$15*Resumo!$F$13,0)+IF(B192&lt;=$D$16,25,0)-IF(AND($D$16&gt;3,B192&lt;=$D$16),J192,0)</f>
        <v>240146.51871108438</v>
      </c>
      <c r="G192" s="42">
        <f ca="1">IF(AND(B192&lt;&gt;"",K192&lt;&gt;$D$17,$D$16&gt;3),F192*Resumo!$F$12,IF(AND(B192&lt;&gt;"",K192&lt;&gt;$D$17,B192&gt;$D$16),F192*Resumo!$F$12,0))</f>
        <v>50.430768929327719</v>
      </c>
      <c r="H192" s="42">
        <f>IF(AND(B192&lt;&gt;"",K192&lt;&gt;$D$17,$D$16&gt;3,$B192&lt;=$D$16),$D$15*Resumo!$F$13,IF(AND(B192&lt;&gt;"",K192&lt;&gt;$D$17,B192&gt;$D$16),$D$15*Resumo!$F$13,0))</f>
        <v>34.369999999999997</v>
      </c>
      <c r="I192" s="42">
        <f>IF(AND(B192&lt;&gt;"",K192&lt;&gt;$D$17,$D$16&gt;3,$B192&lt;=$D$16),Resumo!$F$11,IF(AND(B192&lt;&gt;"",K192&lt;&gt;$D$17,B192&gt;$D$16),Resumo!$F$11,0))</f>
        <v>25</v>
      </c>
      <c r="J192" s="42">
        <f t="shared" ca="1" si="32"/>
        <v>2365.0862223160743</v>
      </c>
      <c r="K192" s="39" t="str">
        <f>IF(B192&lt;&gt;"",VLOOKUP(MONTH(C192),Sheet2!$F$1:$G$12,2,0),"")</f>
        <v>Setembro</v>
      </c>
      <c r="L192" s="200">
        <f t="shared" ca="1" si="33"/>
        <v>0</v>
      </c>
      <c r="M192" s="40">
        <f t="shared" ca="1" si="24"/>
        <v>2255.2854533867467</v>
      </c>
      <c r="N192" s="40">
        <f t="shared" ca="1" si="25"/>
        <v>2365.0862223160743</v>
      </c>
      <c r="O192" s="40"/>
      <c r="P192" s="20">
        <f t="shared" ca="1" si="26"/>
        <v>834.89136490250701</v>
      </c>
      <c r="Q192" s="1">
        <f t="shared" si="27"/>
        <v>5186</v>
      </c>
      <c r="R192" s="171">
        <f>IF(AND($J$2&gt;=DATEVALUE("03/04/2020"),$J$2&lt;=DATEVALUE("25/11/2020")),0,IF(Resumo!$C$19="PF",IF(Q192&lt;360,0.0082%*Q192,3%),IF(Q192&lt;360,0.0041%*Q192,1.5%)))</f>
        <v>1.4999999999999999E-2</v>
      </c>
      <c r="S192" s="172">
        <f t="shared" ca="1" si="28"/>
        <v>12.523370473537605</v>
      </c>
      <c r="W192" s="216">
        <f t="shared" ca="1" si="34"/>
        <v>2255.2854533867467</v>
      </c>
    </row>
    <row r="193" spans="2:23">
      <c r="B193" s="37">
        <f t="shared" si="29"/>
        <v>171</v>
      </c>
      <c r="C193" s="163">
        <f t="shared" si="30"/>
        <v>49963</v>
      </c>
      <c r="D193" s="38">
        <f t="shared" ca="1" si="31"/>
        <v>622.28912615137301</v>
      </c>
      <c r="E193" s="38">
        <f t="shared" ca="1" si="35"/>
        <v>1632.9963272353737</v>
      </c>
      <c r="F193" s="38">
        <f ca="1">IF(B193&lt;=$D$16,F192*(1+$D$13)^((C193-C192)/_xlfn.DAYS(EDATE(C192,1),C192)),F192-D193)+IF(B193&lt;=$D$16,F192*Resumo!$F$12,0)+IF(B193&lt;=$D$16,$D$15*Resumo!$F$13,0)+IF(B193&lt;=$D$16,25,0)-IF(AND($D$16&gt;3,B193&lt;=$D$16),J193,0)</f>
        <v>239524.229584933</v>
      </c>
      <c r="G193" s="38">
        <f ca="1">IF(AND(B193&lt;&gt;"",K193&lt;&gt;$D$17,$D$16&gt;3),F193*Resumo!$F$12,IF(AND(B193&lt;&gt;"",K193&lt;&gt;$D$17,B193&gt;$D$16),F193*Resumo!$F$12,0))</f>
        <v>50.300088212835931</v>
      </c>
      <c r="H193" s="38">
        <f>IF(AND(B193&lt;&gt;"",K193&lt;&gt;$D$17,$D$16&gt;3,$B193&lt;=$D$16),$D$15*Resumo!$F$13,IF(AND(B193&lt;&gt;"",K193&lt;&gt;$D$17,B193&gt;$D$16),$D$15*Resumo!$F$13,0))</f>
        <v>34.369999999999997</v>
      </c>
      <c r="I193" s="38">
        <f>IF(AND(B193&lt;&gt;"",K193&lt;&gt;$D$17,$D$16&gt;3,$B193&lt;=$D$16),Resumo!$F$11,IF(AND(B193&lt;&gt;"",K193&lt;&gt;$D$17,B193&gt;$D$16),Resumo!$F$11,0))</f>
        <v>25</v>
      </c>
      <c r="J193" s="38">
        <f t="shared" ca="1" si="32"/>
        <v>2364.9555415995824</v>
      </c>
      <c r="K193" s="39" t="str">
        <f>IF(B193&lt;&gt;"",VLOOKUP(MONTH(C193),Sheet2!$F$1:$G$12,2,0),"")</f>
        <v>Outubro</v>
      </c>
      <c r="L193" s="200">
        <f t="shared" ca="1" si="33"/>
        <v>0</v>
      </c>
      <c r="M193" s="40">
        <f t="shared" ca="1" si="24"/>
        <v>2255.2854533867467</v>
      </c>
      <c r="N193" s="40">
        <f t="shared" ca="1" si="25"/>
        <v>2364.9555415995824</v>
      </c>
      <c r="O193" s="40"/>
      <c r="P193" s="20">
        <f t="shared" ca="1" si="26"/>
        <v>834.89136490250701</v>
      </c>
      <c r="Q193" s="1">
        <f t="shared" si="27"/>
        <v>5216</v>
      </c>
      <c r="R193" s="171">
        <f>IF(AND($J$2&gt;=DATEVALUE("03/04/2020"),$J$2&lt;=DATEVALUE("25/11/2020")),0,IF(Resumo!$C$19="PF",IF(Q193&lt;360,0.0082%*Q193,3%),IF(Q193&lt;360,0.0041%*Q193,1.5%)))</f>
        <v>1.4999999999999999E-2</v>
      </c>
      <c r="S193" s="172">
        <f t="shared" ca="1" si="28"/>
        <v>12.523370473537605</v>
      </c>
      <c r="W193" s="216">
        <f t="shared" ca="1" si="34"/>
        <v>2255.2854533867467</v>
      </c>
    </row>
    <row r="194" spans="2:23">
      <c r="B194" s="41">
        <f t="shared" si="29"/>
        <v>172</v>
      </c>
      <c r="C194" s="164">
        <f t="shared" si="30"/>
        <v>49994</v>
      </c>
      <c r="D194" s="42">
        <f t="shared" ca="1" si="31"/>
        <v>626.52069220920248</v>
      </c>
      <c r="E194" s="42">
        <f t="shared" ca="1" si="35"/>
        <v>1628.7647611775442</v>
      </c>
      <c r="F194" s="42">
        <f ca="1">IF(B194&lt;=$D$16,F193*(1+$D$13)^((C194-C193)/_xlfn.DAYS(EDATE(C193,1),C193)),F193-D194)+IF(B194&lt;=$D$16,F193*Resumo!$F$12,0)+IF(B194&lt;=$D$16,$D$15*Resumo!$F$13,0)+IF(B194&lt;=$D$16,25,0)-IF(AND($D$16&gt;3,B194&lt;=$D$16),J194,0)</f>
        <v>238897.70889272381</v>
      </c>
      <c r="G194" s="42">
        <f ca="1">IF(AND(B194&lt;&gt;"",K194&lt;&gt;$D$17,$D$16&gt;3),F194*Resumo!$F$12,IF(AND(B194&lt;&gt;"",K194&lt;&gt;$D$17,B194&gt;$D$16),F194*Resumo!$F$12,0))</f>
        <v>50.168518867472002</v>
      </c>
      <c r="H194" s="42">
        <f>IF(AND(B194&lt;&gt;"",K194&lt;&gt;$D$17,$D$16&gt;3,$B194&lt;=$D$16),$D$15*Resumo!$F$13,IF(AND(B194&lt;&gt;"",K194&lt;&gt;$D$17,B194&gt;$D$16),$D$15*Resumo!$F$13,0))</f>
        <v>34.369999999999997</v>
      </c>
      <c r="I194" s="42">
        <f>IF(AND(B194&lt;&gt;"",K194&lt;&gt;$D$17,$D$16&gt;3,$B194&lt;=$D$16),Resumo!$F$11,IF(AND(B194&lt;&gt;"",K194&lt;&gt;$D$17,B194&gt;$D$16),Resumo!$F$11,0))</f>
        <v>25</v>
      </c>
      <c r="J194" s="42">
        <f t="shared" ca="1" si="32"/>
        <v>2364.8239722542185</v>
      </c>
      <c r="K194" s="39" t="str">
        <f>IF(B194&lt;&gt;"",VLOOKUP(MONTH(C194),Sheet2!$F$1:$G$12,2,0),"")</f>
        <v>Novembro</v>
      </c>
      <c r="L194" s="200">
        <f t="shared" ca="1" si="33"/>
        <v>0</v>
      </c>
      <c r="M194" s="40">
        <f t="shared" ca="1" si="24"/>
        <v>2255.2854533867467</v>
      </c>
      <c r="N194" s="40">
        <f t="shared" ca="1" si="25"/>
        <v>2364.8239722542185</v>
      </c>
      <c r="O194" s="40"/>
      <c r="P194" s="20">
        <f t="shared" ca="1" si="26"/>
        <v>834.89136490250701</v>
      </c>
      <c r="Q194" s="1">
        <f t="shared" si="27"/>
        <v>5247</v>
      </c>
      <c r="R194" s="171">
        <f>IF(AND($J$2&gt;=DATEVALUE("03/04/2020"),$J$2&lt;=DATEVALUE("25/11/2020")),0,IF(Resumo!$C$19="PF",IF(Q194&lt;360,0.0082%*Q194,3%),IF(Q194&lt;360,0.0041%*Q194,1.5%)))</f>
        <v>1.4999999999999999E-2</v>
      </c>
      <c r="S194" s="172">
        <f t="shared" ca="1" si="28"/>
        <v>12.523370473537605</v>
      </c>
      <c r="W194" s="216">
        <f t="shared" ca="1" si="34"/>
        <v>2255.2854533867467</v>
      </c>
    </row>
    <row r="195" spans="2:23">
      <c r="B195" s="37">
        <f t="shared" si="29"/>
        <v>173</v>
      </c>
      <c r="C195" s="163">
        <f t="shared" si="30"/>
        <v>50024</v>
      </c>
      <c r="D195" s="38">
        <f t="shared" ca="1" si="31"/>
        <v>630.78103291622483</v>
      </c>
      <c r="E195" s="38">
        <f t="shared" ca="1" si="35"/>
        <v>1624.5044204705218</v>
      </c>
      <c r="F195" s="38">
        <f ca="1">IF(B195&lt;=$D$16,F194*(1+$D$13)^((C195-C194)/_xlfn.DAYS(EDATE(C194,1),C194)),F194-D195)+IF(B195&lt;=$D$16,F194*Resumo!$F$12,0)+IF(B195&lt;=$D$16,$D$15*Resumo!$F$13,0)+IF(B195&lt;=$D$16,25,0)-IF(AND($D$16&gt;3,B195&lt;=$D$16),J195,0)</f>
        <v>238266.92785980759</v>
      </c>
      <c r="G195" s="38">
        <f ca="1">IF(AND(B195&lt;&gt;"",K195&lt;&gt;$D$17,$D$16&gt;3),F195*Resumo!$F$12,IF(AND(B195&lt;&gt;"",K195&lt;&gt;$D$17,B195&gt;$D$16),F195*Resumo!$F$12,0))</f>
        <v>50.036054850559594</v>
      </c>
      <c r="H195" s="38">
        <f>IF(AND(B195&lt;&gt;"",K195&lt;&gt;$D$17,$D$16&gt;3,$B195&lt;=$D$16),$D$15*Resumo!$F$13,IF(AND(B195&lt;&gt;"",K195&lt;&gt;$D$17,B195&gt;$D$16),$D$15*Resumo!$F$13,0))</f>
        <v>34.369999999999997</v>
      </c>
      <c r="I195" s="38">
        <f>IF(AND(B195&lt;&gt;"",K195&lt;&gt;$D$17,$D$16&gt;3,$B195&lt;=$D$16),Resumo!$F$11,IF(AND(B195&lt;&gt;"",K195&lt;&gt;$D$17,B195&gt;$D$16),Resumo!$F$11,0))</f>
        <v>25</v>
      </c>
      <c r="J195" s="38">
        <f t="shared" ca="1" si="32"/>
        <v>2364.6915082373062</v>
      </c>
      <c r="K195" s="39" t="str">
        <f>IF(B195&lt;&gt;"",VLOOKUP(MONTH(C195),Sheet2!$F$1:$G$12,2,0),"")</f>
        <v>Dezembro</v>
      </c>
      <c r="L195" s="200">
        <f t="shared" ca="1" si="33"/>
        <v>0</v>
      </c>
      <c r="M195" s="40">
        <f t="shared" ca="1" si="24"/>
        <v>2255.2854533867467</v>
      </c>
      <c r="N195" s="40">
        <f t="shared" ca="1" si="25"/>
        <v>2364.6915082373062</v>
      </c>
      <c r="O195" s="40"/>
      <c r="P195" s="20">
        <f t="shared" ca="1" si="26"/>
        <v>834.89136490250701</v>
      </c>
      <c r="Q195" s="1">
        <f t="shared" si="27"/>
        <v>5277</v>
      </c>
      <c r="R195" s="171">
        <f>IF(AND($J$2&gt;=DATEVALUE("03/04/2020"),$J$2&lt;=DATEVALUE("25/11/2020")),0,IF(Resumo!$C$19="PF",IF(Q195&lt;360,0.0082%*Q195,3%),IF(Q195&lt;360,0.0041%*Q195,1.5%)))</f>
        <v>1.4999999999999999E-2</v>
      </c>
      <c r="S195" s="172">
        <f t="shared" ca="1" si="28"/>
        <v>12.523370473537605</v>
      </c>
      <c r="W195" s="216">
        <f t="shared" ca="1" si="34"/>
        <v>2255.2854533867467</v>
      </c>
    </row>
    <row r="196" spans="2:23">
      <c r="B196" s="41">
        <f t="shared" si="29"/>
        <v>174</v>
      </c>
      <c r="C196" s="164">
        <f t="shared" si="30"/>
        <v>50055</v>
      </c>
      <c r="D196" s="42">
        <f t="shared" ca="1" si="31"/>
        <v>635.07034394005518</v>
      </c>
      <c r="E196" s="42">
        <f t="shared" ca="1" si="35"/>
        <v>1620.2151094466915</v>
      </c>
      <c r="F196" s="42">
        <f ca="1">IF(B196&lt;=$D$16,F195*(1+$D$13)^((C196-C195)/_xlfn.DAYS(EDATE(C195,1),C195)),F195-D196)+IF(B196&lt;=$D$16,F195*Resumo!$F$12,0)+IF(B196&lt;=$D$16,$D$15*Resumo!$F$13,0)+IF(B196&lt;=$D$16,25,0)-IF(AND($D$16&gt;3,B196&lt;=$D$16),J196,0)</f>
        <v>237631.85751586754</v>
      </c>
      <c r="G196" s="42">
        <f ca="1">IF(AND(B196&lt;&gt;"",K196&lt;&gt;$D$17,$D$16&gt;3),F196*Resumo!$F$12,IF(AND(B196&lt;&gt;"",K196&lt;&gt;$D$17,B196&gt;$D$16),F196*Resumo!$F$12,0))</f>
        <v>49.902690078332185</v>
      </c>
      <c r="H196" s="42">
        <f>IF(AND(B196&lt;&gt;"",K196&lt;&gt;$D$17,$D$16&gt;3,$B196&lt;=$D$16),$D$15*Resumo!$F$13,IF(AND(B196&lt;&gt;"",K196&lt;&gt;$D$17,B196&gt;$D$16),$D$15*Resumo!$F$13,0))</f>
        <v>34.369999999999997</v>
      </c>
      <c r="I196" s="42">
        <f>IF(AND(B196&lt;&gt;"",K196&lt;&gt;$D$17,$D$16&gt;3,$B196&lt;=$D$16),Resumo!$F$11,IF(AND(B196&lt;&gt;"",K196&lt;&gt;$D$17,B196&gt;$D$16),Resumo!$F$11,0))</f>
        <v>25</v>
      </c>
      <c r="J196" s="42">
        <f t="shared" ca="1" si="32"/>
        <v>2364.558143465079</v>
      </c>
      <c r="K196" s="39" t="str">
        <f>IF(B196&lt;&gt;"",VLOOKUP(MONTH(C196),Sheet2!$F$1:$G$12,2,0),"")</f>
        <v>Janeiro</v>
      </c>
      <c r="L196" s="200">
        <f t="shared" ca="1" si="33"/>
        <v>0</v>
      </c>
      <c r="M196" s="40">
        <f t="shared" ca="1" si="24"/>
        <v>2255.2854533867467</v>
      </c>
      <c r="N196" s="40">
        <f t="shared" ca="1" si="25"/>
        <v>2364.558143465079</v>
      </c>
      <c r="O196" s="40"/>
      <c r="P196" s="20">
        <f t="shared" ca="1" si="26"/>
        <v>834.89136490250701</v>
      </c>
      <c r="Q196" s="1">
        <f t="shared" si="27"/>
        <v>5308</v>
      </c>
      <c r="R196" s="171">
        <f>IF(AND($J$2&gt;=DATEVALUE("03/04/2020"),$J$2&lt;=DATEVALUE("25/11/2020")),0,IF(Resumo!$C$19="PF",IF(Q196&lt;360,0.0082%*Q196,3%),IF(Q196&lt;360,0.0041%*Q196,1.5%)))</f>
        <v>1.4999999999999999E-2</v>
      </c>
      <c r="S196" s="172">
        <f t="shared" ca="1" si="28"/>
        <v>12.523370473537605</v>
      </c>
      <c r="W196" s="216">
        <f t="shared" ca="1" si="34"/>
        <v>2255.2854533867467</v>
      </c>
    </row>
    <row r="197" spans="2:23">
      <c r="B197" s="37">
        <f t="shared" si="29"/>
        <v>175</v>
      </c>
      <c r="C197" s="163">
        <f t="shared" si="30"/>
        <v>50086</v>
      </c>
      <c r="D197" s="38">
        <f t="shared" ca="1" si="31"/>
        <v>639.38882227884756</v>
      </c>
      <c r="E197" s="38">
        <f t="shared" ca="1" si="35"/>
        <v>1615.8966311078991</v>
      </c>
      <c r="F197" s="38">
        <f ca="1">IF(B197&lt;=$D$16,F196*(1+$D$13)^((C197-C196)/_xlfn.DAYS(EDATE(C196,1),C196)),F196-D197)+IF(B197&lt;=$D$16,F196*Resumo!$F$12,0)+IF(B197&lt;=$D$16,$D$15*Resumo!$F$13,0)+IF(B197&lt;=$D$16,25,0)-IF(AND($D$16&gt;3,B197&lt;=$D$16),J197,0)</f>
        <v>236992.46869358869</v>
      </c>
      <c r="G197" s="38">
        <f ca="1">IF(AND(B197&lt;&gt;"",K197&lt;&gt;$D$17,$D$16&gt;3),F197*Resumo!$F$12,IF(AND(B197&lt;&gt;"",K197&lt;&gt;$D$17,B197&gt;$D$16),F197*Resumo!$F$12,0))</f>
        <v>49.768418425653628</v>
      </c>
      <c r="H197" s="38">
        <f>IF(AND(B197&lt;&gt;"",K197&lt;&gt;$D$17,$D$16&gt;3,$B197&lt;=$D$16),$D$15*Resumo!$F$13,IF(AND(B197&lt;&gt;"",K197&lt;&gt;$D$17,B197&gt;$D$16),$D$15*Resumo!$F$13,0))</f>
        <v>34.369999999999997</v>
      </c>
      <c r="I197" s="38">
        <f>IF(AND(B197&lt;&gt;"",K197&lt;&gt;$D$17,$D$16&gt;3,$B197&lt;=$D$16),Resumo!$F$11,IF(AND(B197&lt;&gt;"",K197&lt;&gt;$D$17,B197&gt;$D$16),Resumo!$F$11,0))</f>
        <v>25</v>
      </c>
      <c r="J197" s="38">
        <f t="shared" ca="1" si="32"/>
        <v>2364.4238718124002</v>
      </c>
      <c r="K197" s="39" t="str">
        <f>IF(B197&lt;&gt;"",VLOOKUP(MONTH(C197),Sheet2!$F$1:$G$12,2,0),"")</f>
        <v>Fevereiro</v>
      </c>
      <c r="L197" s="200">
        <f t="shared" ca="1" si="33"/>
        <v>0</v>
      </c>
      <c r="M197" s="40">
        <f t="shared" ca="1" si="24"/>
        <v>2255.2854533867467</v>
      </c>
      <c r="N197" s="40">
        <f t="shared" ca="1" si="25"/>
        <v>2364.4238718124002</v>
      </c>
      <c r="O197" s="40"/>
      <c r="P197" s="20">
        <f t="shared" ca="1" si="26"/>
        <v>834.89136490250701</v>
      </c>
      <c r="Q197" s="1">
        <f t="shared" si="27"/>
        <v>5339</v>
      </c>
      <c r="R197" s="171">
        <f>IF(AND($J$2&gt;=DATEVALUE("03/04/2020"),$J$2&lt;=DATEVALUE("25/11/2020")),0,IF(Resumo!$C$19="PF",IF(Q197&lt;360,0.0082%*Q197,3%),IF(Q197&lt;360,0.0041%*Q197,1.5%)))</f>
        <v>1.4999999999999999E-2</v>
      </c>
      <c r="S197" s="172">
        <f t="shared" ca="1" si="28"/>
        <v>12.523370473537605</v>
      </c>
      <c r="W197" s="216">
        <f t="shared" ca="1" si="34"/>
        <v>2255.2854533867467</v>
      </c>
    </row>
    <row r="198" spans="2:23">
      <c r="B198" s="41">
        <f t="shared" si="29"/>
        <v>176</v>
      </c>
      <c r="C198" s="164">
        <f t="shared" si="30"/>
        <v>50114</v>
      </c>
      <c r="D198" s="42">
        <f t="shared" ca="1" si="31"/>
        <v>643.73666627034368</v>
      </c>
      <c r="E198" s="42">
        <f t="shared" ca="1" si="35"/>
        <v>1611.548787116403</v>
      </c>
      <c r="F198" s="42">
        <f ca="1">IF(B198&lt;=$D$16,F197*(1+$D$13)^((C198-C197)/_xlfn.DAYS(EDATE(C197,1),C197)),F197-D198)+IF(B198&lt;=$D$16,F197*Resumo!$F$12,0)+IF(B198&lt;=$D$16,$D$15*Resumo!$F$13,0)+IF(B198&lt;=$D$16,25,0)-IF(AND($D$16&gt;3,B198&lt;=$D$16),J198,0)</f>
        <v>236348.73202731833</v>
      </c>
      <c r="G198" s="42">
        <f ca="1">IF(AND(B198&lt;&gt;"",K198&lt;&gt;$D$17,$D$16&gt;3),F198*Resumo!$F$12,IF(AND(B198&lt;&gt;"",K198&lt;&gt;$D$17,B198&gt;$D$16),F198*Resumo!$F$12,0))</f>
        <v>49.633233725736851</v>
      </c>
      <c r="H198" s="42">
        <f>IF(AND(B198&lt;&gt;"",K198&lt;&gt;$D$17,$D$16&gt;3,$B198&lt;=$D$16),$D$15*Resumo!$F$13,IF(AND(B198&lt;&gt;"",K198&lt;&gt;$D$17,B198&gt;$D$16),$D$15*Resumo!$F$13,0))</f>
        <v>34.369999999999997</v>
      </c>
      <c r="I198" s="42">
        <f>IF(AND(B198&lt;&gt;"",K198&lt;&gt;$D$17,$D$16&gt;3,$B198&lt;=$D$16),Resumo!$F$11,IF(AND(B198&lt;&gt;"",K198&lt;&gt;$D$17,B198&gt;$D$16),Resumo!$F$11,0))</f>
        <v>25</v>
      </c>
      <c r="J198" s="42">
        <f t="shared" ca="1" si="32"/>
        <v>2364.2886871124833</v>
      </c>
      <c r="K198" s="39" t="str">
        <f>IF(B198&lt;&gt;"",VLOOKUP(MONTH(C198),Sheet2!$F$1:$G$12,2,0),"")</f>
        <v>Março</v>
      </c>
      <c r="L198" s="200">
        <f t="shared" ca="1" si="33"/>
        <v>0</v>
      </c>
      <c r="M198" s="40">
        <f t="shared" ca="1" si="24"/>
        <v>2255.2854533867467</v>
      </c>
      <c r="N198" s="40">
        <f t="shared" ca="1" si="25"/>
        <v>2364.2886871124833</v>
      </c>
      <c r="O198" s="40"/>
      <c r="P198" s="20">
        <f t="shared" ca="1" si="26"/>
        <v>834.89136490250701</v>
      </c>
      <c r="Q198" s="1">
        <f t="shared" si="27"/>
        <v>5367</v>
      </c>
      <c r="R198" s="171">
        <f>IF(AND($J$2&gt;=DATEVALUE("03/04/2020"),$J$2&lt;=DATEVALUE("25/11/2020")),0,IF(Resumo!$C$19="PF",IF(Q198&lt;360,0.0082%*Q198,3%),IF(Q198&lt;360,0.0041%*Q198,1.5%)))</f>
        <v>1.4999999999999999E-2</v>
      </c>
      <c r="S198" s="172">
        <f t="shared" ca="1" si="28"/>
        <v>12.523370473537605</v>
      </c>
      <c r="W198" s="216">
        <f t="shared" ca="1" si="34"/>
        <v>2255.2854533867467</v>
      </c>
    </row>
    <row r="199" spans="2:23">
      <c r="B199" s="37">
        <f t="shared" si="29"/>
        <v>177</v>
      </c>
      <c r="C199" s="163">
        <f t="shared" si="30"/>
        <v>50145</v>
      </c>
      <c r="D199" s="38">
        <f t="shared" ca="1" si="31"/>
        <v>648.11407560098223</v>
      </c>
      <c r="E199" s="38">
        <f t="shared" ca="1" si="35"/>
        <v>1607.1713777857644</v>
      </c>
      <c r="F199" s="38">
        <f ca="1">IF(B199&lt;=$D$16,F198*(1+$D$13)^((C199-C198)/_xlfn.DAYS(EDATE(C198,1),C198)),F198-D199)+IF(B199&lt;=$D$16,F198*Resumo!$F$12,0)+IF(B199&lt;=$D$16,$D$15*Resumo!$F$13,0)+IF(B199&lt;=$D$16,25,0)-IF(AND($D$16&gt;3,B199&lt;=$D$16),J199,0)</f>
        <v>235700.61795171734</v>
      </c>
      <c r="G199" s="38">
        <f ca="1">IF(AND(B199&lt;&gt;"",K199&lt;&gt;$D$17,$D$16&gt;3),F199*Resumo!$F$12,IF(AND(B199&lt;&gt;"",K199&lt;&gt;$D$17,B199&gt;$D$16),F199*Resumo!$F$12,0))</f>
        <v>49.497129769860642</v>
      </c>
      <c r="H199" s="38">
        <f>IF(AND(B199&lt;&gt;"",K199&lt;&gt;$D$17,$D$16&gt;3,$B199&lt;=$D$16),$D$15*Resumo!$F$13,IF(AND(B199&lt;&gt;"",K199&lt;&gt;$D$17,B199&gt;$D$16),$D$15*Resumo!$F$13,0))</f>
        <v>34.369999999999997</v>
      </c>
      <c r="I199" s="38">
        <f>IF(AND(B199&lt;&gt;"",K199&lt;&gt;$D$17,$D$16&gt;3,$B199&lt;=$D$16),Resumo!$F$11,IF(AND(B199&lt;&gt;"",K199&lt;&gt;$D$17,B199&gt;$D$16),Resumo!$F$11,0))</f>
        <v>25</v>
      </c>
      <c r="J199" s="38">
        <f t="shared" ca="1" si="32"/>
        <v>2364.1525831566073</v>
      </c>
      <c r="K199" s="39" t="str">
        <f>IF(B199&lt;&gt;"",VLOOKUP(MONTH(C199),Sheet2!$F$1:$G$12,2,0),"")</f>
        <v>Abril</v>
      </c>
      <c r="L199" s="200">
        <f t="shared" ca="1" si="33"/>
        <v>0</v>
      </c>
      <c r="M199" s="40">
        <f t="shared" ca="1" si="24"/>
        <v>2255.2854533867467</v>
      </c>
      <c r="N199" s="40">
        <f t="shared" ca="1" si="25"/>
        <v>2364.1525831566073</v>
      </c>
      <c r="O199" s="40"/>
      <c r="P199" s="20">
        <f t="shared" ca="1" si="26"/>
        <v>834.89136490250701</v>
      </c>
      <c r="Q199" s="1">
        <f t="shared" si="27"/>
        <v>5398</v>
      </c>
      <c r="R199" s="171">
        <f>IF(AND($J$2&gt;=DATEVALUE("03/04/2020"),$J$2&lt;=DATEVALUE("25/11/2020")),0,IF(Resumo!$C$19="PF",IF(Q199&lt;360,0.0082%*Q199,3%),IF(Q199&lt;360,0.0041%*Q199,1.5%)))</f>
        <v>1.4999999999999999E-2</v>
      </c>
      <c r="S199" s="172">
        <f t="shared" ca="1" si="28"/>
        <v>12.523370473537605</v>
      </c>
      <c r="W199" s="216">
        <f t="shared" ca="1" si="34"/>
        <v>2255.2854533867467</v>
      </c>
    </row>
    <row r="200" spans="2:23">
      <c r="B200" s="41">
        <f t="shared" si="29"/>
        <v>178</v>
      </c>
      <c r="C200" s="164">
        <f t="shared" si="30"/>
        <v>50175</v>
      </c>
      <c r="D200" s="42">
        <f t="shared" ca="1" si="31"/>
        <v>652.52125131506887</v>
      </c>
      <c r="E200" s="42">
        <f t="shared" ca="1" si="35"/>
        <v>1602.7642020716778</v>
      </c>
      <c r="F200" s="42">
        <f ca="1">IF(B200&lt;=$D$16,F199*(1+$D$13)^((C200-C199)/_xlfn.DAYS(EDATE(C199,1),C199)),F199-D200)+IF(B200&lt;=$D$16,F199*Resumo!$F$12,0)+IF(B200&lt;=$D$16,$D$15*Resumo!$F$13,0)+IF(B200&lt;=$D$16,25,0)-IF(AND($D$16&gt;3,B200&lt;=$D$16),J200,0)</f>
        <v>235048.09670040227</v>
      </c>
      <c r="G200" s="42">
        <f ca="1">IF(AND(B200&lt;&gt;"",K200&lt;&gt;$D$17,$D$16&gt;3),F200*Resumo!$F$12,IF(AND(B200&lt;&gt;"",K200&lt;&gt;$D$17,B200&gt;$D$16),F200*Resumo!$F$12,0))</f>
        <v>49.36010030708448</v>
      </c>
      <c r="H200" s="42">
        <f>IF(AND(B200&lt;&gt;"",K200&lt;&gt;$D$17,$D$16&gt;3,$B200&lt;=$D$16),$D$15*Resumo!$F$13,IF(AND(B200&lt;&gt;"",K200&lt;&gt;$D$17,B200&gt;$D$16),$D$15*Resumo!$F$13,0))</f>
        <v>34.369999999999997</v>
      </c>
      <c r="I200" s="42">
        <f>IF(AND(B200&lt;&gt;"",K200&lt;&gt;$D$17,$D$16&gt;3,$B200&lt;=$D$16),Resumo!$F$11,IF(AND(B200&lt;&gt;"",K200&lt;&gt;$D$17,B200&gt;$D$16),Resumo!$F$11,0))</f>
        <v>25</v>
      </c>
      <c r="J200" s="42">
        <f t="shared" ca="1" si="32"/>
        <v>2364.015553693831</v>
      </c>
      <c r="K200" s="39" t="str">
        <f>IF(B200&lt;&gt;"",VLOOKUP(MONTH(C200),Sheet2!$F$1:$G$12,2,0),"")</f>
        <v>Maio</v>
      </c>
      <c r="L200" s="200">
        <f t="shared" ca="1" si="33"/>
        <v>0</v>
      </c>
      <c r="M200" s="40">
        <f t="shared" ca="1" si="24"/>
        <v>2255.2854533867467</v>
      </c>
      <c r="N200" s="40">
        <f t="shared" ca="1" si="25"/>
        <v>2364.015553693831</v>
      </c>
      <c r="O200" s="40"/>
      <c r="P200" s="20">
        <f t="shared" ca="1" si="26"/>
        <v>834.89136490250701</v>
      </c>
      <c r="Q200" s="1">
        <f t="shared" si="27"/>
        <v>5428</v>
      </c>
      <c r="R200" s="171">
        <f>IF(AND($J$2&gt;=DATEVALUE("03/04/2020"),$J$2&lt;=DATEVALUE("25/11/2020")),0,IF(Resumo!$C$19="PF",IF(Q200&lt;360,0.0082%*Q200,3%),IF(Q200&lt;360,0.0041%*Q200,1.5%)))</f>
        <v>1.4999999999999999E-2</v>
      </c>
      <c r="S200" s="172">
        <f t="shared" ca="1" si="28"/>
        <v>12.523370473537605</v>
      </c>
      <c r="W200" s="216">
        <f t="shared" ca="1" si="34"/>
        <v>2255.2854533867467</v>
      </c>
    </row>
    <row r="201" spans="2:23">
      <c r="B201" s="37">
        <f t="shared" si="29"/>
        <v>179</v>
      </c>
      <c r="C201" s="163">
        <f t="shared" si="30"/>
        <v>50206</v>
      </c>
      <c r="D201" s="38">
        <f t="shared" ca="1" si="31"/>
        <v>656.9583958240114</v>
      </c>
      <c r="E201" s="38">
        <f t="shared" ca="1" si="35"/>
        <v>1598.3270575627353</v>
      </c>
      <c r="F201" s="38">
        <f ca="1">IF(B201&lt;=$D$16,F200*(1+$D$13)^((C201-C200)/_xlfn.DAYS(EDATE(C200,1),C200)),F200-D201)+IF(B201&lt;=$D$16,F200*Resumo!$F$12,0)+IF(B201&lt;=$D$16,$D$15*Resumo!$F$13,0)+IF(B201&lt;=$D$16,25,0)-IF(AND($D$16&gt;3,B201&lt;=$D$16),J201,0)</f>
        <v>234391.13830457826</v>
      </c>
      <c r="G201" s="38">
        <f ca="1">IF(AND(B201&lt;&gt;"",K201&lt;&gt;$D$17,$D$16&gt;3),F201*Resumo!$F$12,IF(AND(B201&lt;&gt;"",K201&lt;&gt;$D$17,B201&gt;$D$16),F201*Resumo!$F$12,0))</f>
        <v>49.222139043961434</v>
      </c>
      <c r="H201" s="38">
        <f>IF(AND(B201&lt;&gt;"",K201&lt;&gt;$D$17,$D$16&gt;3,$B201&lt;=$D$16),$D$15*Resumo!$F$13,IF(AND(B201&lt;&gt;"",K201&lt;&gt;$D$17,B201&gt;$D$16),$D$15*Resumo!$F$13,0))</f>
        <v>34.369999999999997</v>
      </c>
      <c r="I201" s="38">
        <f>IF(AND(B201&lt;&gt;"",K201&lt;&gt;$D$17,$D$16&gt;3,$B201&lt;=$D$16),Resumo!$F$11,IF(AND(B201&lt;&gt;"",K201&lt;&gt;$D$17,B201&gt;$D$16),Resumo!$F$11,0))</f>
        <v>25</v>
      </c>
      <c r="J201" s="38">
        <f t="shared" ca="1" si="32"/>
        <v>2363.8775924307079</v>
      </c>
      <c r="K201" s="39" t="str">
        <f>IF(B201&lt;&gt;"",VLOOKUP(MONTH(C201),Sheet2!$F$1:$G$12,2,0),"")</f>
        <v>Junho</v>
      </c>
      <c r="L201" s="200">
        <f t="shared" ca="1" si="33"/>
        <v>0</v>
      </c>
      <c r="M201" s="40">
        <f t="shared" ca="1" si="24"/>
        <v>2255.2854533867467</v>
      </c>
      <c r="N201" s="40">
        <f t="shared" ca="1" si="25"/>
        <v>2363.8775924307079</v>
      </c>
      <c r="O201" s="40"/>
      <c r="P201" s="20">
        <f t="shared" ca="1" si="26"/>
        <v>834.89136490250701</v>
      </c>
      <c r="Q201" s="1">
        <f t="shared" si="27"/>
        <v>5459</v>
      </c>
      <c r="R201" s="171">
        <f>IF(AND($J$2&gt;=DATEVALUE("03/04/2020"),$J$2&lt;=DATEVALUE("25/11/2020")),0,IF(Resumo!$C$19="PF",IF(Q201&lt;360,0.0082%*Q201,3%),IF(Q201&lt;360,0.0041%*Q201,1.5%)))</f>
        <v>1.4999999999999999E-2</v>
      </c>
      <c r="S201" s="172">
        <f t="shared" ca="1" si="28"/>
        <v>12.523370473537605</v>
      </c>
      <c r="W201" s="216">
        <f t="shared" ca="1" si="34"/>
        <v>2255.2854533867467</v>
      </c>
    </row>
    <row r="202" spans="2:23">
      <c r="B202" s="41">
        <f t="shared" si="29"/>
        <v>180</v>
      </c>
      <c r="C202" s="164">
        <f t="shared" si="30"/>
        <v>50236</v>
      </c>
      <c r="D202" s="42">
        <f t="shared" ca="1" si="31"/>
        <v>661.42571291561467</v>
      </c>
      <c r="E202" s="42">
        <f t="shared" ca="1" si="35"/>
        <v>1593.859740471132</v>
      </c>
      <c r="F202" s="42">
        <f ca="1">IF(B202&lt;=$D$16,F201*(1+$D$13)^((C202-C201)/_xlfn.DAYS(EDATE(C201,1),C201)),F201-D202)+IF(B202&lt;=$D$16,F201*Resumo!$F$12,0)+IF(B202&lt;=$D$16,$D$15*Resumo!$F$13,0)+IF(B202&lt;=$D$16,25,0)-IF(AND($D$16&gt;3,B202&lt;=$D$16),J202,0)</f>
        <v>233729.71259166265</v>
      </c>
      <c r="G202" s="42">
        <f ca="1">IF(AND(B202&lt;&gt;"",K202&lt;&gt;$D$17,$D$16&gt;3),F202*Resumo!$F$12,IF(AND(B202&lt;&gt;"",K202&lt;&gt;$D$17,B202&gt;$D$16),F202*Resumo!$F$12,0))</f>
        <v>49.083239644249161</v>
      </c>
      <c r="H202" s="42">
        <f>IF(AND(B202&lt;&gt;"",K202&lt;&gt;$D$17,$D$16&gt;3,$B202&lt;=$D$16),$D$15*Resumo!$F$13,IF(AND(B202&lt;&gt;"",K202&lt;&gt;$D$17,B202&gt;$D$16),$D$15*Resumo!$F$13,0))</f>
        <v>34.369999999999997</v>
      </c>
      <c r="I202" s="42">
        <f>IF(AND(B202&lt;&gt;"",K202&lt;&gt;$D$17,$D$16&gt;3,$B202&lt;=$D$16),Resumo!$F$11,IF(AND(B202&lt;&gt;"",K202&lt;&gt;$D$17,B202&gt;$D$16),Resumo!$F$11,0))</f>
        <v>25</v>
      </c>
      <c r="J202" s="42">
        <f t="shared" ca="1" si="32"/>
        <v>2363.7386930309958</v>
      </c>
      <c r="K202" s="39" t="str">
        <f>IF(B202&lt;&gt;"",VLOOKUP(MONTH(C202),Sheet2!$F$1:$G$12,2,0),"")</f>
        <v>Julho</v>
      </c>
      <c r="L202" s="200">
        <f t="shared" ca="1" si="33"/>
        <v>0</v>
      </c>
      <c r="M202" s="40">
        <f t="shared" ca="1" si="24"/>
        <v>2255.2854533867467</v>
      </c>
      <c r="N202" s="40">
        <f t="shared" ca="1" si="25"/>
        <v>2363.7386930309958</v>
      </c>
      <c r="O202" s="40"/>
      <c r="P202" s="20">
        <f t="shared" ca="1" si="26"/>
        <v>834.89136490250701</v>
      </c>
      <c r="Q202" s="1">
        <f t="shared" si="27"/>
        <v>5489</v>
      </c>
      <c r="R202" s="171">
        <f>IF(AND($J$2&gt;=DATEVALUE("03/04/2020"),$J$2&lt;=DATEVALUE("25/11/2020")),0,IF(Resumo!$C$19="PF",IF(Q202&lt;360,0.0082%*Q202,3%),IF(Q202&lt;360,0.0041%*Q202,1.5%)))</f>
        <v>1.4999999999999999E-2</v>
      </c>
      <c r="S202" s="172">
        <f t="shared" ca="1" si="28"/>
        <v>12.523370473537605</v>
      </c>
      <c r="W202" s="216">
        <f t="shared" ca="1" si="34"/>
        <v>2255.2854533867467</v>
      </c>
    </row>
    <row r="203" spans="2:23">
      <c r="B203" s="37">
        <f t="shared" si="29"/>
        <v>181</v>
      </c>
      <c r="C203" s="163">
        <f t="shared" si="30"/>
        <v>50267</v>
      </c>
      <c r="D203" s="38">
        <f t="shared" ca="1" si="31"/>
        <v>665.92340776344076</v>
      </c>
      <c r="E203" s="38">
        <f t="shared" ca="1" si="35"/>
        <v>1589.3620456233059</v>
      </c>
      <c r="F203" s="38">
        <f ca="1">IF(B203&lt;=$D$16,F202*(1+$D$13)^((C203-C202)/_xlfn.DAYS(EDATE(C202,1),C202)),F202-D203)+IF(B203&lt;=$D$16,F202*Resumo!$F$12,0)+IF(B203&lt;=$D$16,$D$15*Resumo!$F$13,0)+IF(B203&lt;=$D$16,25,0)-IF(AND($D$16&gt;3,B203&lt;=$D$16),J203,0)</f>
        <v>233063.78918389921</v>
      </c>
      <c r="G203" s="38">
        <f ca="1">IF(AND(B203&lt;&gt;"",K203&lt;&gt;$D$17,$D$16&gt;3),F203*Resumo!$F$12,IF(AND(B203&lt;&gt;"",K203&lt;&gt;$D$17,B203&gt;$D$16),F203*Resumo!$F$12,0))</f>
        <v>48.943395728618839</v>
      </c>
      <c r="H203" s="38">
        <f>IF(AND(B203&lt;&gt;"",K203&lt;&gt;$D$17,$D$16&gt;3,$B203&lt;=$D$16),$D$15*Resumo!$F$13,IF(AND(B203&lt;&gt;"",K203&lt;&gt;$D$17,B203&gt;$D$16),$D$15*Resumo!$F$13,0))</f>
        <v>34.369999999999997</v>
      </c>
      <c r="I203" s="38">
        <f>IF(AND(B203&lt;&gt;"",K203&lt;&gt;$D$17,$D$16&gt;3,$B203&lt;=$D$16),Resumo!$F$11,IF(AND(B203&lt;&gt;"",K203&lt;&gt;$D$17,B203&gt;$D$16),Resumo!$F$11,0))</f>
        <v>25</v>
      </c>
      <c r="J203" s="38">
        <f t="shared" ca="1" si="32"/>
        <v>2363.5988491153653</v>
      </c>
      <c r="K203" s="39" t="str">
        <f>IF(B203&lt;&gt;"",VLOOKUP(MONTH(C203),Sheet2!$F$1:$G$12,2,0),"")</f>
        <v>Agosto</v>
      </c>
      <c r="L203" s="200">
        <f t="shared" ca="1" si="33"/>
        <v>0</v>
      </c>
      <c r="M203" s="40">
        <f t="shared" ca="1" si="24"/>
        <v>2255.2854533867467</v>
      </c>
      <c r="N203" s="40">
        <f t="shared" ca="1" si="25"/>
        <v>2363.5988491153653</v>
      </c>
      <c r="O203" s="40"/>
      <c r="P203" s="20">
        <f t="shared" ca="1" si="26"/>
        <v>834.89136490250701</v>
      </c>
      <c r="Q203" s="1">
        <f t="shared" si="27"/>
        <v>5520</v>
      </c>
      <c r="R203" s="171">
        <f>IF(AND($J$2&gt;=DATEVALUE("03/04/2020"),$J$2&lt;=DATEVALUE("25/11/2020")),0,IF(Resumo!$C$19="PF",IF(Q203&lt;360,0.0082%*Q203,3%),IF(Q203&lt;360,0.0041%*Q203,1.5%)))</f>
        <v>1.4999999999999999E-2</v>
      </c>
      <c r="S203" s="172">
        <f t="shared" ca="1" si="28"/>
        <v>12.523370473537605</v>
      </c>
      <c r="W203" s="216">
        <f t="shared" ca="1" si="34"/>
        <v>2255.2854533867467</v>
      </c>
    </row>
    <row r="204" spans="2:23">
      <c r="B204" s="41">
        <f t="shared" si="29"/>
        <v>182</v>
      </c>
      <c r="C204" s="164">
        <f t="shared" si="30"/>
        <v>50298</v>
      </c>
      <c r="D204" s="42">
        <f t="shared" ca="1" si="31"/>
        <v>670.45168693623214</v>
      </c>
      <c r="E204" s="42">
        <f t="shared" ca="1" si="35"/>
        <v>1584.8337664505145</v>
      </c>
      <c r="F204" s="42">
        <f ca="1">IF(B204&lt;=$D$16,F203*(1+$D$13)^((C204-C203)/_xlfn.DAYS(EDATE(C203,1),C203)),F203-D204)+IF(B204&lt;=$D$16,F203*Resumo!$F$12,0)+IF(B204&lt;=$D$16,$D$15*Resumo!$F$13,0)+IF(B204&lt;=$D$16,25,0)-IF(AND($D$16&gt;3,B204&lt;=$D$16),J204,0)</f>
        <v>232393.33749696298</v>
      </c>
      <c r="G204" s="42">
        <f ca="1">IF(AND(B204&lt;&gt;"",K204&lt;&gt;$D$17,$D$16&gt;3),F204*Resumo!$F$12,IF(AND(B204&lt;&gt;"",K204&lt;&gt;$D$17,B204&gt;$D$16),F204*Resumo!$F$12,0))</f>
        <v>48.802600874362227</v>
      </c>
      <c r="H204" s="42">
        <f>IF(AND(B204&lt;&gt;"",K204&lt;&gt;$D$17,$D$16&gt;3,$B204&lt;=$D$16),$D$15*Resumo!$F$13,IF(AND(B204&lt;&gt;"",K204&lt;&gt;$D$17,B204&gt;$D$16),$D$15*Resumo!$F$13,0))</f>
        <v>34.369999999999997</v>
      </c>
      <c r="I204" s="42">
        <f>IF(AND(B204&lt;&gt;"",K204&lt;&gt;$D$17,$D$16&gt;3,$B204&lt;=$D$16),Resumo!$F$11,IF(AND(B204&lt;&gt;"",K204&lt;&gt;$D$17,B204&gt;$D$16),Resumo!$F$11,0))</f>
        <v>25</v>
      </c>
      <c r="J204" s="42">
        <f t="shared" ca="1" si="32"/>
        <v>2363.4580542611088</v>
      </c>
      <c r="K204" s="39" t="str">
        <f>IF(B204&lt;&gt;"",VLOOKUP(MONTH(C204),Sheet2!$F$1:$G$12,2,0),"")</f>
        <v>Setembro</v>
      </c>
      <c r="L204" s="200">
        <f t="shared" ca="1" si="33"/>
        <v>0</v>
      </c>
      <c r="M204" s="40">
        <f t="shared" ca="1" si="24"/>
        <v>2255.2854533867467</v>
      </c>
      <c r="N204" s="40">
        <f t="shared" ca="1" si="25"/>
        <v>2363.4580542611088</v>
      </c>
      <c r="O204" s="40"/>
      <c r="P204" s="20">
        <f t="shared" ca="1" si="26"/>
        <v>834.89136490250701</v>
      </c>
      <c r="Q204" s="1">
        <f t="shared" si="27"/>
        <v>5551</v>
      </c>
      <c r="R204" s="171">
        <f>IF(AND($J$2&gt;=DATEVALUE("03/04/2020"),$J$2&lt;=DATEVALUE("25/11/2020")),0,IF(Resumo!$C$19="PF",IF(Q204&lt;360,0.0082%*Q204,3%),IF(Q204&lt;360,0.0041%*Q204,1.5%)))</f>
        <v>1.4999999999999999E-2</v>
      </c>
      <c r="S204" s="172">
        <f t="shared" ca="1" si="28"/>
        <v>12.523370473537605</v>
      </c>
      <c r="W204" s="216">
        <f t="shared" ca="1" si="34"/>
        <v>2255.2854533867467</v>
      </c>
    </row>
    <row r="205" spans="2:23">
      <c r="B205" s="37">
        <f t="shared" si="29"/>
        <v>183</v>
      </c>
      <c r="C205" s="163">
        <f t="shared" si="30"/>
        <v>50328</v>
      </c>
      <c r="D205" s="38">
        <f t="shared" ca="1" si="31"/>
        <v>675.0107584073985</v>
      </c>
      <c r="E205" s="38">
        <f t="shared" ca="1" si="35"/>
        <v>1580.2746949793482</v>
      </c>
      <c r="F205" s="38">
        <f ca="1">IF(B205&lt;=$D$16,F204*(1+$D$13)^((C205-C204)/_xlfn.DAYS(EDATE(C204,1),C204)),F204-D205)+IF(B205&lt;=$D$16,F204*Resumo!$F$12,0)+IF(B205&lt;=$D$16,$D$15*Resumo!$F$13,0)+IF(B205&lt;=$D$16,25,0)-IF(AND($D$16&gt;3,B205&lt;=$D$16),J205,0)</f>
        <v>231718.3267385556</v>
      </c>
      <c r="G205" s="38">
        <f ca="1">IF(AND(B205&lt;&gt;"",K205&lt;&gt;$D$17,$D$16&gt;3),F205*Resumo!$F$12,IF(AND(B205&lt;&gt;"",K205&lt;&gt;$D$17,B205&gt;$D$16),F205*Resumo!$F$12,0))</f>
        <v>48.660848615096675</v>
      </c>
      <c r="H205" s="38">
        <f>IF(AND(B205&lt;&gt;"",K205&lt;&gt;$D$17,$D$16&gt;3,$B205&lt;=$D$16),$D$15*Resumo!$F$13,IF(AND(B205&lt;&gt;"",K205&lt;&gt;$D$17,B205&gt;$D$16),$D$15*Resumo!$F$13,0))</f>
        <v>34.369999999999997</v>
      </c>
      <c r="I205" s="38">
        <f>IF(AND(B205&lt;&gt;"",K205&lt;&gt;$D$17,$D$16&gt;3,$B205&lt;=$D$16),Resumo!$F$11,IF(AND(B205&lt;&gt;"",K205&lt;&gt;$D$17,B205&gt;$D$16),Resumo!$F$11,0))</f>
        <v>25</v>
      </c>
      <c r="J205" s="38">
        <f t="shared" ca="1" si="32"/>
        <v>2363.3163020018433</v>
      </c>
      <c r="K205" s="39" t="str">
        <f>IF(B205&lt;&gt;"",VLOOKUP(MONTH(C205),Sheet2!$F$1:$G$12,2,0),"")</f>
        <v>Outubro</v>
      </c>
      <c r="L205" s="200">
        <f t="shared" ca="1" si="33"/>
        <v>0</v>
      </c>
      <c r="M205" s="40">
        <f t="shared" ca="1" si="24"/>
        <v>2255.2854533867467</v>
      </c>
      <c r="N205" s="40">
        <f t="shared" ca="1" si="25"/>
        <v>2363.3163020018433</v>
      </c>
      <c r="O205" s="40"/>
      <c r="P205" s="20">
        <f t="shared" ca="1" si="26"/>
        <v>834.89136490250701</v>
      </c>
      <c r="Q205" s="1">
        <f t="shared" si="27"/>
        <v>5581</v>
      </c>
      <c r="R205" s="171">
        <f>IF(AND($J$2&gt;=DATEVALUE("03/04/2020"),$J$2&lt;=DATEVALUE("25/11/2020")),0,IF(Resumo!$C$19="PF",IF(Q205&lt;360,0.0082%*Q205,3%),IF(Q205&lt;360,0.0041%*Q205,1.5%)))</f>
        <v>1.4999999999999999E-2</v>
      </c>
      <c r="S205" s="172">
        <f t="shared" ca="1" si="28"/>
        <v>12.523370473537605</v>
      </c>
      <c r="W205" s="216">
        <f t="shared" ca="1" si="34"/>
        <v>2255.2854533867467</v>
      </c>
    </row>
    <row r="206" spans="2:23">
      <c r="B206" s="41">
        <f t="shared" si="29"/>
        <v>184</v>
      </c>
      <c r="C206" s="164">
        <f t="shared" si="30"/>
        <v>50359</v>
      </c>
      <c r="D206" s="42">
        <f t="shared" ca="1" si="31"/>
        <v>679.60083156456881</v>
      </c>
      <c r="E206" s="42">
        <f t="shared" ca="1" si="35"/>
        <v>1575.6846218221779</v>
      </c>
      <c r="F206" s="42">
        <f ca="1">IF(B206&lt;=$D$16,F205*(1+$D$13)^((C206-C205)/_xlfn.DAYS(EDATE(C205,1),C205)),F205-D206)+IF(B206&lt;=$D$16,F205*Resumo!$F$12,0)+IF(B206&lt;=$D$16,$D$15*Resumo!$F$13,0)+IF(B206&lt;=$D$16,25,0)-IF(AND($D$16&gt;3,B206&lt;=$D$16),J206,0)</f>
        <v>231038.72590699102</v>
      </c>
      <c r="G206" s="42">
        <f ca="1">IF(AND(B206&lt;&gt;"",K206&lt;&gt;$D$17,$D$16&gt;3),F206*Resumo!$F$12,IF(AND(B206&lt;&gt;"",K206&lt;&gt;$D$17,B206&gt;$D$16),F206*Resumo!$F$12,0))</f>
        <v>48.518132440468115</v>
      </c>
      <c r="H206" s="42">
        <f>IF(AND(B206&lt;&gt;"",K206&lt;&gt;$D$17,$D$16&gt;3,$B206&lt;=$D$16),$D$15*Resumo!$F$13,IF(AND(B206&lt;&gt;"",K206&lt;&gt;$D$17,B206&gt;$D$16),$D$15*Resumo!$F$13,0))</f>
        <v>34.369999999999997</v>
      </c>
      <c r="I206" s="42">
        <f>IF(AND(B206&lt;&gt;"",K206&lt;&gt;$D$17,$D$16&gt;3,$B206&lt;=$D$16),Resumo!$F$11,IF(AND(B206&lt;&gt;"",K206&lt;&gt;$D$17,B206&gt;$D$16),Resumo!$F$11,0))</f>
        <v>25</v>
      </c>
      <c r="J206" s="42">
        <f t="shared" ca="1" si="32"/>
        <v>2363.1735858272145</v>
      </c>
      <c r="K206" s="39" t="str">
        <f>IF(B206&lt;&gt;"",VLOOKUP(MONTH(C206),Sheet2!$F$1:$G$12,2,0),"")</f>
        <v>Novembro</v>
      </c>
      <c r="L206" s="200">
        <f t="shared" ca="1" si="33"/>
        <v>0</v>
      </c>
      <c r="M206" s="40">
        <f t="shared" ca="1" si="24"/>
        <v>2255.2854533867467</v>
      </c>
      <c r="N206" s="40">
        <f t="shared" ca="1" si="25"/>
        <v>2363.1735858272145</v>
      </c>
      <c r="O206" s="40"/>
      <c r="P206" s="20">
        <f t="shared" ca="1" si="26"/>
        <v>834.89136490250701</v>
      </c>
      <c r="Q206" s="1">
        <f t="shared" si="27"/>
        <v>5612</v>
      </c>
      <c r="R206" s="171">
        <f>IF(AND($J$2&gt;=DATEVALUE("03/04/2020"),$J$2&lt;=DATEVALUE("25/11/2020")),0,IF(Resumo!$C$19="PF",IF(Q206&lt;360,0.0082%*Q206,3%),IF(Q206&lt;360,0.0041%*Q206,1.5%)))</f>
        <v>1.4999999999999999E-2</v>
      </c>
      <c r="S206" s="172">
        <f t="shared" ca="1" si="28"/>
        <v>12.523370473537605</v>
      </c>
      <c r="W206" s="216">
        <f t="shared" ca="1" si="34"/>
        <v>2255.2854533867467</v>
      </c>
    </row>
    <row r="207" spans="2:23">
      <c r="B207" s="37">
        <f t="shared" si="29"/>
        <v>185</v>
      </c>
      <c r="C207" s="163">
        <f t="shared" si="30"/>
        <v>50389</v>
      </c>
      <c r="D207" s="38">
        <f t="shared" ca="1" si="31"/>
        <v>684.2221172192078</v>
      </c>
      <c r="E207" s="38">
        <f t="shared" ca="1" si="35"/>
        <v>1571.0633361675389</v>
      </c>
      <c r="F207" s="38">
        <f ca="1">IF(B207&lt;=$D$16,F206*(1+$D$13)^((C207-C206)/_xlfn.DAYS(EDATE(C206,1),C206)),F206-D207)+IF(B207&lt;=$D$16,F206*Resumo!$F$12,0)+IF(B207&lt;=$D$16,$D$15*Resumo!$F$13,0)+IF(B207&lt;=$D$16,25,0)-IF(AND($D$16&gt;3,B207&lt;=$D$16),J207,0)</f>
        <v>230354.50378977181</v>
      </c>
      <c r="G207" s="38">
        <f ca="1">IF(AND(B207&lt;&gt;"",K207&lt;&gt;$D$17,$D$16&gt;3),F207*Resumo!$F$12,IF(AND(B207&lt;&gt;"",K207&lt;&gt;$D$17,B207&gt;$D$16),F207*Resumo!$F$12,0))</f>
        <v>48.374445795852083</v>
      </c>
      <c r="H207" s="38">
        <f>IF(AND(B207&lt;&gt;"",K207&lt;&gt;$D$17,$D$16&gt;3,$B207&lt;=$D$16),$D$15*Resumo!$F$13,IF(AND(B207&lt;&gt;"",K207&lt;&gt;$D$17,B207&gt;$D$16),$D$15*Resumo!$F$13,0))</f>
        <v>34.369999999999997</v>
      </c>
      <c r="I207" s="38">
        <f>IF(AND(B207&lt;&gt;"",K207&lt;&gt;$D$17,$D$16&gt;3,$B207&lt;=$D$16),Resumo!$F$11,IF(AND(B207&lt;&gt;"",K207&lt;&gt;$D$17,B207&gt;$D$16),Resumo!$F$11,0))</f>
        <v>25</v>
      </c>
      <c r="J207" s="38">
        <f t="shared" ca="1" si="32"/>
        <v>2363.0298991825985</v>
      </c>
      <c r="K207" s="39" t="str">
        <f>IF(B207&lt;&gt;"",VLOOKUP(MONTH(C207),Sheet2!$F$1:$G$12,2,0),"")</f>
        <v>Dezembro</v>
      </c>
      <c r="L207" s="200">
        <f t="shared" ca="1" si="33"/>
        <v>0</v>
      </c>
      <c r="M207" s="40">
        <f t="shared" ca="1" si="24"/>
        <v>2255.2854533867467</v>
      </c>
      <c r="N207" s="40">
        <f t="shared" ca="1" si="25"/>
        <v>2363.0298991825985</v>
      </c>
      <c r="O207" s="40"/>
      <c r="P207" s="20">
        <f t="shared" ca="1" si="26"/>
        <v>834.89136490250701</v>
      </c>
      <c r="Q207" s="1">
        <f t="shared" si="27"/>
        <v>5642</v>
      </c>
      <c r="R207" s="171">
        <f>IF(AND($J$2&gt;=DATEVALUE("03/04/2020"),$J$2&lt;=DATEVALUE("25/11/2020")),0,IF(Resumo!$C$19="PF",IF(Q207&lt;360,0.0082%*Q207,3%),IF(Q207&lt;360,0.0041%*Q207,1.5%)))</f>
        <v>1.4999999999999999E-2</v>
      </c>
      <c r="S207" s="172">
        <f t="shared" ca="1" si="28"/>
        <v>12.523370473537605</v>
      </c>
      <c r="W207" s="216">
        <f t="shared" ca="1" si="34"/>
        <v>2255.2854533867467</v>
      </c>
    </row>
    <row r="208" spans="2:23">
      <c r="B208" s="41">
        <f t="shared" si="29"/>
        <v>186</v>
      </c>
      <c r="C208" s="164">
        <f t="shared" si="30"/>
        <v>50420</v>
      </c>
      <c r="D208" s="42">
        <f t="shared" ca="1" si="31"/>
        <v>688.87482761629849</v>
      </c>
      <c r="E208" s="42">
        <f t="shared" ca="1" si="35"/>
        <v>1566.4106257704482</v>
      </c>
      <c r="F208" s="42">
        <f ca="1">IF(B208&lt;=$D$16,F207*(1+$D$13)^((C208-C207)/_xlfn.DAYS(EDATE(C207,1),C207)),F207-D208)+IF(B208&lt;=$D$16,F207*Resumo!$F$12,0)+IF(B208&lt;=$D$16,$D$15*Resumo!$F$13,0)+IF(B208&lt;=$D$16,25,0)-IF(AND($D$16&gt;3,B208&lt;=$D$16),J208,0)</f>
        <v>229665.62896215552</v>
      </c>
      <c r="G208" s="42">
        <f ca="1">IF(AND(B208&lt;&gt;"",K208&lt;&gt;$D$17,$D$16&gt;3),F208*Resumo!$F$12,IF(AND(B208&lt;&gt;"",K208&lt;&gt;$D$17,B208&gt;$D$16),F208*Resumo!$F$12,0))</f>
        <v>48.229782082052658</v>
      </c>
      <c r="H208" s="42">
        <f>IF(AND(B208&lt;&gt;"",K208&lt;&gt;$D$17,$D$16&gt;3,$B208&lt;=$D$16),$D$15*Resumo!$F$13,IF(AND(B208&lt;&gt;"",K208&lt;&gt;$D$17,B208&gt;$D$16),$D$15*Resumo!$F$13,0))</f>
        <v>34.369999999999997</v>
      </c>
      <c r="I208" s="42">
        <f>IF(AND(B208&lt;&gt;"",K208&lt;&gt;$D$17,$D$16&gt;3,$B208&lt;=$D$16),Resumo!$F$11,IF(AND(B208&lt;&gt;"",K208&lt;&gt;$D$17,B208&gt;$D$16),Resumo!$F$11,0))</f>
        <v>25</v>
      </c>
      <c r="J208" s="42">
        <f t="shared" ca="1" si="32"/>
        <v>2362.8852354687992</v>
      </c>
      <c r="K208" s="39" t="str">
        <f>IF(B208&lt;&gt;"",VLOOKUP(MONTH(C208),Sheet2!$F$1:$G$12,2,0),"")</f>
        <v>Janeiro</v>
      </c>
      <c r="L208" s="200">
        <f t="shared" ca="1" si="33"/>
        <v>0</v>
      </c>
      <c r="M208" s="40">
        <f t="shared" ca="1" si="24"/>
        <v>2255.2854533867467</v>
      </c>
      <c r="N208" s="40">
        <f t="shared" ca="1" si="25"/>
        <v>2362.8852354687992</v>
      </c>
      <c r="O208" s="40"/>
      <c r="P208" s="20">
        <f t="shared" ca="1" si="26"/>
        <v>834.89136490250701</v>
      </c>
      <c r="Q208" s="1">
        <f t="shared" si="27"/>
        <v>5673</v>
      </c>
      <c r="R208" s="171">
        <f>IF(AND($J$2&gt;=DATEVALUE("03/04/2020"),$J$2&lt;=DATEVALUE("25/11/2020")),0,IF(Resumo!$C$19="PF",IF(Q208&lt;360,0.0082%*Q208,3%),IF(Q208&lt;360,0.0041%*Q208,1.5%)))</f>
        <v>1.4999999999999999E-2</v>
      </c>
      <c r="S208" s="172">
        <f t="shared" ca="1" si="28"/>
        <v>12.523370473537605</v>
      </c>
      <c r="W208" s="216">
        <f t="shared" ca="1" si="34"/>
        <v>2255.2854533867467</v>
      </c>
    </row>
    <row r="209" spans="2:23">
      <c r="B209" s="37">
        <f t="shared" si="29"/>
        <v>187</v>
      </c>
      <c r="C209" s="163">
        <f t="shared" si="30"/>
        <v>50451</v>
      </c>
      <c r="D209" s="38">
        <f t="shared" ca="1" si="31"/>
        <v>693.55917644408919</v>
      </c>
      <c r="E209" s="38">
        <f t="shared" ca="1" si="35"/>
        <v>1561.7262769426575</v>
      </c>
      <c r="F209" s="38">
        <f ca="1">IF(B209&lt;=$D$16,F208*(1+$D$13)^((C209-C208)/_xlfn.DAYS(EDATE(C208,1),C208)),F208-D209)+IF(B209&lt;=$D$16,F208*Resumo!$F$12,0)+IF(B209&lt;=$D$16,$D$15*Resumo!$F$13,0)+IF(B209&lt;=$D$16,25,0)-IF(AND($D$16&gt;3,B209&lt;=$D$16),J209,0)</f>
        <v>228972.06978571144</v>
      </c>
      <c r="G209" s="38">
        <f ca="1">IF(AND(B209&lt;&gt;"",K209&lt;&gt;$D$17,$D$16&gt;3),F209*Resumo!$F$12,IF(AND(B209&lt;&gt;"",K209&lt;&gt;$D$17,B209&gt;$D$16),F209*Resumo!$F$12,0))</f>
        <v>48.084134654999403</v>
      </c>
      <c r="H209" s="38">
        <f>IF(AND(B209&lt;&gt;"",K209&lt;&gt;$D$17,$D$16&gt;3,$B209&lt;=$D$16),$D$15*Resumo!$F$13,IF(AND(B209&lt;&gt;"",K209&lt;&gt;$D$17,B209&gt;$D$16),$D$15*Resumo!$F$13,0))</f>
        <v>34.369999999999997</v>
      </c>
      <c r="I209" s="38">
        <f>IF(AND(B209&lt;&gt;"",K209&lt;&gt;$D$17,$D$16&gt;3,$B209&lt;=$D$16),Resumo!$F$11,IF(AND(B209&lt;&gt;"",K209&lt;&gt;$D$17,B209&gt;$D$16),Resumo!$F$11,0))</f>
        <v>25</v>
      </c>
      <c r="J209" s="38">
        <f t="shared" ca="1" si="32"/>
        <v>2362.7395880417462</v>
      </c>
      <c r="K209" s="39" t="str">
        <f>IF(B209&lt;&gt;"",VLOOKUP(MONTH(C209),Sheet2!$F$1:$G$12,2,0),"")</f>
        <v>Fevereiro</v>
      </c>
      <c r="L209" s="200">
        <f t="shared" ca="1" si="33"/>
        <v>0</v>
      </c>
      <c r="M209" s="40">
        <f t="shared" ca="1" si="24"/>
        <v>2255.2854533867467</v>
      </c>
      <c r="N209" s="40">
        <f t="shared" ca="1" si="25"/>
        <v>2362.7395880417462</v>
      </c>
      <c r="O209" s="40"/>
      <c r="P209" s="20">
        <f t="shared" ca="1" si="26"/>
        <v>834.89136490250701</v>
      </c>
      <c r="Q209" s="1">
        <f t="shared" si="27"/>
        <v>5704</v>
      </c>
      <c r="R209" s="171">
        <f>IF(AND($J$2&gt;=DATEVALUE("03/04/2020"),$J$2&lt;=DATEVALUE("25/11/2020")),0,IF(Resumo!$C$19="PF",IF(Q209&lt;360,0.0082%*Q209,3%),IF(Q209&lt;360,0.0041%*Q209,1.5%)))</f>
        <v>1.4999999999999999E-2</v>
      </c>
      <c r="S209" s="172">
        <f t="shared" ca="1" si="28"/>
        <v>12.523370473537605</v>
      </c>
      <c r="W209" s="216">
        <f t="shared" ca="1" si="34"/>
        <v>2255.2854533867467</v>
      </c>
    </row>
    <row r="210" spans="2:23">
      <c r="B210" s="41">
        <f t="shared" si="29"/>
        <v>188</v>
      </c>
      <c r="C210" s="164">
        <f t="shared" si="30"/>
        <v>50479</v>
      </c>
      <c r="D210" s="42">
        <f t="shared" ca="1" si="31"/>
        <v>698.27537884390904</v>
      </c>
      <c r="E210" s="42">
        <f t="shared" ca="1" si="35"/>
        <v>1557.0100745428376</v>
      </c>
      <c r="F210" s="42">
        <f ca="1">IF(B210&lt;=$D$16,F209*(1+$D$13)^((C210-C209)/_xlfn.DAYS(EDATE(C209,1),C209)),F209-D210)+IF(B210&lt;=$D$16,F209*Resumo!$F$12,0)+IF(B210&lt;=$D$16,$D$15*Resumo!$F$13,0)+IF(B210&lt;=$D$16,25,0)-IF(AND($D$16&gt;3,B210&lt;=$D$16),J210,0)</f>
        <v>228273.79440686753</v>
      </c>
      <c r="G210" s="42">
        <f ca="1">IF(AND(B210&lt;&gt;"",K210&lt;&gt;$D$17,$D$16&gt;3),F210*Resumo!$F$12,IF(AND(B210&lt;&gt;"",K210&lt;&gt;$D$17,B210&gt;$D$16),F210*Resumo!$F$12,0))</f>
        <v>47.937496825442182</v>
      </c>
      <c r="H210" s="42">
        <f>IF(AND(B210&lt;&gt;"",K210&lt;&gt;$D$17,$D$16&gt;3,$B210&lt;=$D$16),$D$15*Resumo!$F$13,IF(AND(B210&lt;&gt;"",K210&lt;&gt;$D$17,B210&gt;$D$16),$D$15*Resumo!$F$13,0))</f>
        <v>34.369999999999997</v>
      </c>
      <c r="I210" s="42">
        <f>IF(AND(B210&lt;&gt;"",K210&lt;&gt;$D$17,$D$16&gt;3,$B210&lt;=$D$16),Resumo!$F$11,IF(AND(B210&lt;&gt;"",K210&lt;&gt;$D$17,B210&gt;$D$16),Resumo!$F$11,0))</f>
        <v>25</v>
      </c>
      <c r="J210" s="42">
        <f t="shared" ca="1" si="32"/>
        <v>2362.592950212189</v>
      </c>
      <c r="K210" s="39" t="str">
        <f>IF(B210&lt;&gt;"",VLOOKUP(MONTH(C210),Sheet2!$F$1:$G$12,2,0),"")</f>
        <v>Março</v>
      </c>
      <c r="L210" s="200">
        <f t="shared" ca="1" si="33"/>
        <v>0</v>
      </c>
      <c r="M210" s="40">
        <f t="shared" ca="1" si="24"/>
        <v>2255.2854533867467</v>
      </c>
      <c r="N210" s="40">
        <f t="shared" ca="1" si="25"/>
        <v>2362.592950212189</v>
      </c>
      <c r="O210" s="40"/>
      <c r="P210" s="20">
        <f t="shared" ca="1" si="26"/>
        <v>834.89136490250701</v>
      </c>
      <c r="Q210" s="1">
        <f t="shared" si="27"/>
        <v>5732</v>
      </c>
      <c r="R210" s="171">
        <f>IF(AND($J$2&gt;=DATEVALUE("03/04/2020"),$J$2&lt;=DATEVALUE("25/11/2020")),0,IF(Resumo!$C$19="PF",IF(Q210&lt;360,0.0082%*Q210,3%),IF(Q210&lt;360,0.0041%*Q210,1.5%)))</f>
        <v>1.4999999999999999E-2</v>
      </c>
      <c r="S210" s="172">
        <f t="shared" ca="1" si="28"/>
        <v>12.523370473537605</v>
      </c>
      <c r="W210" s="216">
        <f t="shared" ca="1" si="34"/>
        <v>2255.2854533867467</v>
      </c>
    </row>
    <row r="211" spans="2:23">
      <c r="B211" s="37">
        <f t="shared" si="29"/>
        <v>189</v>
      </c>
      <c r="C211" s="163">
        <f t="shared" si="30"/>
        <v>50510</v>
      </c>
      <c r="D211" s="38">
        <f t="shared" ca="1" si="31"/>
        <v>703.0236514200476</v>
      </c>
      <c r="E211" s="38">
        <f t="shared" ca="1" si="35"/>
        <v>1552.2618019666991</v>
      </c>
      <c r="F211" s="38">
        <f ca="1">IF(B211&lt;=$D$16,F210*(1+$D$13)^((C211-C210)/_xlfn.DAYS(EDATE(C210,1),C210)),F210-D211)+IF(B211&lt;=$D$16,F210*Resumo!$F$12,0)+IF(B211&lt;=$D$16,$D$15*Resumo!$F$13,0)+IF(B211&lt;=$D$16,25,0)-IF(AND($D$16&gt;3,B211&lt;=$D$16),J211,0)</f>
        <v>227570.77075544748</v>
      </c>
      <c r="G211" s="38">
        <f ca="1">IF(AND(B211&lt;&gt;"",K211&lt;&gt;$D$17,$D$16&gt;3),F211*Resumo!$F$12,IF(AND(B211&lt;&gt;"",K211&lt;&gt;$D$17,B211&gt;$D$16),F211*Resumo!$F$12,0))</f>
        <v>47.789861858643974</v>
      </c>
      <c r="H211" s="38">
        <f>IF(AND(B211&lt;&gt;"",K211&lt;&gt;$D$17,$D$16&gt;3,$B211&lt;=$D$16),$D$15*Resumo!$F$13,IF(AND(B211&lt;&gt;"",K211&lt;&gt;$D$17,B211&gt;$D$16),$D$15*Resumo!$F$13,0))</f>
        <v>34.369999999999997</v>
      </c>
      <c r="I211" s="38">
        <f>IF(AND(B211&lt;&gt;"",K211&lt;&gt;$D$17,$D$16&gt;3,$B211&lt;=$D$16),Resumo!$F$11,IF(AND(B211&lt;&gt;"",K211&lt;&gt;$D$17,B211&gt;$D$16),Resumo!$F$11,0))</f>
        <v>25</v>
      </c>
      <c r="J211" s="38">
        <f t="shared" ca="1" si="32"/>
        <v>2362.4453152453907</v>
      </c>
      <c r="K211" s="39" t="str">
        <f>IF(B211&lt;&gt;"",VLOOKUP(MONTH(C211),Sheet2!$F$1:$G$12,2,0),"")</f>
        <v>Abril</v>
      </c>
      <c r="L211" s="200">
        <f t="shared" ca="1" si="33"/>
        <v>0</v>
      </c>
      <c r="M211" s="40">
        <f t="shared" ca="1" si="24"/>
        <v>2255.2854533867467</v>
      </c>
      <c r="N211" s="40">
        <f t="shared" ca="1" si="25"/>
        <v>2362.4453152453907</v>
      </c>
      <c r="O211" s="40"/>
      <c r="P211" s="20">
        <f t="shared" ca="1" si="26"/>
        <v>834.89136490250701</v>
      </c>
      <c r="Q211" s="1">
        <f t="shared" si="27"/>
        <v>5763</v>
      </c>
      <c r="R211" s="171">
        <f>IF(AND($J$2&gt;=DATEVALUE("03/04/2020"),$J$2&lt;=DATEVALUE("25/11/2020")),0,IF(Resumo!$C$19="PF",IF(Q211&lt;360,0.0082%*Q211,3%),IF(Q211&lt;360,0.0041%*Q211,1.5%)))</f>
        <v>1.4999999999999999E-2</v>
      </c>
      <c r="S211" s="172">
        <f t="shared" ca="1" si="28"/>
        <v>12.523370473537605</v>
      </c>
      <c r="W211" s="216">
        <f t="shared" ca="1" si="34"/>
        <v>2255.2854533867467</v>
      </c>
    </row>
    <row r="212" spans="2:23">
      <c r="B212" s="41">
        <f t="shared" si="29"/>
        <v>190</v>
      </c>
      <c r="C212" s="164">
        <f t="shared" si="30"/>
        <v>50540</v>
      </c>
      <c r="D212" s="42">
        <f t="shared" ca="1" si="31"/>
        <v>707.80421224970382</v>
      </c>
      <c r="E212" s="42">
        <f t="shared" ca="1" si="35"/>
        <v>1547.4812411370428</v>
      </c>
      <c r="F212" s="42">
        <f ca="1">IF(B212&lt;=$D$16,F211*(1+$D$13)^((C212-C211)/_xlfn.DAYS(EDATE(C211,1),C211)),F211-D212)+IF(B212&lt;=$D$16,F211*Resumo!$F$12,0)+IF(B212&lt;=$D$16,$D$15*Resumo!$F$13,0)+IF(B212&lt;=$D$16,25,0)-IF(AND($D$16&gt;3,B212&lt;=$D$16),J212,0)</f>
        <v>226862.96654319778</v>
      </c>
      <c r="G212" s="42">
        <f ca="1">IF(AND(B212&lt;&gt;"",K212&lt;&gt;$D$17,$D$16&gt;3),F212*Resumo!$F$12,IF(AND(B212&lt;&gt;"",K212&lt;&gt;$D$17,B212&gt;$D$16),F212*Resumo!$F$12,0))</f>
        <v>47.641222974071532</v>
      </c>
      <c r="H212" s="42">
        <f>IF(AND(B212&lt;&gt;"",K212&lt;&gt;$D$17,$D$16&gt;3,$B212&lt;=$D$16),$D$15*Resumo!$F$13,IF(AND(B212&lt;&gt;"",K212&lt;&gt;$D$17,B212&gt;$D$16),$D$15*Resumo!$F$13,0))</f>
        <v>34.369999999999997</v>
      </c>
      <c r="I212" s="42">
        <f>IF(AND(B212&lt;&gt;"",K212&lt;&gt;$D$17,$D$16&gt;3,$B212&lt;=$D$16),Resumo!$F$11,IF(AND(B212&lt;&gt;"",K212&lt;&gt;$D$17,B212&gt;$D$16),Resumo!$F$11,0))</f>
        <v>25</v>
      </c>
      <c r="J212" s="42">
        <f t="shared" ca="1" si="32"/>
        <v>2362.2966763608183</v>
      </c>
      <c r="K212" s="39" t="str">
        <f>IF(B212&lt;&gt;"",VLOOKUP(MONTH(C212),Sheet2!$F$1:$G$12,2,0),"")</f>
        <v>Maio</v>
      </c>
      <c r="L212" s="200">
        <f t="shared" ca="1" si="33"/>
        <v>0</v>
      </c>
      <c r="M212" s="40">
        <f t="shared" ca="1" si="24"/>
        <v>2255.2854533867467</v>
      </c>
      <c r="N212" s="40">
        <f t="shared" ca="1" si="25"/>
        <v>2362.2966763608183</v>
      </c>
      <c r="O212" s="40"/>
      <c r="P212" s="20">
        <f t="shared" ca="1" si="26"/>
        <v>834.89136490250701</v>
      </c>
      <c r="Q212" s="1">
        <f t="shared" si="27"/>
        <v>5793</v>
      </c>
      <c r="R212" s="171">
        <f>IF(AND($J$2&gt;=DATEVALUE("03/04/2020"),$J$2&lt;=DATEVALUE("25/11/2020")),0,IF(Resumo!$C$19="PF",IF(Q212&lt;360,0.0082%*Q212,3%),IF(Q212&lt;360,0.0041%*Q212,1.5%)))</f>
        <v>1.4999999999999999E-2</v>
      </c>
      <c r="S212" s="172">
        <f t="shared" ca="1" si="28"/>
        <v>12.523370473537605</v>
      </c>
      <c r="W212" s="216">
        <f t="shared" ca="1" si="34"/>
        <v>2255.2854533867467</v>
      </c>
    </row>
    <row r="213" spans="2:23">
      <c r="B213" s="37">
        <f t="shared" si="29"/>
        <v>191</v>
      </c>
      <c r="C213" s="163">
        <f t="shared" si="30"/>
        <v>50571</v>
      </c>
      <c r="D213" s="38">
        <f t="shared" ca="1" si="31"/>
        <v>712.61728089300186</v>
      </c>
      <c r="E213" s="38">
        <f t="shared" ca="1" si="35"/>
        <v>1542.6681724937448</v>
      </c>
      <c r="F213" s="38">
        <f ca="1">IF(B213&lt;=$D$16,F212*(1+$D$13)^((C213-C212)/_xlfn.DAYS(EDATE(C212,1),C212)),F212-D213)+IF(B213&lt;=$D$16,F212*Resumo!$F$12,0)+IF(B213&lt;=$D$16,$D$15*Resumo!$F$13,0)+IF(B213&lt;=$D$16,25,0)-IF(AND($D$16&gt;3,B213&lt;=$D$16),J213,0)</f>
        <v>226150.34926230478</v>
      </c>
      <c r="G213" s="38">
        <f ca="1">IF(AND(B213&lt;&gt;"",K213&lt;&gt;$D$17,$D$16&gt;3),F213*Resumo!$F$12,IF(AND(B213&lt;&gt;"",K213&lt;&gt;$D$17,B213&gt;$D$16),F213*Resumo!$F$12,0))</f>
        <v>47.491573345084007</v>
      </c>
      <c r="H213" s="38">
        <f>IF(AND(B213&lt;&gt;"",K213&lt;&gt;$D$17,$D$16&gt;3,$B213&lt;=$D$16),$D$15*Resumo!$F$13,IF(AND(B213&lt;&gt;"",K213&lt;&gt;$D$17,B213&gt;$D$16),$D$15*Resumo!$F$13,0))</f>
        <v>34.369999999999997</v>
      </c>
      <c r="I213" s="38">
        <f>IF(AND(B213&lt;&gt;"",K213&lt;&gt;$D$17,$D$16&gt;3,$B213&lt;=$D$16),Resumo!$F$11,IF(AND(B213&lt;&gt;"",K213&lt;&gt;$D$17,B213&gt;$D$16),Resumo!$F$11,0))</f>
        <v>25</v>
      </c>
      <c r="J213" s="38">
        <f t="shared" ca="1" si="32"/>
        <v>2362.1470267318305</v>
      </c>
      <c r="K213" s="39" t="str">
        <f>IF(B213&lt;&gt;"",VLOOKUP(MONTH(C213),Sheet2!$F$1:$G$12,2,0),"")</f>
        <v>Junho</v>
      </c>
      <c r="L213" s="200">
        <f t="shared" ca="1" si="33"/>
        <v>0</v>
      </c>
      <c r="M213" s="40">
        <f t="shared" ca="1" si="24"/>
        <v>2255.2854533867467</v>
      </c>
      <c r="N213" s="40">
        <f t="shared" ca="1" si="25"/>
        <v>2362.1470267318305</v>
      </c>
      <c r="O213" s="40"/>
      <c r="P213" s="20">
        <f t="shared" ca="1" si="26"/>
        <v>834.89136490250701</v>
      </c>
      <c r="Q213" s="1">
        <f t="shared" si="27"/>
        <v>5824</v>
      </c>
      <c r="R213" s="171">
        <f>IF(AND($J$2&gt;=DATEVALUE("03/04/2020"),$J$2&lt;=DATEVALUE("25/11/2020")),0,IF(Resumo!$C$19="PF",IF(Q213&lt;360,0.0082%*Q213,3%),IF(Q213&lt;360,0.0041%*Q213,1.5%)))</f>
        <v>1.4999999999999999E-2</v>
      </c>
      <c r="S213" s="172">
        <f t="shared" ca="1" si="28"/>
        <v>12.523370473537605</v>
      </c>
      <c r="W213" s="216">
        <f t="shared" ca="1" si="34"/>
        <v>2255.2854533867467</v>
      </c>
    </row>
    <row r="214" spans="2:23">
      <c r="B214" s="41">
        <f t="shared" si="29"/>
        <v>192</v>
      </c>
      <c r="C214" s="164">
        <f t="shared" si="30"/>
        <v>50601</v>
      </c>
      <c r="D214" s="42">
        <f t="shared" ca="1" si="31"/>
        <v>717.46307840307418</v>
      </c>
      <c r="E214" s="42">
        <f t="shared" ca="1" si="35"/>
        <v>1537.8223749836725</v>
      </c>
      <c r="F214" s="42">
        <f ca="1">IF(B214&lt;=$D$16,F213*(1+$D$13)^((C214-C213)/_xlfn.DAYS(EDATE(C213,1),C213)),F213-D214)+IF(B214&lt;=$D$16,F213*Resumo!$F$12,0)+IF(B214&lt;=$D$16,$D$15*Resumo!$F$13,0)+IF(B214&lt;=$D$16,25,0)-IF(AND($D$16&gt;3,B214&lt;=$D$16),J214,0)</f>
        <v>225432.88618390169</v>
      </c>
      <c r="G214" s="42">
        <f ca="1">IF(AND(B214&lt;&gt;"",K214&lt;&gt;$D$17,$D$16&gt;3),F214*Resumo!$F$12,IF(AND(B214&lt;&gt;"",K214&lt;&gt;$D$17,B214&gt;$D$16),F214*Resumo!$F$12,0))</f>
        <v>47.340906098619357</v>
      </c>
      <c r="H214" s="42">
        <f>IF(AND(B214&lt;&gt;"",K214&lt;&gt;$D$17,$D$16&gt;3,$B214&lt;=$D$16),$D$15*Resumo!$F$13,IF(AND(B214&lt;&gt;"",K214&lt;&gt;$D$17,B214&gt;$D$16),$D$15*Resumo!$F$13,0))</f>
        <v>34.369999999999997</v>
      </c>
      <c r="I214" s="42">
        <f>IF(AND(B214&lt;&gt;"",K214&lt;&gt;$D$17,$D$16&gt;3,$B214&lt;=$D$16),Resumo!$F$11,IF(AND(B214&lt;&gt;"",K214&lt;&gt;$D$17,B214&gt;$D$16),Resumo!$F$11,0))</f>
        <v>25</v>
      </c>
      <c r="J214" s="42">
        <f t="shared" ca="1" si="32"/>
        <v>2361.9963594853657</v>
      </c>
      <c r="K214" s="39" t="str">
        <f>IF(B214&lt;&gt;"",VLOOKUP(MONTH(C214),Sheet2!$F$1:$G$12,2,0),"")</f>
        <v>Julho</v>
      </c>
      <c r="L214" s="200">
        <f t="shared" ca="1" si="33"/>
        <v>0</v>
      </c>
      <c r="M214" s="40">
        <f t="shared" ca="1" si="24"/>
        <v>2255.2854533867467</v>
      </c>
      <c r="N214" s="40">
        <f t="shared" ca="1" si="25"/>
        <v>2361.9963594853657</v>
      </c>
      <c r="O214" s="40"/>
      <c r="P214" s="20">
        <f t="shared" ca="1" si="26"/>
        <v>834.89136490250701</v>
      </c>
      <c r="Q214" s="1">
        <f t="shared" si="27"/>
        <v>5854</v>
      </c>
      <c r="R214" s="171">
        <f>IF(AND($J$2&gt;=DATEVALUE("03/04/2020"),$J$2&lt;=DATEVALUE("25/11/2020")),0,IF(Resumo!$C$19="PF",IF(Q214&lt;360,0.0082%*Q214,3%),IF(Q214&lt;360,0.0041%*Q214,1.5%)))</f>
        <v>1.4999999999999999E-2</v>
      </c>
      <c r="S214" s="172">
        <f t="shared" ca="1" si="28"/>
        <v>12.523370473537605</v>
      </c>
      <c r="W214" s="216">
        <f t="shared" ca="1" si="34"/>
        <v>2255.2854533867467</v>
      </c>
    </row>
    <row r="215" spans="2:23">
      <c r="B215" s="37">
        <f t="shared" si="29"/>
        <v>193</v>
      </c>
      <c r="C215" s="163">
        <f t="shared" si="30"/>
        <v>50632</v>
      </c>
      <c r="D215" s="38">
        <f t="shared" ca="1" si="31"/>
        <v>722.34182733621537</v>
      </c>
      <c r="E215" s="38">
        <f t="shared" ca="1" si="35"/>
        <v>1532.9436260505313</v>
      </c>
      <c r="F215" s="38">
        <f ca="1">IF(B215&lt;=$D$16,F214*(1+$D$13)^((C215-C214)/_xlfn.DAYS(EDATE(C214,1),C214)),F214-D215)+IF(B215&lt;=$D$16,F214*Resumo!$F$12,0)+IF(B215&lt;=$D$16,$D$15*Resumo!$F$13,0)+IF(B215&lt;=$D$16,25,0)-IF(AND($D$16&gt;3,B215&lt;=$D$16),J215,0)</f>
        <v>224710.54435656549</v>
      </c>
      <c r="G215" s="38">
        <f ca="1">IF(AND(B215&lt;&gt;"",K215&lt;&gt;$D$17,$D$16&gt;3),F215*Resumo!$F$12,IF(AND(B215&lt;&gt;"",K215&lt;&gt;$D$17,B215&gt;$D$16),F215*Resumo!$F$12,0))</f>
        <v>47.189214314878754</v>
      </c>
      <c r="H215" s="38">
        <f>IF(AND(B215&lt;&gt;"",K215&lt;&gt;$D$17,$D$16&gt;3,$B215&lt;=$D$16),$D$15*Resumo!$F$13,IF(AND(B215&lt;&gt;"",K215&lt;&gt;$D$17,B215&gt;$D$16),$D$15*Resumo!$F$13,0))</f>
        <v>34.369999999999997</v>
      </c>
      <c r="I215" s="38">
        <f>IF(AND(B215&lt;&gt;"",K215&lt;&gt;$D$17,$D$16&gt;3,$B215&lt;=$D$16),Resumo!$F$11,IF(AND(B215&lt;&gt;"",K215&lt;&gt;$D$17,B215&gt;$D$16),Resumo!$F$11,0))</f>
        <v>25</v>
      </c>
      <c r="J215" s="38">
        <f t="shared" ca="1" si="32"/>
        <v>2361.8446677016254</v>
      </c>
      <c r="K215" s="39" t="str">
        <f>IF(B215&lt;&gt;"",VLOOKUP(MONTH(C215),Sheet2!$F$1:$G$12,2,0),"")</f>
        <v>Agosto</v>
      </c>
      <c r="L215" s="200">
        <f t="shared" ca="1" si="33"/>
        <v>0</v>
      </c>
      <c r="M215" s="40">
        <f t="shared" ref="M215:M279" ca="1" si="36">D215+E215</f>
        <v>2255.2854533867467</v>
      </c>
      <c r="N215" s="40">
        <f t="shared" ref="N215:N279" ca="1" si="37">J215</f>
        <v>2361.8446677016254</v>
      </c>
      <c r="O215" s="40"/>
      <c r="P215" s="20">
        <f t="shared" ref="P215:P278" ca="1" si="38">IF(D215=0,0,$F$21/($D$12-$E$17-$D$16))</f>
        <v>834.89136490250701</v>
      </c>
      <c r="Q215" s="1">
        <f t="shared" ref="Q215:Q278" si="39">IFERROR(C215-$J$2,0)</f>
        <v>5885</v>
      </c>
      <c r="R215" s="171">
        <f>IF(AND($J$2&gt;=DATEVALUE("03/04/2020"),$J$2&lt;=DATEVALUE("25/11/2020")),0,IF(Resumo!$C$19="PF",IF(Q215&lt;360,0.0082%*Q215,3%),IF(Q215&lt;360,0.0041%*Q215,1.5%)))</f>
        <v>1.4999999999999999E-2</v>
      </c>
      <c r="S215" s="172">
        <f t="shared" ref="S215:S278" ca="1" si="40">R215*P215</f>
        <v>12.523370473537605</v>
      </c>
      <c r="W215" s="216">
        <f t="shared" ca="1" si="34"/>
        <v>2255.2854533867467</v>
      </c>
    </row>
    <row r="216" spans="2:23">
      <c r="B216" s="41">
        <f t="shared" ref="B216:B279" si="41">IF(B215&lt;$D$12,B215+1,"")</f>
        <v>194</v>
      </c>
      <c r="C216" s="164">
        <f t="shared" ref="C216:C279" si="42">IF(B216&lt;&gt;"",EDATE($C$22,B216),"")</f>
        <v>50663</v>
      </c>
      <c r="D216" s="42">
        <f t="shared" ref="D216:D262" ca="1" si="43">IF(AND(J216&lt;&gt;"",B216&gt;$D$16),$U$20-E216,0)</f>
        <v>727.2537517621015</v>
      </c>
      <c r="E216" s="42">
        <f t="shared" ca="1" si="35"/>
        <v>1528.0317016246452</v>
      </c>
      <c r="F216" s="42">
        <f ca="1">IF(B216&lt;=$D$16,F215*(1+$D$13)^((C216-C215)/_xlfn.DAYS(EDATE(C215,1),C215)),F215-D216)+IF(B216&lt;=$D$16,F215*Resumo!$F$12,0)+IF(B216&lt;=$D$16,$D$15*Resumo!$F$13,0)+IF(B216&lt;=$D$16,25,0)-IF(AND($D$16&gt;3,B216&lt;=$D$16),J216,0)</f>
        <v>223983.29060480339</v>
      </c>
      <c r="G216" s="42">
        <f ca="1">IF(AND(B216&lt;&gt;"",K216&lt;&gt;$D$17,$D$16&gt;3),F216*Resumo!$F$12,IF(AND(B216&lt;&gt;"",K216&lt;&gt;$D$17,B216&gt;$D$16),F216*Resumo!$F$12,0))</f>
        <v>47.036491027008715</v>
      </c>
      <c r="H216" s="42">
        <f>IF(AND(B216&lt;&gt;"",K216&lt;&gt;$D$17,$D$16&gt;3,$B216&lt;=$D$16),$D$15*Resumo!$F$13,IF(AND(B216&lt;&gt;"",K216&lt;&gt;$D$17,B216&gt;$D$16),$D$15*Resumo!$F$13,0))</f>
        <v>34.369999999999997</v>
      </c>
      <c r="I216" s="42">
        <f>IF(AND(B216&lt;&gt;"",K216&lt;&gt;$D$17,$D$16&gt;3,$B216&lt;=$D$16),Resumo!$F$11,IF(AND(B216&lt;&gt;"",K216&lt;&gt;$D$17,B216&gt;$D$16),Resumo!$F$11,0))</f>
        <v>25</v>
      </c>
      <c r="J216" s="42">
        <f t="shared" ref="J216:J279" ca="1" si="44">IF(B216&lt;&gt;"",D216+E216+H216+I216+G216,"")</f>
        <v>2361.6919444137552</v>
      </c>
      <c r="K216" s="39" t="str">
        <f>IF(B216&lt;&gt;"",VLOOKUP(MONTH(C216),Sheet2!$F$1:$G$12,2,0),"")</f>
        <v>Setembro</v>
      </c>
      <c r="L216" s="200">
        <f t="shared" ref="L216:L279" ca="1" si="45">IF(AND(L215=0,J216&gt;J215),C216,0)</f>
        <v>0</v>
      </c>
      <c r="M216" s="40">
        <f t="shared" ca="1" si="36"/>
        <v>2255.2854533867467</v>
      </c>
      <c r="N216" s="40">
        <f t="shared" ca="1" si="37"/>
        <v>2361.6919444137552</v>
      </c>
      <c r="O216" s="40"/>
      <c r="P216" s="20">
        <f t="shared" ca="1" si="38"/>
        <v>834.89136490250701</v>
      </c>
      <c r="Q216" s="1">
        <f t="shared" si="39"/>
        <v>5916</v>
      </c>
      <c r="R216" s="171">
        <f>IF(AND($J$2&gt;=DATEVALUE("03/04/2020"),$J$2&lt;=DATEVALUE("25/11/2020")),0,IF(Resumo!$C$19="PF",IF(Q216&lt;360,0.0082%*Q216,3%),IF(Q216&lt;360,0.0041%*Q216,1.5%)))</f>
        <v>1.4999999999999999E-2</v>
      </c>
      <c r="S216" s="172">
        <f t="shared" ca="1" si="40"/>
        <v>12.523370473537605</v>
      </c>
      <c r="W216" s="216">
        <f t="shared" ref="W216:W279" ca="1" si="46">D216+E216</f>
        <v>2255.2854533867467</v>
      </c>
    </row>
    <row r="217" spans="2:23">
      <c r="B217" s="37">
        <f t="shared" si="41"/>
        <v>195</v>
      </c>
      <c r="C217" s="163">
        <f t="shared" si="42"/>
        <v>50693</v>
      </c>
      <c r="D217" s="38">
        <f t="shared" ca="1" si="43"/>
        <v>732.19907727408372</v>
      </c>
      <c r="E217" s="38">
        <f t="shared" ca="1" si="35"/>
        <v>1523.0863761126629</v>
      </c>
      <c r="F217" s="38">
        <f ca="1">IF(B217&lt;=$D$16,F216*(1+$D$13)^((C217-C216)/_xlfn.DAYS(EDATE(C216,1),C216)),F216-D217)+IF(B217&lt;=$D$16,F216*Resumo!$F$12,0)+IF(B217&lt;=$D$16,$D$15*Resumo!$F$13,0)+IF(B217&lt;=$D$16,25,0)-IF(AND($D$16&gt;3,B217&lt;=$D$16),J217,0)</f>
        <v>223251.09152752929</v>
      </c>
      <c r="G217" s="38">
        <f ca="1">IF(AND(B217&lt;&gt;"",K217&lt;&gt;$D$17,$D$16&gt;3),F217*Resumo!$F$12,IF(AND(B217&lt;&gt;"",K217&lt;&gt;$D$17,B217&gt;$D$16),F217*Resumo!$F$12,0))</f>
        <v>46.882729220781151</v>
      </c>
      <c r="H217" s="38">
        <f>IF(AND(B217&lt;&gt;"",K217&lt;&gt;$D$17,$D$16&gt;3,$B217&lt;=$D$16),$D$15*Resumo!$F$13,IF(AND(B217&lt;&gt;"",K217&lt;&gt;$D$17,B217&gt;$D$16),$D$15*Resumo!$F$13,0))</f>
        <v>34.369999999999997</v>
      </c>
      <c r="I217" s="38">
        <f>IF(AND(B217&lt;&gt;"",K217&lt;&gt;$D$17,$D$16&gt;3,$B217&lt;=$D$16),Resumo!$F$11,IF(AND(B217&lt;&gt;"",K217&lt;&gt;$D$17,B217&gt;$D$16),Resumo!$F$11,0))</f>
        <v>25</v>
      </c>
      <c r="J217" s="38">
        <f t="shared" ca="1" si="44"/>
        <v>2361.5381826075277</v>
      </c>
      <c r="K217" s="39" t="str">
        <f>IF(B217&lt;&gt;"",VLOOKUP(MONTH(C217),Sheet2!$F$1:$G$12,2,0),"")</f>
        <v>Outubro</v>
      </c>
      <c r="L217" s="200">
        <f t="shared" ca="1" si="45"/>
        <v>0</v>
      </c>
      <c r="M217" s="40">
        <f t="shared" ca="1" si="36"/>
        <v>2255.2854533867467</v>
      </c>
      <c r="N217" s="40">
        <f t="shared" ca="1" si="37"/>
        <v>2361.5381826075277</v>
      </c>
      <c r="O217" s="40"/>
      <c r="P217" s="20">
        <f t="shared" ca="1" si="38"/>
        <v>834.89136490250701</v>
      </c>
      <c r="Q217" s="1">
        <f t="shared" si="39"/>
        <v>5946</v>
      </c>
      <c r="R217" s="171">
        <f>IF(AND($J$2&gt;=DATEVALUE("03/04/2020"),$J$2&lt;=DATEVALUE("25/11/2020")),0,IF(Resumo!$C$19="PF",IF(Q217&lt;360,0.0082%*Q217,3%),IF(Q217&lt;360,0.0041%*Q217,1.5%)))</f>
        <v>1.4999999999999999E-2</v>
      </c>
      <c r="S217" s="172">
        <f t="shared" ca="1" si="40"/>
        <v>12.523370473537605</v>
      </c>
      <c r="W217" s="216">
        <f t="shared" ca="1" si="46"/>
        <v>2255.2854533867467</v>
      </c>
    </row>
    <row r="218" spans="2:23">
      <c r="B218" s="41">
        <f t="shared" si="41"/>
        <v>196</v>
      </c>
      <c r="C218" s="164">
        <f t="shared" si="42"/>
        <v>50724</v>
      </c>
      <c r="D218" s="42">
        <f t="shared" ca="1" si="43"/>
        <v>737.17803099954745</v>
      </c>
      <c r="E218" s="42">
        <f t="shared" ca="1" si="35"/>
        <v>1518.1074223871992</v>
      </c>
      <c r="F218" s="42">
        <f ca="1">IF(B218&lt;=$D$16,F217*(1+$D$13)^((C218-C217)/_xlfn.DAYS(EDATE(C217,1),C217)),F217-D218)+IF(B218&lt;=$D$16,F217*Resumo!$F$12,0)+IF(B218&lt;=$D$16,$D$15*Resumo!$F$13,0)+IF(B218&lt;=$D$16,25,0)-IF(AND($D$16&gt;3,B218&lt;=$D$16),J218,0)</f>
        <v>222513.91349652974</v>
      </c>
      <c r="G218" s="42">
        <f ca="1">IF(AND(B218&lt;&gt;"",K218&lt;&gt;$D$17,$D$16&gt;3),F218*Resumo!$F$12,IF(AND(B218&lt;&gt;"",K218&lt;&gt;$D$17,B218&gt;$D$16),F218*Resumo!$F$12,0))</f>
        <v>46.72792183427125</v>
      </c>
      <c r="H218" s="42">
        <f>IF(AND(B218&lt;&gt;"",K218&lt;&gt;$D$17,$D$16&gt;3,$B218&lt;=$D$16),$D$15*Resumo!$F$13,IF(AND(B218&lt;&gt;"",K218&lt;&gt;$D$17,B218&gt;$D$16),$D$15*Resumo!$F$13,0))</f>
        <v>34.369999999999997</v>
      </c>
      <c r="I218" s="42">
        <f>IF(AND(B218&lt;&gt;"",K218&lt;&gt;$D$17,$D$16&gt;3,$B218&lt;=$D$16),Resumo!$F$11,IF(AND(B218&lt;&gt;"",K218&lt;&gt;$D$17,B218&gt;$D$16),Resumo!$F$11,0))</f>
        <v>25</v>
      </c>
      <c r="J218" s="42">
        <f t="shared" ca="1" si="44"/>
        <v>2361.383375221018</v>
      </c>
      <c r="K218" s="39" t="str">
        <f>IF(B218&lt;&gt;"",VLOOKUP(MONTH(C218),Sheet2!$F$1:$G$12,2,0),"")</f>
        <v>Novembro</v>
      </c>
      <c r="L218" s="200">
        <f t="shared" ca="1" si="45"/>
        <v>0</v>
      </c>
      <c r="M218" s="40">
        <f t="shared" ca="1" si="36"/>
        <v>2255.2854533867467</v>
      </c>
      <c r="N218" s="40">
        <f t="shared" ca="1" si="37"/>
        <v>2361.383375221018</v>
      </c>
      <c r="O218" s="40"/>
      <c r="P218" s="20">
        <f t="shared" ca="1" si="38"/>
        <v>834.89136490250701</v>
      </c>
      <c r="Q218" s="1">
        <f t="shared" si="39"/>
        <v>5977</v>
      </c>
      <c r="R218" s="171">
        <f>IF(AND($J$2&gt;=DATEVALUE("03/04/2020"),$J$2&lt;=DATEVALUE("25/11/2020")),0,IF(Resumo!$C$19="PF",IF(Q218&lt;360,0.0082%*Q218,3%),IF(Q218&lt;360,0.0041%*Q218,1.5%)))</f>
        <v>1.4999999999999999E-2</v>
      </c>
      <c r="S218" s="172">
        <f t="shared" ca="1" si="40"/>
        <v>12.523370473537605</v>
      </c>
      <c r="W218" s="216">
        <f t="shared" ca="1" si="46"/>
        <v>2255.2854533867467</v>
      </c>
    </row>
    <row r="219" spans="2:23">
      <c r="B219" s="37">
        <f t="shared" si="41"/>
        <v>197</v>
      </c>
      <c r="C219" s="163">
        <f t="shared" si="42"/>
        <v>50754</v>
      </c>
      <c r="D219" s="38">
        <f t="shared" ca="1" si="43"/>
        <v>742.19084161034448</v>
      </c>
      <c r="E219" s="38">
        <f t="shared" ref="E219:E282" ca="1" si="47">IF(AND(B219&lt;&gt;"",L219&lt;&gt;$D$17,B219&lt;$D$16,$D$16&lt;4),0,IF(AND(B219&lt;&gt;"",L219&lt;&gt;$D$17,B219&lt;=$D$16,$D$16&gt;3),F218*$D$13,IF(AND(B219&lt;&gt;"",L219&lt;&gt;$D$17,B219&gt;$D$16),F218*$D$13,0)))</f>
        <v>1513.0946117764022</v>
      </c>
      <c r="F219" s="38">
        <f ca="1">IF(B219&lt;=$D$16,F218*(1+$D$13)^((C219-C218)/_xlfn.DAYS(EDATE(C218,1),C218)),F218-D219)+IF(B219&lt;=$D$16,F218*Resumo!$F$12,0)+IF(B219&lt;=$D$16,$D$15*Resumo!$F$13,0)+IF(B219&lt;=$D$16,25,0)-IF(AND($D$16&gt;3,B219&lt;=$D$16),J219,0)</f>
        <v>221771.7226549194</v>
      </c>
      <c r="G219" s="38">
        <f ca="1">IF(AND(B219&lt;&gt;"",K219&lt;&gt;$D$17,$D$16&gt;3),F219*Resumo!$F$12,IF(AND(B219&lt;&gt;"",K219&lt;&gt;$D$17,B219&gt;$D$16),F219*Resumo!$F$12,0))</f>
        <v>46.572061757533078</v>
      </c>
      <c r="H219" s="38">
        <f>IF(AND(B219&lt;&gt;"",K219&lt;&gt;$D$17,$D$16&gt;3,$B219&lt;=$D$16),$D$15*Resumo!$F$13,IF(AND(B219&lt;&gt;"",K219&lt;&gt;$D$17,B219&gt;$D$16),$D$15*Resumo!$F$13,0))</f>
        <v>34.369999999999997</v>
      </c>
      <c r="I219" s="38">
        <f>IF(AND(B219&lt;&gt;"",K219&lt;&gt;$D$17,$D$16&gt;3,$B219&lt;=$D$16),Resumo!$F$11,IF(AND(B219&lt;&gt;"",K219&lt;&gt;$D$17,B219&gt;$D$16),Resumo!$F$11,0))</f>
        <v>25</v>
      </c>
      <c r="J219" s="38">
        <f t="shared" ca="1" si="44"/>
        <v>2361.2275151442796</v>
      </c>
      <c r="K219" s="39" t="str">
        <f>IF(B219&lt;&gt;"",VLOOKUP(MONTH(C219),Sheet2!$F$1:$G$12,2,0),"")</f>
        <v>Dezembro</v>
      </c>
      <c r="L219" s="200">
        <f t="shared" ca="1" si="45"/>
        <v>0</v>
      </c>
      <c r="M219" s="40">
        <f t="shared" ca="1" si="36"/>
        <v>2255.2854533867467</v>
      </c>
      <c r="N219" s="40">
        <f t="shared" ca="1" si="37"/>
        <v>2361.2275151442796</v>
      </c>
      <c r="O219" s="40"/>
      <c r="P219" s="20">
        <f t="shared" ca="1" si="38"/>
        <v>834.89136490250701</v>
      </c>
      <c r="Q219" s="1">
        <f t="shared" si="39"/>
        <v>6007</v>
      </c>
      <c r="R219" s="171">
        <f>IF(AND($J$2&gt;=DATEVALUE("03/04/2020"),$J$2&lt;=DATEVALUE("25/11/2020")),0,IF(Resumo!$C$19="PF",IF(Q219&lt;360,0.0082%*Q219,3%),IF(Q219&lt;360,0.0041%*Q219,1.5%)))</f>
        <v>1.4999999999999999E-2</v>
      </c>
      <c r="S219" s="172">
        <f t="shared" ca="1" si="40"/>
        <v>12.523370473537605</v>
      </c>
      <c r="W219" s="216">
        <f t="shared" ca="1" si="46"/>
        <v>2255.2854533867467</v>
      </c>
    </row>
    <row r="220" spans="2:23">
      <c r="B220" s="41">
        <f t="shared" si="41"/>
        <v>198</v>
      </c>
      <c r="C220" s="164">
        <f t="shared" si="42"/>
        <v>50785</v>
      </c>
      <c r="D220" s="42">
        <f t="shared" ca="1" si="43"/>
        <v>747.23773933329471</v>
      </c>
      <c r="E220" s="42">
        <f t="shared" ca="1" si="47"/>
        <v>1508.047714053452</v>
      </c>
      <c r="F220" s="42">
        <f ca="1">IF(B220&lt;=$D$16,F219*(1+$D$13)^((C220-C219)/_xlfn.DAYS(EDATE(C219,1),C219)),F219-D220)+IF(B220&lt;=$D$16,F219*Resumo!$F$12,0)+IF(B220&lt;=$D$16,$D$15*Resumo!$F$13,0)+IF(B220&lt;=$D$16,25,0)-IF(AND($D$16&gt;3,B220&lt;=$D$16),J220,0)</f>
        <v>221024.4849155861</v>
      </c>
      <c r="G220" s="42">
        <f ca="1">IF(AND(B220&lt;&gt;"",K220&lt;&gt;$D$17,$D$16&gt;3),F220*Resumo!$F$12,IF(AND(B220&lt;&gt;"",K220&lt;&gt;$D$17,B220&gt;$D$16),F220*Resumo!$F$12,0))</f>
        <v>46.415141832273086</v>
      </c>
      <c r="H220" s="42">
        <f>IF(AND(B220&lt;&gt;"",K220&lt;&gt;$D$17,$D$16&gt;3,$B220&lt;=$D$16),$D$15*Resumo!$F$13,IF(AND(B220&lt;&gt;"",K220&lt;&gt;$D$17,B220&gt;$D$16),$D$15*Resumo!$F$13,0))</f>
        <v>34.369999999999997</v>
      </c>
      <c r="I220" s="42">
        <f>IF(AND(B220&lt;&gt;"",K220&lt;&gt;$D$17,$D$16&gt;3,$B220&lt;=$D$16),Resumo!$F$11,IF(AND(B220&lt;&gt;"",K220&lt;&gt;$D$17,B220&gt;$D$16),Resumo!$F$11,0))</f>
        <v>25</v>
      </c>
      <c r="J220" s="42">
        <f t="shared" ca="1" si="44"/>
        <v>2361.0705952190197</v>
      </c>
      <c r="K220" s="39" t="str">
        <f>IF(B220&lt;&gt;"",VLOOKUP(MONTH(C220),Sheet2!$F$1:$G$12,2,0),"")</f>
        <v>Janeiro</v>
      </c>
      <c r="L220" s="200">
        <f t="shared" ca="1" si="45"/>
        <v>0</v>
      </c>
      <c r="M220" s="40">
        <f t="shared" ca="1" si="36"/>
        <v>2255.2854533867467</v>
      </c>
      <c r="N220" s="40">
        <f t="shared" ca="1" si="37"/>
        <v>2361.0705952190197</v>
      </c>
      <c r="O220" s="40"/>
      <c r="P220" s="20">
        <f t="shared" ca="1" si="38"/>
        <v>834.89136490250701</v>
      </c>
      <c r="Q220" s="1">
        <f t="shared" si="39"/>
        <v>6038</v>
      </c>
      <c r="R220" s="171">
        <f>IF(AND($J$2&gt;=DATEVALUE("03/04/2020"),$J$2&lt;=DATEVALUE("25/11/2020")),0,IF(Resumo!$C$19="PF",IF(Q220&lt;360,0.0082%*Q220,3%),IF(Q220&lt;360,0.0041%*Q220,1.5%)))</f>
        <v>1.4999999999999999E-2</v>
      </c>
      <c r="S220" s="172">
        <f t="shared" ca="1" si="40"/>
        <v>12.523370473537605</v>
      </c>
      <c r="W220" s="216">
        <f t="shared" ca="1" si="46"/>
        <v>2255.2854533867467</v>
      </c>
    </row>
    <row r="221" spans="2:23">
      <c r="B221" s="37">
        <f t="shared" si="41"/>
        <v>199</v>
      </c>
      <c r="C221" s="163">
        <f t="shared" si="42"/>
        <v>50816</v>
      </c>
      <c r="D221" s="38">
        <f t="shared" ca="1" si="43"/>
        <v>752.31895596076129</v>
      </c>
      <c r="E221" s="38">
        <f t="shared" ca="1" si="47"/>
        <v>1502.9664974259854</v>
      </c>
      <c r="F221" s="38">
        <f ca="1">IF(B221&lt;=$D$16,F220*(1+$D$13)^((C221-C220)/_xlfn.DAYS(EDATE(C220,1),C220)),F220-D221)+IF(B221&lt;=$D$16,F220*Resumo!$F$12,0)+IF(B221&lt;=$D$16,$D$15*Resumo!$F$13,0)+IF(B221&lt;=$D$16,25,0)-IF(AND($D$16&gt;3,B221&lt;=$D$16),J221,0)</f>
        <v>220272.16595962533</v>
      </c>
      <c r="G221" s="38">
        <f ca="1">IF(AND(B221&lt;&gt;"",K221&lt;&gt;$D$17,$D$16&gt;3),F221*Resumo!$F$12,IF(AND(B221&lt;&gt;"",K221&lt;&gt;$D$17,B221&gt;$D$16),F221*Resumo!$F$12,0))</f>
        <v>46.257154851521321</v>
      </c>
      <c r="H221" s="38">
        <f>IF(AND(B221&lt;&gt;"",K221&lt;&gt;$D$17,$D$16&gt;3,$B221&lt;=$D$16),$D$15*Resumo!$F$13,IF(AND(B221&lt;&gt;"",K221&lt;&gt;$D$17,B221&gt;$D$16),$D$15*Resumo!$F$13,0))</f>
        <v>34.369999999999997</v>
      </c>
      <c r="I221" s="38">
        <f>IF(AND(B221&lt;&gt;"",K221&lt;&gt;$D$17,$D$16&gt;3,$B221&lt;=$D$16),Resumo!$F$11,IF(AND(B221&lt;&gt;"",K221&lt;&gt;$D$17,B221&gt;$D$16),Resumo!$F$11,0))</f>
        <v>25</v>
      </c>
      <c r="J221" s="38">
        <f t="shared" ca="1" si="44"/>
        <v>2360.9126082382677</v>
      </c>
      <c r="K221" s="39" t="str">
        <f>IF(B221&lt;&gt;"",VLOOKUP(MONTH(C221),Sheet2!$F$1:$G$12,2,0),"")</f>
        <v>Fevereiro</v>
      </c>
      <c r="L221" s="200">
        <f t="shared" ca="1" si="45"/>
        <v>0</v>
      </c>
      <c r="M221" s="40">
        <f t="shared" ca="1" si="36"/>
        <v>2255.2854533867467</v>
      </c>
      <c r="N221" s="40">
        <f t="shared" ca="1" si="37"/>
        <v>2360.9126082382677</v>
      </c>
      <c r="O221" s="40"/>
      <c r="P221" s="20">
        <f t="shared" ca="1" si="38"/>
        <v>834.89136490250701</v>
      </c>
      <c r="Q221" s="1">
        <f t="shared" si="39"/>
        <v>6069</v>
      </c>
      <c r="R221" s="171">
        <f>IF(AND($J$2&gt;=DATEVALUE("03/04/2020"),$J$2&lt;=DATEVALUE("25/11/2020")),0,IF(Resumo!$C$19="PF",IF(Q221&lt;360,0.0082%*Q221,3%),IF(Q221&lt;360,0.0041%*Q221,1.5%)))</f>
        <v>1.4999999999999999E-2</v>
      </c>
      <c r="S221" s="172">
        <f t="shared" ca="1" si="40"/>
        <v>12.523370473537605</v>
      </c>
      <c r="W221" s="216">
        <f t="shared" ca="1" si="46"/>
        <v>2255.2854533867467</v>
      </c>
    </row>
    <row r="222" spans="2:23">
      <c r="B222" s="41">
        <f t="shared" si="41"/>
        <v>200</v>
      </c>
      <c r="C222" s="164">
        <f t="shared" si="42"/>
        <v>50844</v>
      </c>
      <c r="D222" s="42">
        <f t="shared" ca="1" si="43"/>
        <v>757.4347248612944</v>
      </c>
      <c r="E222" s="42">
        <f t="shared" ca="1" si="47"/>
        <v>1497.8507285254523</v>
      </c>
      <c r="F222" s="42">
        <f ca="1">IF(B222&lt;=$D$16,F221*(1+$D$13)^((C222-C221)/_xlfn.DAYS(EDATE(C221,1),C221)),F221-D222)+IF(B222&lt;=$D$16,F221*Resumo!$F$12,0)+IF(B222&lt;=$D$16,$D$15*Resumo!$F$13,0)+IF(B222&lt;=$D$16,25,0)-IF(AND($D$16&gt;3,B222&lt;=$D$16),J222,0)</f>
        <v>219514.73123476404</v>
      </c>
      <c r="G222" s="42">
        <f ca="1">IF(AND(B222&lt;&gt;"",K222&lt;&gt;$D$17,$D$16&gt;3),F222*Resumo!$F$12,IF(AND(B222&lt;&gt;"",K222&lt;&gt;$D$17,B222&gt;$D$16),F222*Resumo!$F$12,0))</f>
        <v>46.098093559300452</v>
      </c>
      <c r="H222" s="42">
        <f>IF(AND(B222&lt;&gt;"",K222&lt;&gt;$D$17,$D$16&gt;3,$B222&lt;=$D$16),$D$15*Resumo!$F$13,IF(AND(B222&lt;&gt;"",K222&lt;&gt;$D$17,B222&gt;$D$16),$D$15*Resumo!$F$13,0))</f>
        <v>34.369999999999997</v>
      </c>
      <c r="I222" s="42">
        <f>IF(AND(B222&lt;&gt;"",K222&lt;&gt;$D$17,$D$16&gt;3,$B222&lt;=$D$16),Resumo!$F$11,IF(AND(B222&lt;&gt;"",K222&lt;&gt;$D$17,B222&gt;$D$16),Resumo!$F$11,0))</f>
        <v>25</v>
      </c>
      <c r="J222" s="42">
        <f t="shared" ca="1" si="44"/>
        <v>2360.7535469460472</v>
      </c>
      <c r="K222" s="39" t="str">
        <f>IF(B222&lt;&gt;"",VLOOKUP(MONTH(C222),Sheet2!$F$1:$G$12,2,0),"")</f>
        <v>Março</v>
      </c>
      <c r="L222" s="200">
        <f t="shared" ca="1" si="45"/>
        <v>0</v>
      </c>
      <c r="M222" s="40">
        <f t="shared" ca="1" si="36"/>
        <v>2255.2854533867467</v>
      </c>
      <c r="N222" s="40">
        <f t="shared" ca="1" si="37"/>
        <v>2360.7535469460472</v>
      </c>
      <c r="O222" s="40"/>
      <c r="P222" s="20">
        <f t="shared" ca="1" si="38"/>
        <v>834.89136490250701</v>
      </c>
      <c r="Q222" s="1">
        <f t="shared" si="39"/>
        <v>6097</v>
      </c>
      <c r="R222" s="171">
        <f>IF(AND($J$2&gt;=DATEVALUE("03/04/2020"),$J$2&lt;=DATEVALUE("25/11/2020")),0,IF(Resumo!$C$19="PF",IF(Q222&lt;360,0.0082%*Q222,3%),IF(Q222&lt;360,0.0041%*Q222,1.5%)))</f>
        <v>1.4999999999999999E-2</v>
      </c>
      <c r="S222" s="172">
        <f t="shared" ca="1" si="40"/>
        <v>12.523370473537605</v>
      </c>
      <c r="W222" s="216">
        <f t="shared" ca="1" si="46"/>
        <v>2255.2854533867467</v>
      </c>
    </row>
    <row r="223" spans="2:23">
      <c r="B223" s="37">
        <f t="shared" si="41"/>
        <v>201</v>
      </c>
      <c r="C223" s="163">
        <f t="shared" si="42"/>
        <v>50875</v>
      </c>
      <c r="D223" s="38">
        <f t="shared" ca="1" si="43"/>
        <v>762.58528099035129</v>
      </c>
      <c r="E223" s="38">
        <f t="shared" ca="1" si="47"/>
        <v>1492.7001723963954</v>
      </c>
      <c r="F223" s="38">
        <f ca="1">IF(B223&lt;=$D$16,F222*(1+$D$13)^((C223-C222)/_xlfn.DAYS(EDATE(C222,1),C222)),F222-D223)+IF(B223&lt;=$D$16,F222*Resumo!$F$12,0)+IF(B223&lt;=$D$16,$D$15*Resumo!$F$13,0)+IF(B223&lt;=$D$16,25,0)-IF(AND($D$16&gt;3,B223&lt;=$D$16),J223,0)</f>
        <v>218752.1459537737</v>
      </c>
      <c r="G223" s="38">
        <f ca="1">IF(AND(B223&lt;&gt;"",K223&lt;&gt;$D$17,$D$16&gt;3),F223*Resumo!$F$12,IF(AND(B223&lt;&gt;"",K223&lt;&gt;$D$17,B223&gt;$D$16),F223*Resumo!$F$12,0))</f>
        <v>45.937950650292478</v>
      </c>
      <c r="H223" s="38">
        <f>IF(AND(B223&lt;&gt;"",K223&lt;&gt;$D$17,$D$16&gt;3,$B223&lt;=$D$16),$D$15*Resumo!$F$13,IF(AND(B223&lt;&gt;"",K223&lt;&gt;$D$17,B223&gt;$D$16),$D$15*Resumo!$F$13,0))</f>
        <v>34.369999999999997</v>
      </c>
      <c r="I223" s="38">
        <f>IF(AND(B223&lt;&gt;"",K223&lt;&gt;$D$17,$D$16&gt;3,$B223&lt;=$D$16),Resumo!$F$11,IF(AND(B223&lt;&gt;"",K223&lt;&gt;$D$17,B223&gt;$D$16),Resumo!$F$11,0))</f>
        <v>25</v>
      </c>
      <c r="J223" s="38">
        <f t="shared" ca="1" si="44"/>
        <v>2360.5934040370389</v>
      </c>
      <c r="K223" s="39" t="str">
        <f>IF(B223&lt;&gt;"",VLOOKUP(MONTH(C223),Sheet2!$F$1:$G$12,2,0),"")</f>
        <v>Abril</v>
      </c>
      <c r="L223" s="200">
        <f t="shared" ca="1" si="45"/>
        <v>0</v>
      </c>
      <c r="M223" s="40">
        <f t="shared" ca="1" si="36"/>
        <v>2255.2854533867467</v>
      </c>
      <c r="N223" s="40">
        <f t="shared" ca="1" si="37"/>
        <v>2360.5934040370389</v>
      </c>
      <c r="O223" s="40"/>
      <c r="P223" s="20">
        <f t="shared" ca="1" si="38"/>
        <v>834.89136490250701</v>
      </c>
      <c r="Q223" s="1">
        <f t="shared" si="39"/>
        <v>6128</v>
      </c>
      <c r="R223" s="171">
        <f>IF(AND($J$2&gt;=DATEVALUE("03/04/2020"),$J$2&lt;=DATEVALUE("25/11/2020")),0,IF(Resumo!$C$19="PF",IF(Q223&lt;360,0.0082%*Q223,3%),IF(Q223&lt;360,0.0041%*Q223,1.5%)))</f>
        <v>1.4999999999999999E-2</v>
      </c>
      <c r="S223" s="172">
        <f t="shared" ca="1" si="40"/>
        <v>12.523370473537605</v>
      </c>
      <c r="W223" s="216">
        <f t="shared" ca="1" si="46"/>
        <v>2255.2854533867467</v>
      </c>
    </row>
    <row r="224" spans="2:23">
      <c r="B224" s="41">
        <f t="shared" si="41"/>
        <v>202</v>
      </c>
      <c r="C224" s="164">
        <f t="shared" si="42"/>
        <v>50905</v>
      </c>
      <c r="D224" s="42">
        <f t="shared" ca="1" si="43"/>
        <v>767.7708609010856</v>
      </c>
      <c r="E224" s="42">
        <f t="shared" ca="1" si="47"/>
        <v>1487.5145924856611</v>
      </c>
      <c r="F224" s="42">
        <f ca="1">IF(B224&lt;=$D$16,F223*(1+$D$13)^((C224-C223)/_xlfn.DAYS(EDATE(C223,1),C223)),F223-D224)+IF(B224&lt;=$D$16,F223*Resumo!$F$12,0)+IF(B224&lt;=$D$16,$D$15*Resumo!$F$13,0)+IF(B224&lt;=$D$16,25,0)-IF(AND($D$16&gt;3,B224&lt;=$D$16),J224,0)</f>
        <v>217984.37509287262</v>
      </c>
      <c r="G224" s="42">
        <f ca="1">IF(AND(B224&lt;&gt;"",K224&lt;&gt;$D$17,$D$16&gt;3),F224*Resumo!$F$12,IF(AND(B224&lt;&gt;"",K224&lt;&gt;$D$17,B224&gt;$D$16),F224*Resumo!$F$12,0))</f>
        <v>45.776718769503255</v>
      </c>
      <c r="H224" s="42">
        <f>IF(AND(B224&lt;&gt;"",K224&lt;&gt;$D$17,$D$16&gt;3,$B224&lt;=$D$16),$D$15*Resumo!$F$13,IF(AND(B224&lt;&gt;"",K224&lt;&gt;$D$17,B224&gt;$D$16),$D$15*Resumo!$F$13,0))</f>
        <v>34.369999999999997</v>
      </c>
      <c r="I224" s="42">
        <f>IF(AND(B224&lt;&gt;"",K224&lt;&gt;$D$17,$D$16&gt;3,$B224&lt;=$D$16),Resumo!$F$11,IF(AND(B224&lt;&gt;"",K224&lt;&gt;$D$17,B224&gt;$D$16),Resumo!$F$11,0))</f>
        <v>25</v>
      </c>
      <c r="J224" s="42">
        <f t="shared" ca="1" si="44"/>
        <v>2360.4321721562496</v>
      </c>
      <c r="K224" s="39" t="str">
        <f>IF(B224&lt;&gt;"",VLOOKUP(MONTH(C224),Sheet2!$F$1:$G$12,2,0),"")</f>
        <v>Maio</v>
      </c>
      <c r="L224" s="200">
        <f t="shared" ca="1" si="45"/>
        <v>0</v>
      </c>
      <c r="M224" s="40">
        <f t="shared" ca="1" si="36"/>
        <v>2255.2854533867467</v>
      </c>
      <c r="N224" s="40">
        <f t="shared" ca="1" si="37"/>
        <v>2360.4321721562496</v>
      </c>
      <c r="O224" s="40"/>
      <c r="P224" s="20">
        <f t="shared" ca="1" si="38"/>
        <v>834.89136490250701</v>
      </c>
      <c r="Q224" s="1">
        <f t="shared" si="39"/>
        <v>6158</v>
      </c>
      <c r="R224" s="171">
        <f>IF(AND($J$2&gt;=DATEVALUE("03/04/2020"),$J$2&lt;=DATEVALUE("25/11/2020")),0,IF(Resumo!$C$19="PF",IF(Q224&lt;360,0.0082%*Q224,3%),IF(Q224&lt;360,0.0041%*Q224,1.5%)))</f>
        <v>1.4999999999999999E-2</v>
      </c>
      <c r="S224" s="172">
        <f t="shared" ca="1" si="40"/>
        <v>12.523370473537605</v>
      </c>
      <c r="W224" s="216">
        <f t="shared" ca="1" si="46"/>
        <v>2255.2854533867467</v>
      </c>
    </row>
    <row r="225" spans="2:23">
      <c r="B225" s="37">
        <f t="shared" si="41"/>
        <v>203</v>
      </c>
      <c r="C225" s="163">
        <f t="shared" si="42"/>
        <v>50936</v>
      </c>
      <c r="D225" s="38">
        <f t="shared" ca="1" si="43"/>
        <v>772.99170275521283</v>
      </c>
      <c r="E225" s="38">
        <f t="shared" ca="1" si="47"/>
        <v>1482.2937506315338</v>
      </c>
      <c r="F225" s="38">
        <f ca="1">IF(B225&lt;=$D$16,F224*(1+$D$13)^((C225-C224)/_xlfn.DAYS(EDATE(C224,1),C224)),F224-D225)+IF(B225&lt;=$D$16,F224*Resumo!$F$12,0)+IF(B225&lt;=$D$16,$D$15*Resumo!$F$13,0)+IF(B225&lt;=$D$16,25,0)-IF(AND($D$16&gt;3,B225&lt;=$D$16),J225,0)</f>
        <v>217211.38339011741</v>
      </c>
      <c r="G225" s="38">
        <f ca="1">IF(AND(B225&lt;&gt;"",K225&lt;&gt;$D$17,$D$16&gt;3),F225*Resumo!$F$12,IF(AND(B225&lt;&gt;"",K225&lt;&gt;$D$17,B225&gt;$D$16),F225*Resumo!$F$12,0))</f>
        <v>45.614390511924654</v>
      </c>
      <c r="H225" s="38">
        <f>IF(AND(B225&lt;&gt;"",K225&lt;&gt;$D$17,$D$16&gt;3,$B225&lt;=$D$16),$D$15*Resumo!$F$13,IF(AND(B225&lt;&gt;"",K225&lt;&gt;$D$17,B225&gt;$D$16),$D$15*Resumo!$F$13,0))</f>
        <v>34.369999999999997</v>
      </c>
      <c r="I225" s="38">
        <f>IF(AND(B225&lt;&gt;"",K225&lt;&gt;$D$17,$D$16&gt;3,$B225&lt;=$D$16),Resumo!$F$11,IF(AND(B225&lt;&gt;"",K225&lt;&gt;$D$17,B225&gt;$D$16),Resumo!$F$11,0))</f>
        <v>25</v>
      </c>
      <c r="J225" s="38">
        <f t="shared" ca="1" si="44"/>
        <v>2360.2698438986713</v>
      </c>
      <c r="K225" s="39" t="str">
        <f>IF(B225&lt;&gt;"",VLOOKUP(MONTH(C225),Sheet2!$F$1:$G$12,2,0),"")</f>
        <v>Junho</v>
      </c>
      <c r="L225" s="200">
        <f t="shared" ca="1" si="45"/>
        <v>0</v>
      </c>
      <c r="M225" s="40">
        <f t="shared" ca="1" si="36"/>
        <v>2255.2854533867467</v>
      </c>
      <c r="N225" s="40">
        <f t="shared" ca="1" si="37"/>
        <v>2360.2698438986713</v>
      </c>
      <c r="O225" s="40"/>
      <c r="P225" s="20">
        <f t="shared" ca="1" si="38"/>
        <v>834.89136490250701</v>
      </c>
      <c r="Q225" s="1">
        <f t="shared" si="39"/>
        <v>6189</v>
      </c>
      <c r="R225" s="171">
        <f>IF(AND($J$2&gt;=DATEVALUE("03/04/2020"),$J$2&lt;=DATEVALUE("25/11/2020")),0,IF(Resumo!$C$19="PF",IF(Q225&lt;360,0.0082%*Q225,3%),IF(Q225&lt;360,0.0041%*Q225,1.5%)))</f>
        <v>1.4999999999999999E-2</v>
      </c>
      <c r="S225" s="172">
        <f t="shared" ca="1" si="40"/>
        <v>12.523370473537605</v>
      </c>
      <c r="W225" s="216">
        <f t="shared" ca="1" si="46"/>
        <v>2255.2854533867467</v>
      </c>
    </row>
    <row r="226" spans="2:23">
      <c r="B226" s="41">
        <f t="shared" si="41"/>
        <v>204</v>
      </c>
      <c r="C226" s="164">
        <f t="shared" si="42"/>
        <v>50966</v>
      </c>
      <c r="D226" s="42">
        <f t="shared" ca="1" si="43"/>
        <v>778.24804633394842</v>
      </c>
      <c r="E226" s="42">
        <f t="shared" ca="1" si="47"/>
        <v>1477.0374070527982</v>
      </c>
      <c r="F226" s="42">
        <f ca="1">IF(B226&lt;=$D$16,F225*(1+$D$13)^((C226-C225)/_xlfn.DAYS(EDATE(C225,1),C225)),F225-D226)+IF(B226&lt;=$D$16,F225*Resumo!$F$12,0)+IF(B226&lt;=$D$16,$D$15*Resumo!$F$13,0)+IF(B226&lt;=$D$16,25,0)-IF(AND($D$16&gt;3,B226&lt;=$D$16),J226,0)</f>
        <v>216433.13534378345</v>
      </c>
      <c r="G226" s="42">
        <f ca="1">IF(AND(B226&lt;&gt;"",K226&lt;&gt;$D$17,$D$16&gt;3),F226*Resumo!$F$12,IF(AND(B226&lt;&gt;"",K226&lt;&gt;$D$17,B226&gt;$D$16),F226*Resumo!$F$12,0))</f>
        <v>45.450958422194525</v>
      </c>
      <c r="H226" s="42">
        <f>IF(AND(B226&lt;&gt;"",K226&lt;&gt;$D$17,$D$16&gt;3,$B226&lt;=$D$16),$D$15*Resumo!$F$13,IF(AND(B226&lt;&gt;"",K226&lt;&gt;$D$17,B226&gt;$D$16),$D$15*Resumo!$F$13,0))</f>
        <v>34.369999999999997</v>
      </c>
      <c r="I226" s="42">
        <f>IF(AND(B226&lt;&gt;"",K226&lt;&gt;$D$17,$D$16&gt;3,$B226&lt;=$D$16),Resumo!$F$11,IF(AND(B226&lt;&gt;"",K226&lt;&gt;$D$17,B226&gt;$D$16),Resumo!$F$11,0))</f>
        <v>25</v>
      </c>
      <c r="J226" s="42">
        <f t="shared" ca="1" si="44"/>
        <v>2360.1064118089412</v>
      </c>
      <c r="K226" s="39" t="str">
        <f>IF(B226&lt;&gt;"",VLOOKUP(MONTH(C226),Sheet2!$F$1:$G$12,2,0),"")</f>
        <v>Julho</v>
      </c>
      <c r="L226" s="200">
        <f t="shared" ca="1" si="45"/>
        <v>0</v>
      </c>
      <c r="M226" s="40">
        <f t="shared" ca="1" si="36"/>
        <v>2255.2854533867467</v>
      </c>
      <c r="N226" s="40">
        <f t="shared" ca="1" si="37"/>
        <v>2360.1064118089412</v>
      </c>
      <c r="O226" s="40"/>
      <c r="P226" s="20">
        <f t="shared" ca="1" si="38"/>
        <v>834.89136490250701</v>
      </c>
      <c r="Q226" s="1">
        <f t="shared" si="39"/>
        <v>6219</v>
      </c>
      <c r="R226" s="171">
        <f>IF(AND($J$2&gt;=DATEVALUE("03/04/2020"),$J$2&lt;=DATEVALUE("25/11/2020")),0,IF(Resumo!$C$19="PF",IF(Q226&lt;360,0.0082%*Q226,3%),IF(Q226&lt;360,0.0041%*Q226,1.5%)))</f>
        <v>1.4999999999999999E-2</v>
      </c>
      <c r="S226" s="172">
        <f t="shared" ca="1" si="40"/>
        <v>12.523370473537605</v>
      </c>
      <c r="W226" s="216">
        <f t="shared" ca="1" si="46"/>
        <v>2255.2854533867467</v>
      </c>
    </row>
    <row r="227" spans="2:23">
      <c r="B227" s="37">
        <f t="shared" si="41"/>
        <v>205</v>
      </c>
      <c r="C227" s="163">
        <f t="shared" si="42"/>
        <v>50997</v>
      </c>
      <c r="D227" s="38">
        <f t="shared" ca="1" si="43"/>
        <v>783.54013304901923</v>
      </c>
      <c r="E227" s="38">
        <f t="shared" ca="1" si="47"/>
        <v>1471.7453203377274</v>
      </c>
      <c r="F227" s="38">
        <f ca="1">IF(B227&lt;=$D$16,F226*(1+$D$13)^((C227-C226)/_xlfn.DAYS(EDATE(C226,1),C226)),F226-D227)+IF(B227&lt;=$D$16,F226*Resumo!$F$12,0)+IF(B227&lt;=$D$16,$D$15*Resumo!$F$13,0)+IF(B227&lt;=$D$16,25,0)-IF(AND($D$16&gt;3,B227&lt;=$D$16),J227,0)</f>
        <v>215649.59521073443</v>
      </c>
      <c r="G227" s="38">
        <f ca="1">IF(AND(B227&lt;&gt;"",K227&lt;&gt;$D$17,$D$16&gt;3),F227*Resumo!$F$12,IF(AND(B227&lt;&gt;"",K227&lt;&gt;$D$17,B227&gt;$D$16),F227*Resumo!$F$12,0))</f>
        <v>45.28641499425423</v>
      </c>
      <c r="H227" s="38">
        <f>IF(AND(B227&lt;&gt;"",K227&lt;&gt;$D$17,$D$16&gt;3,$B227&lt;=$D$16),$D$15*Resumo!$F$13,IF(AND(B227&lt;&gt;"",K227&lt;&gt;$D$17,B227&gt;$D$16),$D$15*Resumo!$F$13,0))</f>
        <v>34.369999999999997</v>
      </c>
      <c r="I227" s="38">
        <f>IF(AND(B227&lt;&gt;"",K227&lt;&gt;$D$17,$D$16&gt;3,$B227&lt;=$D$16),Resumo!$F$11,IF(AND(B227&lt;&gt;"",K227&lt;&gt;$D$17,B227&gt;$D$16),Resumo!$F$11,0))</f>
        <v>25</v>
      </c>
      <c r="J227" s="38">
        <f t="shared" ca="1" si="44"/>
        <v>2359.9418683810009</v>
      </c>
      <c r="K227" s="39" t="str">
        <f>IF(B227&lt;&gt;"",VLOOKUP(MONTH(C227),Sheet2!$F$1:$G$12,2,0),"")</f>
        <v>Agosto</v>
      </c>
      <c r="L227" s="200">
        <f t="shared" ca="1" si="45"/>
        <v>0</v>
      </c>
      <c r="M227" s="40">
        <f t="shared" ca="1" si="36"/>
        <v>2255.2854533867467</v>
      </c>
      <c r="N227" s="40">
        <f t="shared" ca="1" si="37"/>
        <v>2359.9418683810009</v>
      </c>
      <c r="O227" s="40"/>
      <c r="P227" s="20">
        <f t="shared" ca="1" si="38"/>
        <v>834.89136490250701</v>
      </c>
      <c r="Q227" s="1">
        <f t="shared" si="39"/>
        <v>6250</v>
      </c>
      <c r="R227" s="171">
        <f>IF(AND($J$2&gt;=DATEVALUE("03/04/2020"),$J$2&lt;=DATEVALUE("25/11/2020")),0,IF(Resumo!$C$19="PF",IF(Q227&lt;360,0.0082%*Q227,3%),IF(Q227&lt;360,0.0041%*Q227,1.5%)))</f>
        <v>1.4999999999999999E-2</v>
      </c>
      <c r="S227" s="172">
        <f t="shared" ca="1" si="40"/>
        <v>12.523370473537605</v>
      </c>
      <c r="W227" s="216">
        <f t="shared" ca="1" si="46"/>
        <v>2255.2854533867467</v>
      </c>
    </row>
    <row r="228" spans="2:23">
      <c r="B228" s="41">
        <f t="shared" si="41"/>
        <v>206</v>
      </c>
      <c r="C228" s="164">
        <f t="shared" si="42"/>
        <v>51028</v>
      </c>
      <c r="D228" s="42">
        <f t="shared" ca="1" si="43"/>
        <v>788.86820595375252</v>
      </c>
      <c r="E228" s="42">
        <f t="shared" ca="1" si="47"/>
        <v>1466.4172474329941</v>
      </c>
      <c r="F228" s="42">
        <f ca="1">IF(B228&lt;=$D$16,F227*(1+$D$13)^((C228-C227)/_xlfn.DAYS(EDATE(C227,1),C227)),F227-D228)+IF(B228&lt;=$D$16,F227*Resumo!$F$12,0)+IF(B228&lt;=$D$16,$D$15*Resumo!$F$13,0)+IF(B228&lt;=$D$16,25,0)-IF(AND($D$16&gt;3,B228&lt;=$D$16),J228,0)</f>
        <v>214860.7270047807</v>
      </c>
      <c r="G228" s="42">
        <f ca="1">IF(AND(B228&lt;&gt;"",K228&lt;&gt;$D$17,$D$16&gt;3),F228*Resumo!$F$12,IF(AND(B228&lt;&gt;"",K228&lt;&gt;$D$17,B228&gt;$D$16),F228*Resumo!$F$12,0))</f>
        <v>45.120752671003949</v>
      </c>
      <c r="H228" s="42">
        <f>IF(AND(B228&lt;&gt;"",K228&lt;&gt;$D$17,$D$16&gt;3,$B228&lt;=$D$16),$D$15*Resumo!$F$13,IF(AND(B228&lt;&gt;"",K228&lt;&gt;$D$17,B228&gt;$D$16),$D$15*Resumo!$F$13,0))</f>
        <v>34.369999999999997</v>
      </c>
      <c r="I228" s="42">
        <f>IF(AND(B228&lt;&gt;"",K228&lt;&gt;$D$17,$D$16&gt;3,$B228&lt;=$D$16),Resumo!$F$11,IF(AND(B228&lt;&gt;"",K228&lt;&gt;$D$17,B228&gt;$D$16),Resumo!$F$11,0))</f>
        <v>25</v>
      </c>
      <c r="J228" s="42">
        <f t="shared" ca="1" si="44"/>
        <v>2359.7762060577506</v>
      </c>
      <c r="K228" s="39" t="str">
        <f>IF(B228&lt;&gt;"",VLOOKUP(MONTH(C228),Sheet2!$F$1:$G$12,2,0),"")</f>
        <v>Setembro</v>
      </c>
      <c r="L228" s="200">
        <f t="shared" ca="1" si="45"/>
        <v>0</v>
      </c>
      <c r="M228" s="40">
        <f t="shared" ca="1" si="36"/>
        <v>2255.2854533867467</v>
      </c>
      <c r="N228" s="40">
        <f t="shared" ca="1" si="37"/>
        <v>2359.7762060577506</v>
      </c>
      <c r="O228" s="40"/>
      <c r="P228" s="20">
        <f t="shared" ca="1" si="38"/>
        <v>834.89136490250701</v>
      </c>
      <c r="Q228" s="1">
        <f t="shared" si="39"/>
        <v>6281</v>
      </c>
      <c r="R228" s="171">
        <f>IF(AND($J$2&gt;=DATEVALUE("03/04/2020"),$J$2&lt;=DATEVALUE("25/11/2020")),0,IF(Resumo!$C$19="PF",IF(Q228&lt;360,0.0082%*Q228,3%),IF(Q228&lt;360,0.0041%*Q228,1.5%)))</f>
        <v>1.4999999999999999E-2</v>
      </c>
      <c r="S228" s="172">
        <f t="shared" ca="1" si="40"/>
        <v>12.523370473537605</v>
      </c>
      <c r="W228" s="216">
        <f t="shared" ca="1" si="46"/>
        <v>2255.2854533867467</v>
      </c>
    </row>
    <row r="229" spans="2:23">
      <c r="B229" s="37">
        <f t="shared" si="41"/>
        <v>207</v>
      </c>
      <c r="C229" s="163">
        <f t="shared" si="42"/>
        <v>51058</v>
      </c>
      <c r="D229" s="38">
        <f t="shared" ca="1" si="43"/>
        <v>794.23250975423798</v>
      </c>
      <c r="E229" s="38">
        <f t="shared" ca="1" si="47"/>
        <v>1461.0529436325087</v>
      </c>
      <c r="F229" s="38">
        <f ca="1">IF(B229&lt;=$D$16,F228*(1+$D$13)^((C229-C228)/_xlfn.DAYS(EDATE(C228,1),C228)),F228-D229)+IF(B229&lt;=$D$16,F228*Resumo!$F$12,0)+IF(B229&lt;=$D$16,$D$15*Resumo!$F$13,0)+IF(B229&lt;=$D$16,25,0)-IF(AND($D$16&gt;3,B229&lt;=$D$16),J229,0)</f>
        <v>214066.49449502645</v>
      </c>
      <c r="G229" s="38">
        <f ca="1">IF(AND(B229&lt;&gt;"",K229&lt;&gt;$D$17,$D$16&gt;3),F229*Resumo!$F$12,IF(AND(B229&lt;&gt;"",K229&lt;&gt;$D$17,B229&gt;$D$16),F229*Resumo!$F$12,0))</f>
        <v>44.953963843955556</v>
      </c>
      <c r="H229" s="38">
        <f>IF(AND(B229&lt;&gt;"",K229&lt;&gt;$D$17,$D$16&gt;3,$B229&lt;=$D$16),$D$15*Resumo!$F$13,IF(AND(B229&lt;&gt;"",K229&lt;&gt;$D$17,B229&gt;$D$16),$D$15*Resumo!$F$13,0))</f>
        <v>34.369999999999997</v>
      </c>
      <c r="I229" s="38">
        <f>IF(AND(B229&lt;&gt;"",K229&lt;&gt;$D$17,$D$16&gt;3,$B229&lt;=$D$16),Resumo!$F$11,IF(AND(B229&lt;&gt;"",K229&lt;&gt;$D$17,B229&gt;$D$16),Resumo!$F$11,0))</f>
        <v>25</v>
      </c>
      <c r="J229" s="38">
        <f t="shared" ca="1" si="44"/>
        <v>2359.6094172307021</v>
      </c>
      <c r="K229" s="39" t="str">
        <f>IF(B229&lt;&gt;"",VLOOKUP(MONTH(C229),Sheet2!$F$1:$G$12,2,0),"")</f>
        <v>Outubro</v>
      </c>
      <c r="L229" s="200">
        <f t="shared" ca="1" si="45"/>
        <v>0</v>
      </c>
      <c r="M229" s="40">
        <f t="shared" ca="1" si="36"/>
        <v>2255.2854533867467</v>
      </c>
      <c r="N229" s="40">
        <f t="shared" ca="1" si="37"/>
        <v>2359.6094172307021</v>
      </c>
      <c r="O229" s="40"/>
      <c r="P229" s="20">
        <f t="shared" ca="1" si="38"/>
        <v>834.89136490250701</v>
      </c>
      <c r="Q229" s="1">
        <f t="shared" si="39"/>
        <v>6311</v>
      </c>
      <c r="R229" s="171">
        <f>IF(AND($J$2&gt;=DATEVALUE("03/04/2020"),$J$2&lt;=DATEVALUE("25/11/2020")),0,IF(Resumo!$C$19="PF",IF(Q229&lt;360,0.0082%*Q229,3%),IF(Q229&lt;360,0.0041%*Q229,1.5%)))</f>
        <v>1.4999999999999999E-2</v>
      </c>
      <c r="S229" s="172">
        <f t="shared" ca="1" si="40"/>
        <v>12.523370473537605</v>
      </c>
      <c r="W229" s="216">
        <f t="shared" ca="1" si="46"/>
        <v>2255.2854533867467</v>
      </c>
    </row>
    <row r="230" spans="2:23">
      <c r="B230" s="41">
        <f t="shared" si="41"/>
        <v>208</v>
      </c>
      <c r="C230" s="164">
        <f t="shared" si="42"/>
        <v>51089</v>
      </c>
      <c r="D230" s="42">
        <f t="shared" ca="1" si="43"/>
        <v>799.6332908205668</v>
      </c>
      <c r="E230" s="42">
        <f t="shared" ca="1" si="47"/>
        <v>1455.6521625661799</v>
      </c>
      <c r="F230" s="42">
        <f ca="1">IF(B230&lt;=$D$16,F229*(1+$D$13)^((C230-C229)/_xlfn.DAYS(EDATE(C229,1),C229)),F229-D230)+IF(B230&lt;=$D$16,F229*Resumo!$F$12,0)+IF(B230&lt;=$D$16,$D$15*Resumo!$F$13,0)+IF(B230&lt;=$D$16,25,0)-IF(AND($D$16&gt;3,B230&lt;=$D$16),J230,0)</f>
        <v>213266.86120420587</v>
      </c>
      <c r="G230" s="42">
        <f ca="1">IF(AND(B230&lt;&gt;"",K230&lt;&gt;$D$17,$D$16&gt;3),F230*Resumo!$F$12,IF(AND(B230&lt;&gt;"",K230&lt;&gt;$D$17,B230&gt;$D$16),F230*Resumo!$F$12,0))</f>
        <v>44.786040852883232</v>
      </c>
      <c r="H230" s="42">
        <f>IF(AND(B230&lt;&gt;"",K230&lt;&gt;$D$17,$D$16&gt;3,$B230&lt;=$D$16),$D$15*Resumo!$F$13,IF(AND(B230&lt;&gt;"",K230&lt;&gt;$D$17,B230&gt;$D$16),$D$15*Resumo!$F$13,0))</f>
        <v>34.369999999999997</v>
      </c>
      <c r="I230" s="42">
        <f>IF(AND(B230&lt;&gt;"",K230&lt;&gt;$D$17,$D$16&gt;3,$B230&lt;=$D$16),Resumo!$F$11,IF(AND(B230&lt;&gt;"",K230&lt;&gt;$D$17,B230&gt;$D$16),Resumo!$F$11,0))</f>
        <v>25</v>
      </c>
      <c r="J230" s="42">
        <f t="shared" ca="1" si="44"/>
        <v>2359.4414942396297</v>
      </c>
      <c r="K230" s="39" t="str">
        <f>IF(B230&lt;&gt;"",VLOOKUP(MONTH(C230),Sheet2!$F$1:$G$12,2,0),"")</f>
        <v>Novembro</v>
      </c>
      <c r="L230" s="200">
        <f t="shared" ca="1" si="45"/>
        <v>0</v>
      </c>
      <c r="M230" s="40">
        <f t="shared" ca="1" si="36"/>
        <v>2255.2854533867467</v>
      </c>
      <c r="N230" s="40">
        <f t="shared" ca="1" si="37"/>
        <v>2359.4414942396297</v>
      </c>
      <c r="O230" s="40"/>
      <c r="P230" s="20">
        <f t="shared" ca="1" si="38"/>
        <v>834.89136490250701</v>
      </c>
      <c r="Q230" s="1">
        <f t="shared" si="39"/>
        <v>6342</v>
      </c>
      <c r="R230" s="171">
        <f>IF(AND($J$2&gt;=DATEVALUE("03/04/2020"),$J$2&lt;=DATEVALUE("25/11/2020")),0,IF(Resumo!$C$19="PF",IF(Q230&lt;360,0.0082%*Q230,3%),IF(Q230&lt;360,0.0041%*Q230,1.5%)))</f>
        <v>1.4999999999999999E-2</v>
      </c>
      <c r="S230" s="172">
        <f t="shared" ca="1" si="40"/>
        <v>12.523370473537605</v>
      </c>
      <c r="W230" s="216">
        <f t="shared" ca="1" si="46"/>
        <v>2255.2854533867467</v>
      </c>
    </row>
    <row r="231" spans="2:23">
      <c r="B231" s="37">
        <f t="shared" si="41"/>
        <v>209</v>
      </c>
      <c r="C231" s="163">
        <f t="shared" si="42"/>
        <v>51119</v>
      </c>
      <c r="D231" s="38">
        <f t="shared" ca="1" si="43"/>
        <v>805.07079719814692</v>
      </c>
      <c r="E231" s="38">
        <f t="shared" ca="1" si="47"/>
        <v>1450.2146561885997</v>
      </c>
      <c r="F231" s="38">
        <f ca="1">IF(B231&lt;=$D$16,F230*(1+$D$13)^((C231-C230)/_xlfn.DAYS(EDATE(C230,1),C230)),F230-D231)+IF(B231&lt;=$D$16,F230*Resumo!$F$12,0)+IF(B231&lt;=$D$16,$D$15*Resumo!$F$13,0)+IF(B231&lt;=$D$16,25,0)-IF(AND($D$16&gt;3,B231&lt;=$D$16),J231,0)</f>
        <v>212461.79040700771</v>
      </c>
      <c r="G231" s="38">
        <f ca="1">IF(AND(B231&lt;&gt;"",K231&lt;&gt;$D$17,$D$16&gt;3),F231*Resumo!$F$12,IF(AND(B231&lt;&gt;"",K231&lt;&gt;$D$17,B231&gt;$D$16),F231*Resumo!$F$12,0))</f>
        <v>44.616975985471619</v>
      </c>
      <c r="H231" s="38">
        <f>IF(AND(B231&lt;&gt;"",K231&lt;&gt;$D$17,$D$16&gt;3,$B231&lt;=$D$16),$D$15*Resumo!$F$13,IF(AND(B231&lt;&gt;"",K231&lt;&gt;$D$17,B231&gt;$D$16),$D$15*Resumo!$F$13,0))</f>
        <v>34.369999999999997</v>
      </c>
      <c r="I231" s="38">
        <f>IF(AND(B231&lt;&gt;"",K231&lt;&gt;$D$17,$D$16&gt;3,$B231&lt;=$D$16),Resumo!$F$11,IF(AND(B231&lt;&gt;"",K231&lt;&gt;$D$17,B231&gt;$D$16),Resumo!$F$11,0))</f>
        <v>25</v>
      </c>
      <c r="J231" s="38">
        <f t="shared" ca="1" si="44"/>
        <v>2359.2724293722181</v>
      </c>
      <c r="K231" s="39" t="str">
        <f>IF(B231&lt;&gt;"",VLOOKUP(MONTH(C231),Sheet2!$F$1:$G$12,2,0),"")</f>
        <v>Dezembro</v>
      </c>
      <c r="L231" s="200">
        <f t="shared" ca="1" si="45"/>
        <v>0</v>
      </c>
      <c r="M231" s="40">
        <f t="shared" ca="1" si="36"/>
        <v>2255.2854533867467</v>
      </c>
      <c r="N231" s="40">
        <f t="shared" ca="1" si="37"/>
        <v>2359.2724293722181</v>
      </c>
      <c r="O231" s="40"/>
      <c r="P231" s="20">
        <f t="shared" ca="1" si="38"/>
        <v>834.89136490250701</v>
      </c>
      <c r="Q231" s="1">
        <f t="shared" si="39"/>
        <v>6372</v>
      </c>
      <c r="R231" s="171">
        <f>IF(AND($J$2&gt;=DATEVALUE("03/04/2020"),$J$2&lt;=DATEVALUE("25/11/2020")),0,IF(Resumo!$C$19="PF",IF(Q231&lt;360,0.0082%*Q231,3%),IF(Q231&lt;360,0.0041%*Q231,1.5%)))</f>
        <v>1.4999999999999999E-2</v>
      </c>
      <c r="S231" s="172">
        <f t="shared" ca="1" si="40"/>
        <v>12.523370473537605</v>
      </c>
      <c r="W231" s="216">
        <f t="shared" ca="1" si="46"/>
        <v>2255.2854533867467</v>
      </c>
    </row>
    <row r="232" spans="2:23">
      <c r="B232" s="41">
        <f t="shared" si="41"/>
        <v>210</v>
      </c>
      <c r="C232" s="164">
        <f t="shared" si="42"/>
        <v>51150</v>
      </c>
      <c r="D232" s="42">
        <f t="shared" ca="1" si="43"/>
        <v>810.54527861909446</v>
      </c>
      <c r="E232" s="42">
        <f t="shared" ca="1" si="47"/>
        <v>1444.7401747676522</v>
      </c>
      <c r="F232" s="42">
        <f ca="1">IF(B232&lt;=$D$16,F231*(1+$D$13)^((C232-C231)/_xlfn.DAYS(EDATE(C231,1),C231)),F231-D232)+IF(B232&lt;=$D$16,F231*Resumo!$F$12,0)+IF(B232&lt;=$D$16,$D$15*Resumo!$F$13,0)+IF(B232&lt;=$D$16,25,0)-IF(AND($D$16&gt;3,B232&lt;=$D$16),J232,0)</f>
        <v>211651.2451283886</v>
      </c>
      <c r="G232" s="42">
        <f ca="1">IF(AND(B232&lt;&gt;"",K232&lt;&gt;$D$17,$D$16&gt;3),F232*Resumo!$F$12,IF(AND(B232&lt;&gt;"",K232&lt;&gt;$D$17,B232&gt;$D$16),F232*Resumo!$F$12,0))</f>
        <v>44.446761476961612</v>
      </c>
      <c r="H232" s="42">
        <f>IF(AND(B232&lt;&gt;"",K232&lt;&gt;$D$17,$D$16&gt;3,$B232&lt;=$D$16),$D$15*Resumo!$F$13,IF(AND(B232&lt;&gt;"",K232&lt;&gt;$D$17,B232&gt;$D$16),$D$15*Resumo!$F$13,0))</f>
        <v>34.369999999999997</v>
      </c>
      <c r="I232" s="42">
        <f>IF(AND(B232&lt;&gt;"",K232&lt;&gt;$D$17,$D$16&gt;3,$B232&lt;=$D$16),Resumo!$F$11,IF(AND(B232&lt;&gt;"",K232&lt;&gt;$D$17,B232&gt;$D$16),Resumo!$F$11,0))</f>
        <v>25</v>
      </c>
      <c r="J232" s="42">
        <f t="shared" ca="1" si="44"/>
        <v>2359.102214863708</v>
      </c>
      <c r="K232" s="39" t="str">
        <f>IF(B232&lt;&gt;"",VLOOKUP(MONTH(C232),Sheet2!$F$1:$G$12,2,0),"")</f>
        <v>Janeiro</v>
      </c>
      <c r="L232" s="200">
        <f t="shared" ca="1" si="45"/>
        <v>0</v>
      </c>
      <c r="M232" s="40">
        <f t="shared" ca="1" si="36"/>
        <v>2255.2854533867467</v>
      </c>
      <c r="N232" s="40">
        <f t="shared" ca="1" si="37"/>
        <v>2359.102214863708</v>
      </c>
      <c r="O232" s="40"/>
      <c r="P232" s="20">
        <f t="shared" ca="1" si="38"/>
        <v>834.89136490250701</v>
      </c>
      <c r="Q232" s="1">
        <f t="shared" si="39"/>
        <v>6403</v>
      </c>
      <c r="R232" s="171">
        <f>IF(AND($J$2&gt;=DATEVALUE("03/04/2020"),$J$2&lt;=DATEVALUE("25/11/2020")),0,IF(Resumo!$C$19="PF",IF(Q232&lt;360,0.0082%*Q232,3%),IF(Q232&lt;360,0.0041%*Q232,1.5%)))</f>
        <v>1.4999999999999999E-2</v>
      </c>
      <c r="S232" s="172">
        <f t="shared" ca="1" si="40"/>
        <v>12.523370473537605</v>
      </c>
      <c r="W232" s="216">
        <f t="shared" ca="1" si="46"/>
        <v>2255.2854533867467</v>
      </c>
    </row>
    <row r="233" spans="2:23">
      <c r="B233" s="37">
        <f t="shared" si="41"/>
        <v>211</v>
      </c>
      <c r="C233" s="163">
        <f t="shared" si="42"/>
        <v>51181</v>
      </c>
      <c r="D233" s="38">
        <f t="shared" ca="1" si="43"/>
        <v>816.05698651370426</v>
      </c>
      <c r="E233" s="38">
        <f t="shared" ca="1" si="47"/>
        <v>1439.2284668730424</v>
      </c>
      <c r="F233" s="38">
        <f ca="1">IF(B233&lt;=$D$16,F232*(1+$D$13)^((C233-C232)/_xlfn.DAYS(EDATE(C232,1),C232)),F232-D233)+IF(B233&lt;=$D$16,F232*Resumo!$F$12,0)+IF(B233&lt;=$D$16,$D$15*Resumo!$F$13,0)+IF(B233&lt;=$D$16,25,0)-IF(AND($D$16&gt;3,B233&lt;=$D$16),J233,0)</f>
        <v>210835.18814187491</v>
      </c>
      <c r="G233" s="38">
        <f ca="1">IF(AND(B233&lt;&gt;"",K233&lt;&gt;$D$17,$D$16&gt;3),F233*Resumo!$F$12,IF(AND(B233&lt;&gt;"",K233&lt;&gt;$D$17,B233&gt;$D$16),F233*Resumo!$F$12,0))</f>
        <v>44.275389509793733</v>
      </c>
      <c r="H233" s="38">
        <f>IF(AND(B233&lt;&gt;"",K233&lt;&gt;$D$17,$D$16&gt;3,$B233&lt;=$D$16),$D$15*Resumo!$F$13,IF(AND(B233&lt;&gt;"",K233&lt;&gt;$D$17,B233&gt;$D$16),$D$15*Resumo!$F$13,0))</f>
        <v>34.369999999999997</v>
      </c>
      <c r="I233" s="38">
        <f>IF(AND(B233&lt;&gt;"",K233&lt;&gt;$D$17,$D$16&gt;3,$B233&lt;=$D$16),Resumo!$F$11,IF(AND(B233&lt;&gt;"",K233&lt;&gt;$D$17,B233&gt;$D$16),Resumo!$F$11,0))</f>
        <v>25</v>
      </c>
      <c r="J233" s="38">
        <f t="shared" ca="1" si="44"/>
        <v>2358.9308428965401</v>
      </c>
      <c r="K233" s="39" t="str">
        <f>IF(B233&lt;&gt;"",VLOOKUP(MONTH(C233),Sheet2!$F$1:$G$12,2,0),"")</f>
        <v>Fevereiro</v>
      </c>
      <c r="L233" s="200">
        <f t="shared" ca="1" si="45"/>
        <v>0</v>
      </c>
      <c r="M233" s="40">
        <f t="shared" ca="1" si="36"/>
        <v>2255.2854533867467</v>
      </c>
      <c r="N233" s="40">
        <f t="shared" ca="1" si="37"/>
        <v>2358.9308428965401</v>
      </c>
      <c r="O233" s="40"/>
      <c r="P233" s="20">
        <f t="shared" ca="1" si="38"/>
        <v>834.89136490250701</v>
      </c>
      <c r="Q233" s="1">
        <f t="shared" si="39"/>
        <v>6434</v>
      </c>
      <c r="R233" s="171">
        <f>IF(AND($J$2&gt;=DATEVALUE("03/04/2020"),$J$2&lt;=DATEVALUE("25/11/2020")),0,IF(Resumo!$C$19="PF",IF(Q233&lt;360,0.0082%*Q233,3%),IF(Q233&lt;360,0.0041%*Q233,1.5%)))</f>
        <v>1.4999999999999999E-2</v>
      </c>
      <c r="S233" s="172">
        <f t="shared" ca="1" si="40"/>
        <v>12.523370473537605</v>
      </c>
      <c r="W233" s="216">
        <f t="shared" ca="1" si="46"/>
        <v>2255.2854533867467</v>
      </c>
    </row>
    <row r="234" spans="2:23">
      <c r="B234" s="41">
        <f t="shared" si="41"/>
        <v>212</v>
      </c>
      <c r="C234" s="164">
        <f t="shared" si="42"/>
        <v>51210</v>
      </c>
      <c r="D234" s="42">
        <f t="shared" ca="1" si="43"/>
        <v>821.60617402199728</v>
      </c>
      <c r="E234" s="42">
        <f t="shared" ca="1" si="47"/>
        <v>1433.6792793647494</v>
      </c>
      <c r="F234" s="42">
        <f ca="1">IF(B234&lt;=$D$16,F233*(1+$D$13)^((C234-C233)/_xlfn.DAYS(EDATE(C233,1),C233)),F233-D234)+IF(B234&lt;=$D$16,F233*Resumo!$F$12,0)+IF(B234&lt;=$D$16,$D$15*Resumo!$F$13,0)+IF(B234&lt;=$D$16,25,0)-IF(AND($D$16&gt;3,B234&lt;=$D$16),J234,0)</f>
        <v>210013.58196785292</v>
      </c>
      <c r="G234" s="42">
        <f ca="1">IF(AND(B234&lt;&gt;"",K234&lt;&gt;$D$17,$D$16&gt;3),F234*Resumo!$F$12,IF(AND(B234&lt;&gt;"",K234&lt;&gt;$D$17,B234&gt;$D$16),F234*Resumo!$F$12,0))</f>
        <v>44.102852213249115</v>
      </c>
      <c r="H234" s="42">
        <f>IF(AND(B234&lt;&gt;"",K234&lt;&gt;$D$17,$D$16&gt;3,$B234&lt;=$D$16),$D$15*Resumo!$F$13,IF(AND(B234&lt;&gt;"",K234&lt;&gt;$D$17,B234&gt;$D$16),$D$15*Resumo!$F$13,0))</f>
        <v>34.369999999999997</v>
      </c>
      <c r="I234" s="42">
        <f>IF(AND(B234&lt;&gt;"",K234&lt;&gt;$D$17,$D$16&gt;3,$B234&lt;=$D$16),Resumo!$F$11,IF(AND(B234&lt;&gt;"",K234&lt;&gt;$D$17,B234&gt;$D$16),Resumo!$F$11,0))</f>
        <v>25</v>
      </c>
      <c r="J234" s="42">
        <f t="shared" ca="1" si="44"/>
        <v>2358.7583055999958</v>
      </c>
      <c r="K234" s="39" t="str">
        <f>IF(B234&lt;&gt;"",VLOOKUP(MONTH(C234),Sheet2!$F$1:$G$12,2,0),"")</f>
        <v>Março</v>
      </c>
      <c r="L234" s="200">
        <f t="shared" ca="1" si="45"/>
        <v>0</v>
      </c>
      <c r="M234" s="40">
        <f t="shared" ca="1" si="36"/>
        <v>2255.2854533867467</v>
      </c>
      <c r="N234" s="40">
        <f t="shared" ca="1" si="37"/>
        <v>2358.7583055999958</v>
      </c>
      <c r="O234" s="40"/>
      <c r="P234" s="20">
        <f t="shared" ca="1" si="38"/>
        <v>834.89136490250701</v>
      </c>
      <c r="Q234" s="1">
        <f t="shared" si="39"/>
        <v>6463</v>
      </c>
      <c r="R234" s="171">
        <f>IF(AND($J$2&gt;=DATEVALUE("03/04/2020"),$J$2&lt;=DATEVALUE("25/11/2020")),0,IF(Resumo!$C$19="PF",IF(Q234&lt;360,0.0082%*Q234,3%),IF(Q234&lt;360,0.0041%*Q234,1.5%)))</f>
        <v>1.4999999999999999E-2</v>
      </c>
      <c r="S234" s="172">
        <f t="shared" ca="1" si="40"/>
        <v>12.523370473537605</v>
      </c>
      <c r="W234" s="216">
        <f t="shared" ca="1" si="46"/>
        <v>2255.2854533867467</v>
      </c>
    </row>
    <row r="235" spans="2:23">
      <c r="B235" s="37">
        <f t="shared" si="41"/>
        <v>213</v>
      </c>
      <c r="C235" s="163">
        <f t="shared" si="42"/>
        <v>51241</v>
      </c>
      <c r="D235" s="38">
        <f t="shared" ca="1" si="43"/>
        <v>827.19309600534689</v>
      </c>
      <c r="E235" s="38">
        <f t="shared" ca="1" si="47"/>
        <v>1428.0923573813998</v>
      </c>
      <c r="F235" s="38">
        <f ca="1">IF(B235&lt;=$D$16,F234*(1+$D$13)^((C235-C234)/_xlfn.DAYS(EDATE(C234,1),C234)),F234-D235)+IF(B235&lt;=$D$16,F234*Resumo!$F$12,0)+IF(B235&lt;=$D$16,$D$15*Resumo!$F$13,0)+IF(B235&lt;=$D$16,25,0)-IF(AND($D$16&gt;3,B235&lt;=$D$16),J235,0)</f>
        <v>209186.38887184756</v>
      </c>
      <c r="G235" s="38">
        <f ca="1">IF(AND(B235&lt;&gt;"",K235&lt;&gt;$D$17,$D$16&gt;3),F235*Resumo!$F$12,IF(AND(B235&lt;&gt;"",K235&lt;&gt;$D$17,B235&gt;$D$16),F235*Resumo!$F$12,0))</f>
        <v>43.929141663087989</v>
      </c>
      <c r="H235" s="38">
        <f>IF(AND(B235&lt;&gt;"",K235&lt;&gt;$D$17,$D$16&gt;3,$B235&lt;=$D$16),$D$15*Resumo!$F$13,IF(AND(B235&lt;&gt;"",K235&lt;&gt;$D$17,B235&gt;$D$16),$D$15*Resumo!$F$13,0))</f>
        <v>34.369999999999997</v>
      </c>
      <c r="I235" s="38">
        <f>IF(AND(B235&lt;&gt;"",K235&lt;&gt;$D$17,$D$16&gt;3,$B235&lt;=$D$16),Resumo!$F$11,IF(AND(B235&lt;&gt;"",K235&lt;&gt;$D$17,B235&gt;$D$16),Resumo!$F$11,0))</f>
        <v>25</v>
      </c>
      <c r="J235" s="38">
        <f t="shared" ca="1" si="44"/>
        <v>2358.5845950498347</v>
      </c>
      <c r="K235" s="39" t="str">
        <f>IF(B235&lt;&gt;"",VLOOKUP(MONTH(C235),Sheet2!$F$1:$G$12,2,0),"")</f>
        <v>Abril</v>
      </c>
      <c r="L235" s="200">
        <f t="shared" ca="1" si="45"/>
        <v>0</v>
      </c>
      <c r="M235" s="40">
        <f t="shared" ca="1" si="36"/>
        <v>2255.2854533867467</v>
      </c>
      <c r="N235" s="40">
        <f t="shared" ca="1" si="37"/>
        <v>2358.5845950498347</v>
      </c>
      <c r="O235" s="40"/>
      <c r="P235" s="20">
        <f t="shared" ca="1" si="38"/>
        <v>834.89136490250701</v>
      </c>
      <c r="Q235" s="1">
        <f t="shared" si="39"/>
        <v>6494</v>
      </c>
      <c r="R235" s="171">
        <f>IF(AND($J$2&gt;=DATEVALUE("03/04/2020"),$J$2&lt;=DATEVALUE("25/11/2020")),0,IF(Resumo!$C$19="PF",IF(Q235&lt;360,0.0082%*Q235,3%),IF(Q235&lt;360,0.0041%*Q235,1.5%)))</f>
        <v>1.4999999999999999E-2</v>
      </c>
      <c r="S235" s="172">
        <f t="shared" ca="1" si="40"/>
        <v>12.523370473537605</v>
      </c>
      <c r="W235" s="216">
        <f t="shared" ca="1" si="46"/>
        <v>2255.2854533867467</v>
      </c>
    </row>
    <row r="236" spans="2:23">
      <c r="B236" s="41">
        <f t="shared" si="41"/>
        <v>214</v>
      </c>
      <c r="C236" s="164">
        <f t="shared" si="42"/>
        <v>51271</v>
      </c>
      <c r="D236" s="42">
        <f t="shared" ca="1" si="43"/>
        <v>832.81800905818341</v>
      </c>
      <c r="E236" s="42">
        <f t="shared" ca="1" si="47"/>
        <v>1422.4674443285633</v>
      </c>
      <c r="F236" s="42">
        <f ca="1">IF(B236&lt;=$D$16,F235*(1+$D$13)^((C236-C235)/_xlfn.DAYS(EDATE(C235,1),C235)),F235-D236)+IF(B236&lt;=$D$16,F235*Resumo!$F$12,0)+IF(B236&lt;=$D$16,$D$15*Resumo!$F$13,0)+IF(B236&lt;=$D$16,25,0)-IF(AND($D$16&gt;3,B236&lt;=$D$16),J236,0)</f>
        <v>208353.57086278938</v>
      </c>
      <c r="G236" s="42">
        <f ca="1">IF(AND(B236&lt;&gt;"",K236&lt;&gt;$D$17,$D$16&gt;3),F236*Resumo!$F$12,IF(AND(B236&lt;&gt;"",K236&lt;&gt;$D$17,B236&gt;$D$16),F236*Resumo!$F$12,0))</f>
        <v>43.754249881185771</v>
      </c>
      <c r="H236" s="42">
        <f>IF(AND(B236&lt;&gt;"",K236&lt;&gt;$D$17,$D$16&gt;3,$B236&lt;=$D$16),$D$15*Resumo!$F$13,IF(AND(B236&lt;&gt;"",K236&lt;&gt;$D$17,B236&gt;$D$16),$D$15*Resumo!$F$13,0))</f>
        <v>34.369999999999997</v>
      </c>
      <c r="I236" s="42">
        <f>IF(AND(B236&lt;&gt;"",K236&lt;&gt;$D$17,$D$16&gt;3,$B236&lt;=$D$16),Resumo!$F$11,IF(AND(B236&lt;&gt;"",K236&lt;&gt;$D$17,B236&gt;$D$16),Resumo!$F$11,0))</f>
        <v>25</v>
      </c>
      <c r="J236" s="42">
        <f t="shared" ca="1" si="44"/>
        <v>2358.4097032679324</v>
      </c>
      <c r="K236" s="39" t="str">
        <f>IF(B236&lt;&gt;"",VLOOKUP(MONTH(C236),Sheet2!$F$1:$G$12,2,0),"")</f>
        <v>Maio</v>
      </c>
      <c r="L236" s="200">
        <f t="shared" ca="1" si="45"/>
        <v>0</v>
      </c>
      <c r="M236" s="40">
        <f t="shared" ca="1" si="36"/>
        <v>2255.2854533867467</v>
      </c>
      <c r="N236" s="40">
        <f t="shared" ca="1" si="37"/>
        <v>2358.4097032679324</v>
      </c>
      <c r="O236" s="40"/>
      <c r="P236" s="20">
        <f t="shared" ca="1" si="38"/>
        <v>834.89136490250701</v>
      </c>
      <c r="Q236" s="1">
        <f t="shared" si="39"/>
        <v>6524</v>
      </c>
      <c r="R236" s="171">
        <f>IF(AND($J$2&gt;=DATEVALUE("03/04/2020"),$J$2&lt;=DATEVALUE("25/11/2020")),0,IF(Resumo!$C$19="PF",IF(Q236&lt;360,0.0082%*Q236,3%),IF(Q236&lt;360,0.0041%*Q236,1.5%)))</f>
        <v>1.4999999999999999E-2</v>
      </c>
      <c r="S236" s="172">
        <f t="shared" ca="1" si="40"/>
        <v>12.523370473537605</v>
      </c>
      <c r="W236" s="216">
        <f t="shared" ca="1" si="46"/>
        <v>2255.2854533867467</v>
      </c>
    </row>
    <row r="237" spans="2:23">
      <c r="B237" s="37">
        <f t="shared" si="41"/>
        <v>215</v>
      </c>
      <c r="C237" s="163">
        <f t="shared" si="42"/>
        <v>51302</v>
      </c>
      <c r="D237" s="38">
        <f t="shared" ca="1" si="43"/>
        <v>838.48117151977908</v>
      </c>
      <c r="E237" s="38">
        <f t="shared" ca="1" si="47"/>
        <v>1416.8042818669676</v>
      </c>
      <c r="F237" s="38">
        <f ca="1">IF(B237&lt;=$D$16,F236*(1+$D$13)^((C237-C236)/_xlfn.DAYS(EDATE(C236,1),C236)),F236-D237)+IF(B237&lt;=$D$16,F236*Resumo!$F$12,0)+IF(B237&lt;=$D$16,$D$15*Resumo!$F$13,0)+IF(B237&lt;=$D$16,25,0)-IF(AND($D$16&gt;3,B237&lt;=$D$16),J237,0)</f>
        <v>207515.08969126959</v>
      </c>
      <c r="G237" s="38">
        <f ca="1">IF(AND(B237&lt;&gt;"",K237&lt;&gt;$D$17,$D$16&gt;3),F237*Resumo!$F$12,IF(AND(B237&lt;&gt;"",K237&lt;&gt;$D$17,B237&gt;$D$16),F237*Resumo!$F$12,0))</f>
        <v>43.578168835166615</v>
      </c>
      <c r="H237" s="38">
        <f>IF(AND(B237&lt;&gt;"",K237&lt;&gt;$D$17,$D$16&gt;3,$B237&lt;=$D$16),$D$15*Resumo!$F$13,IF(AND(B237&lt;&gt;"",K237&lt;&gt;$D$17,B237&gt;$D$16),$D$15*Resumo!$F$13,0))</f>
        <v>34.369999999999997</v>
      </c>
      <c r="I237" s="38">
        <f>IF(AND(B237&lt;&gt;"",K237&lt;&gt;$D$17,$D$16&gt;3,$B237&lt;=$D$16),Resumo!$F$11,IF(AND(B237&lt;&gt;"",K237&lt;&gt;$D$17,B237&gt;$D$16),Resumo!$F$11,0))</f>
        <v>25</v>
      </c>
      <c r="J237" s="38">
        <f t="shared" ca="1" si="44"/>
        <v>2358.2336222219133</v>
      </c>
      <c r="K237" s="39" t="str">
        <f>IF(B237&lt;&gt;"",VLOOKUP(MONTH(C237),Sheet2!$F$1:$G$12,2,0),"")</f>
        <v>Junho</v>
      </c>
      <c r="L237" s="200">
        <f t="shared" ca="1" si="45"/>
        <v>0</v>
      </c>
      <c r="M237" s="40">
        <f t="shared" ca="1" si="36"/>
        <v>2255.2854533867467</v>
      </c>
      <c r="N237" s="40">
        <f t="shared" ca="1" si="37"/>
        <v>2358.2336222219133</v>
      </c>
      <c r="O237" s="40"/>
      <c r="P237" s="20">
        <f t="shared" ca="1" si="38"/>
        <v>834.89136490250701</v>
      </c>
      <c r="Q237" s="1">
        <f t="shared" si="39"/>
        <v>6555</v>
      </c>
      <c r="R237" s="171">
        <f>IF(AND($J$2&gt;=DATEVALUE("03/04/2020"),$J$2&lt;=DATEVALUE("25/11/2020")),0,IF(Resumo!$C$19="PF",IF(Q237&lt;360,0.0082%*Q237,3%),IF(Q237&lt;360,0.0041%*Q237,1.5%)))</f>
        <v>1.4999999999999999E-2</v>
      </c>
      <c r="S237" s="172">
        <f t="shared" ca="1" si="40"/>
        <v>12.523370473537605</v>
      </c>
      <c r="W237" s="216">
        <f t="shared" ca="1" si="46"/>
        <v>2255.2854533867467</v>
      </c>
    </row>
    <row r="238" spans="2:23">
      <c r="B238" s="41">
        <f t="shared" si="41"/>
        <v>216</v>
      </c>
      <c r="C238" s="164">
        <f t="shared" si="42"/>
        <v>51332</v>
      </c>
      <c r="D238" s="42">
        <f t="shared" ca="1" si="43"/>
        <v>844.1828434861136</v>
      </c>
      <c r="E238" s="42">
        <f t="shared" ca="1" si="47"/>
        <v>1411.1026099006331</v>
      </c>
      <c r="F238" s="42">
        <f ca="1">IF(B238&lt;=$D$16,F237*(1+$D$13)^((C238-C237)/_xlfn.DAYS(EDATE(C237,1),C237)),F237-D238)+IF(B238&lt;=$D$16,F237*Resumo!$F$12,0)+IF(B238&lt;=$D$16,$D$15*Resumo!$F$13,0)+IF(B238&lt;=$D$16,25,0)-IF(AND($D$16&gt;3,B238&lt;=$D$16),J238,0)</f>
        <v>206670.90684778348</v>
      </c>
      <c r="G238" s="42">
        <f ca="1">IF(AND(B238&lt;&gt;"",K238&lt;&gt;$D$17,$D$16&gt;3),F238*Resumo!$F$12,IF(AND(B238&lt;&gt;"",K238&lt;&gt;$D$17,B238&gt;$D$16),F238*Resumo!$F$12,0))</f>
        <v>43.40089043803453</v>
      </c>
      <c r="H238" s="42">
        <f>IF(AND(B238&lt;&gt;"",K238&lt;&gt;$D$17,$D$16&gt;3,$B238&lt;=$D$16),$D$15*Resumo!$F$13,IF(AND(B238&lt;&gt;"",K238&lt;&gt;$D$17,B238&gt;$D$16),$D$15*Resumo!$F$13,0))</f>
        <v>34.369999999999997</v>
      </c>
      <c r="I238" s="42">
        <f>IF(AND(B238&lt;&gt;"",K238&lt;&gt;$D$17,$D$16&gt;3,$B238&lt;=$D$16),Resumo!$F$11,IF(AND(B238&lt;&gt;"",K238&lt;&gt;$D$17,B238&gt;$D$16),Resumo!$F$11,0))</f>
        <v>25</v>
      </c>
      <c r="J238" s="42">
        <f t="shared" ca="1" si="44"/>
        <v>2358.0563438247809</v>
      </c>
      <c r="K238" s="39" t="str">
        <f>IF(B238&lt;&gt;"",VLOOKUP(MONTH(C238),Sheet2!$F$1:$G$12,2,0),"")</f>
        <v>Julho</v>
      </c>
      <c r="L238" s="200">
        <f t="shared" ca="1" si="45"/>
        <v>0</v>
      </c>
      <c r="M238" s="40">
        <f t="shared" ca="1" si="36"/>
        <v>2255.2854533867467</v>
      </c>
      <c r="N238" s="40">
        <f t="shared" ca="1" si="37"/>
        <v>2358.0563438247809</v>
      </c>
      <c r="O238" s="40"/>
      <c r="P238" s="20">
        <f t="shared" ca="1" si="38"/>
        <v>834.89136490250701</v>
      </c>
      <c r="Q238" s="1">
        <f t="shared" si="39"/>
        <v>6585</v>
      </c>
      <c r="R238" s="171">
        <f>IF(AND($J$2&gt;=DATEVALUE("03/04/2020"),$J$2&lt;=DATEVALUE("25/11/2020")),0,IF(Resumo!$C$19="PF",IF(Q238&lt;360,0.0082%*Q238,3%),IF(Q238&lt;360,0.0041%*Q238,1.5%)))</f>
        <v>1.4999999999999999E-2</v>
      </c>
      <c r="S238" s="172">
        <f t="shared" ca="1" si="40"/>
        <v>12.523370473537605</v>
      </c>
      <c r="W238" s="216">
        <f t="shared" ca="1" si="46"/>
        <v>2255.2854533867467</v>
      </c>
    </row>
    <row r="239" spans="2:23">
      <c r="B239" s="37">
        <f t="shared" si="41"/>
        <v>217</v>
      </c>
      <c r="C239" s="163">
        <f t="shared" si="42"/>
        <v>51363</v>
      </c>
      <c r="D239" s="38">
        <f t="shared" ca="1" si="43"/>
        <v>849.92328682181915</v>
      </c>
      <c r="E239" s="38">
        <f t="shared" ca="1" si="47"/>
        <v>1405.3621665649275</v>
      </c>
      <c r="F239" s="38">
        <f ca="1">IF(B239&lt;=$D$16,F238*(1+$D$13)^((C239-C238)/_xlfn.DAYS(EDATE(C238,1),C238)),F238-D239)+IF(B239&lt;=$D$16,F238*Resumo!$F$12,0)+IF(B239&lt;=$D$16,$D$15*Resumo!$F$13,0)+IF(B239&lt;=$D$16,25,0)-IF(AND($D$16&gt;3,B239&lt;=$D$16),J239,0)</f>
        <v>205820.98356096167</v>
      </c>
      <c r="G239" s="38">
        <f ca="1">IF(AND(B239&lt;&gt;"",K239&lt;&gt;$D$17,$D$16&gt;3),F239*Resumo!$F$12,IF(AND(B239&lt;&gt;"",K239&lt;&gt;$D$17,B239&gt;$D$16),F239*Resumo!$F$12,0))</f>
        <v>43.222406547801953</v>
      </c>
      <c r="H239" s="38">
        <f>IF(AND(B239&lt;&gt;"",K239&lt;&gt;$D$17,$D$16&gt;3,$B239&lt;=$D$16),$D$15*Resumo!$F$13,IF(AND(B239&lt;&gt;"",K239&lt;&gt;$D$17,B239&gt;$D$16),$D$15*Resumo!$F$13,0))</f>
        <v>34.369999999999997</v>
      </c>
      <c r="I239" s="38">
        <f>IF(AND(B239&lt;&gt;"",K239&lt;&gt;$D$17,$D$16&gt;3,$B239&lt;=$D$16),Resumo!$F$11,IF(AND(B239&lt;&gt;"",K239&lt;&gt;$D$17,B239&gt;$D$16),Resumo!$F$11,0))</f>
        <v>25</v>
      </c>
      <c r="J239" s="38">
        <f t="shared" ca="1" si="44"/>
        <v>2357.8778599345487</v>
      </c>
      <c r="K239" s="39" t="str">
        <f>IF(B239&lt;&gt;"",VLOOKUP(MONTH(C239),Sheet2!$F$1:$G$12,2,0),"")</f>
        <v>Agosto</v>
      </c>
      <c r="L239" s="200">
        <f t="shared" ca="1" si="45"/>
        <v>0</v>
      </c>
      <c r="M239" s="40">
        <f t="shared" ca="1" si="36"/>
        <v>2255.2854533867467</v>
      </c>
      <c r="N239" s="40">
        <f t="shared" ca="1" si="37"/>
        <v>2357.8778599345487</v>
      </c>
      <c r="O239" s="40"/>
      <c r="P239" s="20">
        <f t="shared" ca="1" si="38"/>
        <v>834.89136490250701</v>
      </c>
      <c r="Q239" s="1">
        <f t="shared" si="39"/>
        <v>6616</v>
      </c>
      <c r="R239" s="171">
        <f>IF(AND($J$2&gt;=DATEVALUE("03/04/2020"),$J$2&lt;=DATEVALUE("25/11/2020")),0,IF(Resumo!$C$19="PF",IF(Q239&lt;360,0.0082%*Q239,3%),IF(Q239&lt;360,0.0041%*Q239,1.5%)))</f>
        <v>1.4999999999999999E-2</v>
      </c>
      <c r="S239" s="172">
        <f t="shared" ca="1" si="40"/>
        <v>12.523370473537605</v>
      </c>
      <c r="W239" s="216">
        <f t="shared" ca="1" si="46"/>
        <v>2255.2854533867467</v>
      </c>
    </row>
    <row r="240" spans="2:23">
      <c r="B240" s="41">
        <f t="shared" si="41"/>
        <v>218</v>
      </c>
      <c r="C240" s="164">
        <f t="shared" si="42"/>
        <v>51394</v>
      </c>
      <c r="D240" s="42">
        <f t="shared" ca="1" si="43"/>
        <v>855.70276517220736</v>
      </c>
      <c r="E240" s="42">
        <f t="shared" ca="1" si="47"/>
        <v>1399.5826882145393</v>
      </c>
      <c r="F240" s="42">
        <f ca="1">IF(B240&lt;=$D$16,F239*(1+$D$13)^((C240-C239)/_xlfn.DAYS(EDATE(C239,1),C239)),F239-D240)+IF(B240&lt;=$D$16,F239*Resumo!$F$12,0)+IF(B240&lt;=$D$16,$D$15*Resumo!$F$13,0)+IF(B240&lt;=$D$16,25,0)-IF(AND($D$16&gt;3,B240&lt;=$D$16),J240,0)</f>
        <v>204965.28079578947</v>
      </c>
      <c r="G240" s="42">
        <f ca="1">IF(AND(B240&lt;&gt;"",K240&lt;&gt;$D$17,$D$16&gt;3),F240*Resumo!$F$12,IF(AND(B240&lt;&gt;"",K240&lt;&gt;$D$17,B240&gt;$D$16),F240*Resumo!$F$12,0))</f>
        <v>43.042708967115793</v>
      </c>
      <c r="H240" s="42">
        <f>IF(AND(B240&lt;&gt;"",K240&lt;&gt;$D$17,$D$16&gt;3,$B240&lt;=$D$16),$D$15*Resumo!$F$13,IF(AND(B240&lt;&gt;"",K240&lt;&gt;$D$17,B240&gt;$D$16),$D$15*Resumo!$F$13,0))</f>
        <v>34.369999999999997</v>
      </c>
      <c r="I240" s="42">
        <f>IF(AND(B240&lt;&gt;"",K240&lt;&gt;$D$17,$D$16&gt;3,$B240&lt;=$D$16),Resumo!$F$11,IF(AND(B240&lt;&gt;"",K240&lt;&gt;$D$17,B240&gt;$D$16),Resumo!$F$11,0))</f>
        <v>25</v>
      </c>
      <c r="J240" s="42">
        <f t="shared" ca="1" si="44"/>
        <v>2357.6981623538622</v>
      </c>
      <c r="K240" s="39" t="str">
        <f>IF(B240&lt;&gt;"",VLOOKUP(MONTH(C240),Sheet2!$F$1:$G$12,2,0),"")</f>
        <v>Setembro</v>
      </c>
      <c r="L240" s="200">
        <f t="shared" ca="1" si="45"/>
        <v>0</v>
      </c>
      <c r="M240" s="40">
        <f t="shared" ca="1" si="36"/>
        <v>2255.2854533867467</v>
      </c>
      <c r="N240" s="40">
        <f t="shared" ca="1" si="37"/>
        <v>2357.6981623538622</v>
      </c>
      <c r="O240" s="40"/>
      <c r="P240" s="20">
        <f t="shared" ca="1" si="38"/>
        <v>834.89136490250701</v>
      </c>
      <c r="Q240" s="1">
        <f t="shared" si="39"/>
        <v>6647</v>
      </c>
      <c r="R240" s="171">
        <f>IF(AND($J$2&gt;=DATEVALUE("03/04/2020"),$J$2&lt;=DATEVALUE("25/11/2020")),0,IF(Resumo!$C$19="PF",IF(Q240&lt;360,0.0082%*Q240,3%),IF(Q240&lt;360,0.0041%*Q240,1.5%)))</f>
        <v>1.4999999999999999E-2</v>
      </c>
      <c r="S240" s="172">
        <f t="shared" ca="1" si="40"/>
        <v>12.523370473537605</v>
      </c>
      <c r="W240" s="216">
        <f t="shared" ca="1" si="46"/>
        <v>2255.2854533867467</v>
      </c>
    </row>
    <row r="241" spans="2:23">
      <c r="B241" s="37">
        <f t="shared" si="41"/>
        <v>219</v>
      </c>
      <c r="C241" s="163">
        <f t="shared" si="42"/>
        <v>51424</v>
      </c>
      <c r="D241" s="38">
        <f t="shared" ca="1" si="43"/>
        <v>861.52154397537834</v>
      </c>
      <c r="E241" s="38">
        <f t="shared" ca="1" si="47"/>
        <v>1393.7639094113683</v>
      </c>
      <c r="F241" s="38">
        <f ca="1">IF(B241&lt;=$D$16,F240*(1+$D$13)^((C241-C240)/_xlfn.DAYS(EDATE(C240,1),C240)),F240-D241)+IF(B241&lt;=$D$16,F240*Resumo!$F$12,0)+IF(B241&lt;=$D$16,$D$15*Resumo!$F$13,0)+IF(B241&lt;=$D$16,25,0)-IF(AND($D$16&gt;3,B241&lt;=$D$16),J241,0)</f>
        <v>204103.7592518141</v>
      </c>
      <c r="G241" s="38">
        <f ca="1">IF(AND(B241&lt;&gt;"",K241&lt;&gt;$D$17,$D$16&gt;3),F241*Resumo!$F$12,IF(AND(B241&lt;&gt;"",K241&lt;&gt;$D$17,B241&gt;$D$16),F241*Resumo!$F$12,0))</f>
        <v>42.861789442880962</v>
      </c>
      <c r="H241" s="38">
        <f>IF(AND(B241&lt;&gt;"",K241&lt;&gt;$D$17,$D$16&gt;3,$B241&lt;=$D$16),$D$15*Resumo!$F$13,IF(AND(B241&lt;&gt;"",K241&lt;&gt;$D$17,B241&gt;$D$16),$D$15*Resumo!$F$13,0))</f>
        <v>34.369999999999997</v>
      </c>
      <c r="I241" s="38">
        <f>IF(AND(B241&lt;&gt;"",K241&lt;&gt;$D$17,$D$16&gt;3,$B241&lt;=$D$16),Resumo!$F$11,IF(AND(B241&lt;&gt;"",K241&lt;&gt;$D$17,B241&gt;$D$16),Resumo!$F$11,0))</f>
        <v>25</v>
      </c>
      <c r="J241" s="38">
        <f t="shared" ca="1" si="44"/>
        <v>2357.5172428296273</v>
      </c>
      <c r="K241" s="39" t="str">
        <f>IF(B241&lt;&gt;"",VLOOKUP(MONTH(C241),Sheet2!$F$1:$G$12,2,0),"")</f>
        <v>Outubro</v>
      </c>
      <c r="L241" s="200">
        <f t="shared" ca="1" si="45"/>
        <v>0</v>
      </c>
      <c r="M241" s="40">
        <f t="shared" ca="1" si="36"/>
        <v>2255.2854533867467</v>
      </c>
      <c r="N241" s="40">
        <f t="shared" ca="1" si="37"/>
        <v>2357.5172428296273</v>
      </c>
      <c r="O241" s="40"/>
      <c r="P241" s="20">
        <f t="shared" ca="1" si="38"/>
        <v>834.89136490250701</v>
      </c>
      <c r="Q241" s="1">
        <f t="shared" si="39"/>
        <v>6677</v>
      </c>
      <c r="R241" s="171">
        <f>IF(AND($J$2&gt;=DATEVALUE("03/04/2020"),$J$2&lt;=DATEVALUE("25/11/2020")),0,IF(Resumo!$C$19="PF",IF(Q241&lt;360,0.0082%*Q241,3%),IF(Q241&lt;360,0.0041%*Q241,1.5%)))</f>
        <v>1.4999999999999999E-2</v>
      </c>
      <c r="S241" s="172">
        <f t="shared" ca="1" si="40"/>
        <v>12.523370473537605</v>
      </c>
      <c r="W241" s="216">
        <f t="shared" ca="1" si="46"/>
        <v>2255.2854533867467</v>
      </c>
    </row>
    <row r="242" spans="2:23">
      <c r="B242" s="41">
        <f t="shared" si="41"/>
        <v>220</v>
      </c>
      <c r="C242" s="164">
        <f t="shared" si="42"/>
        <v>51455</v>
      </c>
      <c r="D242" s="42">
        <f t="shared" ca="1" si="43"/>
        <v>867.37989047441079</v>
      </c>
      <c r="E242" s="42">
        <f t="shared" ca="1" si="47"/>
        <v>1387.9055629123359</v>
      </c>
      <c r="F242" s="42">
        <f ca="1">IF(B242&lt;=$D$16,F241*(1+$D$13)^((C242-C241)/_xlfn.DAYS(EDATE(C241,1),C241)),F241-D242)+IF(B242&lt;=$D$16,F241*Resumo!$F$12,0)+IF(B242&lt;=$D$16,$D$15*Resumo!$F$13,0)+IF(B242&lt;=$D$16,25,0)-IF(AND($D$16&gt;3,B242&lt;=$D$16),J242,0)</f>
        <v>203236.3793613397</v>
      </c>
      <c r="G242" s="42">
        <f ca="1">IF(AND(B242&lt;&gt;"",K242&lt;&gt;$D$17,$D$16&gt;3),F242*Resumo!$F$12,IF(AND(B242&lt;&gt;"",K242&lt;&gt;$D$17,B242&gt;$D$16),F242*Resumo!$F$12,0))</f>
        <v>42.679639665881339</v>
      </c>
      <c r="H242" s="42">
        <f>IF(AND(B242&lt;&gt;"",K242&lt;&gt;$D$17,$D$16&gt;3,$B242&lt;=$D$16),$D$15*Resumo!$F$13,IF(AND(B242&lt;&gt;"",K242&lt;&gt;$D$17,B242&gt;$D$16),$D$15*Resumo!$F$13,0))</f>
        <v>34.369999999999997</v>
      </c>
      <c r="I242" s="42">
        <f>IF(AND(B242&lt;&gt;"",K242&lt;&gt;$D$17,$D$16&gt;3,$B242&lt;=$D$16),Resumo!$F$11,IF(AND(B242&lt;&gt;"",K242&lt;&gt;$D$17,B242&gt;$D$16),Resumo!$F$11,0))</f>
        <v>25</v>
      </c>
      <c r="J242" s="42">
        <f t="shared" ca="1" si="44"/>
        <v>2357.3350930526281</v>
      </c>
      <c r="K242" s="39" t="str">
        <f>IF(B242&lt;&gt;"",VLOOKUP(MONTH(C242),Sheet2!$F$1:$G$12,2,0),"")</f>
        <v>Novembro</v>
      </c>
      <c r="L242" s="200">
        <f t="shared" ca="1" si="45"/>
        <v>0</v>
      </c>
      <c r="M242" s="40">
        <f t="shared" ca="1" si="36"/>
        <v>2255.2854533867467</v>
      </c>
      <c r="N242" s="40">
        <f t="shared" ca="1" si="37"/>
        <v>2357.3350930526281</v>
      </c>
      <c r="O242" s="40"/>
      <c r="P242" s="20">
        <f t="shared" ca="1" si="38"/>
        <v>834.89136490250701</v>
      </c>
      <c r="Q242" s="1">
        <f t="shared" si="39"/>
        <v>6708</v>
      </c>
      <c r="R242" s="171">
        <f>IF(AND($J$2&gt;=DATEVALUE("03/04/2020"),$J$2&lt;=DATEVALUE("25/11/2020")),0,IF(Resumo!$C$19="PF",IF(Q242&lt;360,0.0082%*Q242,3%),IF(Q242&lt;360,0.0041%*Q242,1.5%)))</f>
        <v>1.4999999999999999E-2</v>
      </c>
      <c r="S242" s="172">
        <f t="shared" ca="1" si="40"/>
        <v>12.523370473537605</v>
      </c>
      <c r="W242" s="216">
        <f t="shared" ca="1" si="46"/>
        <v>2255.2854533867467</v>
      </c>
    </row>
    <row r="243" spans="2:23">
      <c r="B243" s="37">
        <f t="shared" si="41"/>
        <v>221</v>
      </c>
      <c r="C243" s="163">
        <f t="shared" si="42"/>
        <v>51485</v>
      </c>
      <c r="D243" s="38">
        <f t="shared" ca="1" si="43"/>
        <v>873.27807372963684</v>
      </c>
      <c r="E243" s="38">
        <f t="shared" ca="1" si="47"/>
        <v>1382.0073796571098</v>
      </c>
      <c r="F243" s="38">
        <f ca="1">IF(B243&lt;=$D$16,F242*(1+$D$13)^((C243-C242)/_xlfn.DAYS(EDATE(C242,1),C242)),F242-D243)+IF(B243&lt;=$D$16,F242*Resumo!$F$12,0)+IF(B243&lt;=$D$16,$D$15*Resumo!$F$13,0)+IF(B243&lt;=$D$16,25,0)-IF(AND($D$16&gt;3,B243&lt;=$D$16),J243,0)</f>
        <v>202363.10128761007</v>
      </c>
      <c r="G243" s="38">
        <f ca="1">IF(AND(B243&lt;&gt;"",K243&lt;&gt;$D$17,$D$16&gt;3),F243*Resumo!$F$12,IF(AND(B243&lt;&gt;"",K243&lt;&gt;$D$17,B243&gt;$D$16),F243*Resumo!$F$12,0))</f>
        <v>42.496251270398119</v>
      </c>
      <c r="H243" s="38">
        <f>IF(AND(B243&lt;&gt;"",K243&lt;&gt;$D$17,$D$16&gt;3,$B243&lt;=$D$16),$D$15*Resumo!$F$13,IF(AND(B243&lt;&gt;"",K243&lt;&gt;$D$17,B243&gt;$D$16),$D$15*Resumo!$F$13,0))</f>
        <v>34.369999999999997</v>
      </c>
      <c r="I243" s="38">
        <f>IF(AND(B243&lt;&gt;"",K243&lt;&gt;$D$17,$D$16&gt;3,$B243&lt;=$D$16),Resumo!$F$11,IF(AND(B243&lt;&gt;"",K243&lt;&gt;$D$17,B243&gt;$D$16),Resumo!$F$11,0))</f>
        <v>25</v>
      </c>
      <c r="J243" s="38">
        <f t="shared" ca="1" si="44"/>
        <v>2357.1517046571448</v>
      </c>
      <c r="K243" s="39" t="str">
        <f>IF(B243&lt;&gt;"",VLOOKUP(MONTH(C243),Sheet2!$F$1:$G$12,2,0),"")</f>
        <v>Dezembro</v>
      </c>
      <c r="L243" s="200">
        <f t="shared" ca="1" si="45"/>
        <v>0</v>
      </c>
      <c r="M243" s="40">
        <f t="shared" ca="1" si="36"/>
        <v>2255.2854533867467</v>
      </c>
      <c r="N243" s="40">
        <f t="shared" ca="1" si="37"/>
        <v>2357.1517046571448</v>
      </c>
      <c r="O243" s="40"/>
      <c r="P243" s="20">
        <f t="shared" ca="1" si="38"/>
        <v>834.89136490250701</v>
      </c>
      <c r="Q243" s="1">
        <f t="shared" si="39"/>
        <v>6738</v>
      </c>
      <c r="R243" s="171">
        <f>IF(AND($J$2&gt;=DATEVALUE("03/04/2020"),$J$2&lt;=DATEVALUE("25/11/2020")),0,IF(Resumo!$C$19="PF",IF(Q243&lt;360,0.0082%*Q243,3%),IF(Q243&lt;360,0.0041%*Q243,1.5%)))</f>
        <v>1.4999999999999999E-2</v>
      </c>
      <c r="S243" s="172">
        <f t="shared" ca="1" si="40"/>
        <v>12.523370473537605</v>
      </c>
      <c r="W243" s="216">
        <f t="shared" ca="1" si="46"/>
        <v>2255.2854533867467</v>
      </c>
    </row>
    <row r="244" spans="2:23">
      <c r="B244" s="41">
        <f t="shared" si="41"/>
        <v>222</v>
      </c>
      <c r="C244" s="164">
        <f t="shared" si="42"/>
        <v>51516</v>
      </c>
      <c r="D244" s="42">
        <f t="shared" ca="1" si="43"/>
        <v>879.21636463099821</v>
      </c>
      <c r="E244" s="42">
        <f t="shared" ca="1" si="47"/>
        <v>1376.0690887557485</v>
      </c>
      <c r="F244" s="42">
        <f ca="1">IF(B244&lt;=$D$16,F243*(1+$D$13)^((C244-C243)/_xlfn.DAYS(EDATE(C243,1),C243)),F243-D244)+IF(B244&lt;=$D$16,F243*Resumo!$F$12,0)+IF(B244&lt;=$D$16,$D$15*Resumo!$F$13,0)+IF(B244&lt;=$D$16,25,0)-IF(AND($D$16&gt;3,B244&lt;=$D$16),J244,0)</f>
        <v>201483.88492297908</v>
      </c>
      <c r="G244" s="42">
        <f ca="1">IF(AND(B244&lt;&gt;"",K244&lt;&gt;$D$17,$D$16&gt;3),F244*Resumo!$F$12,IF(AND(B244&lt;&gt;"",K244&lt;&gt;$D$17,B244&gt;$D$16),F244*Resumo!$F$12,0))</f>
        <v>42.311615833825606</v>
      </c>
      <c r="H244" s="42">
        <f>IF(AND(B244&lt;&gt;"",K244&lt;&gt;$D$17,$D$16&gt;3,$B244&lt;=$D$16),$D$15*Resumo!$F$13,IF(AND(B244&lt;&gt;"",K244&lt;&gt;$D$17,B244&gt;$D$16),$D$15*Resumo!$F$13,0))</f>
        <v>34.369999999999997</v>
      </c>
      <c r="I244" s="42">
        <f>IF(AND(B244&lt;&gt;"",K244&lt;&gt;$D$17,$D$16&gt;3,$B244&lt;=$D$16),Resumo!$F$11,IF(AND(B244&lt;&gt;"",K244&lt;&gt;$D$17,B244&gt;$D$16),Resumo!$F$11,0))</f>
        <v>25</v>
      </c>
      <c r="J244" s="42">
        <f t="shared" ca="1" si="44"/>
        <v>2356.9670692205723</v>
      </c>
      <c r="K244" s="39" t="str">
        <f>IF(B244&lt;&gt;"",VLOOKUP(MONTH(C244),Sheet2!$F$1:$G$12,2,0),"")</f>
        <v>Janeiro</v>
      </c>
      <c r="L244" s="200">
        <f t="shared" ca="1" si="45"/>
        <v>0</v>
      </c>
      <c r="M244" s="40">
        <f t="shared" ca="1" si="36"/>
        <v>2255.2854533867467</v>
      </c>
      <c r="N244" s="40">
        <f t="shared" ca="1" si="37"/>
        <v>2356.9670692205723</v>
      </c>
      <c r="O244" s="40"/>
      <c r="P244" s="20">
        <f t="shared" ca="1" si="38"/>
        <v>834.89136490250701</v>
      </c>
      <c r="Q244" s="1">
        <f t="shared" si="39"/>
        <v>6769</v>
      </c>
      <c r="R244" s="171">
        <f>IF(AND($J$2&gt;=DATEVALUE("03/04/2020"),$J$2&lt;=DATEVALUE("25/11/2020")),0,IF(Resumo!$C$19="PF",IF(Q244&lt;360,0.0082%*Q244,3%),IF(Q244&lt;360,0.0041%*Q244,1.5%)))</f>
        <v>1.4999999999999999E-2</v>
      </c>
      <c r="S244" s="172">
        <f t="shared" ca="1" si="40"/>
        <v>12.523370473537605</v>
      </c>
      <c r="W244" s="216">
        <f t="shared" ca="1" si="46"/>
        <v>2255.2854533867467</v>
      </c>
    </row>
    <row r="245" spans="2:23">
      <c r="B245" s="37">
        <f t="shared" si="41"/>
        <v>223</v>
      </c>
      <c r="C245" s="163">
        <f t="shared" si="42"/>
        <v>51547</v>
      </c>
      <c r="D245" s="38">
        <f t="shared" ca="1" si="43"/>
        <v>885.19503591048897</v>
      </c>
      <c r="E245" s="38">
        <f t="shared" ca="1" si="47"/>
        <v>1370.0904174762577</v>
      </c>
      <c r="F245" s="38">
        <f ca="1">IF(B245&lt;=$D$16,F244*(1+$D$13)^((C245-C244)/_xlfn.DAYS(EDATE(C244,1),C244)),F244-D245)+IF(B245&lt;=$D$16,F244*Resumo!$F$12,0)+IF(B245&lt;=$D$16,$D$15*Resumo!$F$13,0)+IF(B245&lt;=$D$16,25,0)-IF(AND($D$16&gt;3,B245&lt;=$D$16),J245,0)</f>
        <v>200598.68988706858</v>
      </c>
      <c r="G245" s="38">
        <f ca="1">IF(AND(B245&lt;&gt;"",K245&lt;&gt;$D$17,$D$16&gt;3),F245*Resumo!$F$12,IF(AND(B245&lt;&gt;"",K245&lt;&gt;$D$17,B245&gt;$D$16),F245*Resumo!$F$12,0))</f>
        <v>42.125724876284401</v>
      </c>
      <c r="H245" s="38">
        <f>IF(AND(B245&lt;&gt;"",K245&lt;&gt;$D$17,$D$16&gt;3,$B245&lt;=$D$16),$D$15*Resumo!$F$13,IF(AND(B245&lt;&gt;"",K245&lt;&gt;$D$17,B245&gt;$D$16),$D$15*Resumo!$F$13,0))</f>
        <v>34.369999999999997</v>
      </c>
      <c r="I245" s="38">
        <f>IF(AND(B245&lt;&gt;"",K245&lt;&gt;$D$17,$D$16&gt;3,$B245&lt;=$D$16),Resumo!$F$11,IF(AND(B245&lt;&gt;"",K245&lt;&gt;$D$17,B245&gt;$D$16),Resumo!$F$11,0))</f>
        <v>25</v>
      </c>
      <c r="J245" s="38">
        <f t="shared" ca="1" si="44"/>
        <v>2356.7811782630311</v>
      </c>
      <c r="K245" s="39" t="str">
        <f>IF(B245&lt;&gt;"",VLOOKUP(MONTH(C245),Sheet2!$F$1:$G$12,2,0),"")</f>
        <v>Fevereiro</v>
      </c>
      <c r="L245" s="200">
        <f t="shared" ca="1" si="45"/>
        <v>0</v>
      </c>
      <c r="M245" s="40">
        <f t="shared" ca="1" si="36"/>
        <v>2255.2854533867467</v>
      </c>
      <c r="N245" s="40">
        <f t="shared" ca="1" si="37"/>
        <v>2356.7811782630311</v>
      </c>
      <c r="O245" s="40"/>
      <c r="P245" s="20">
        <f t="shared" ca="1" si="38"/>
        <v>834.89136490250701</v>
      </c>
      <c r="Q245" s="1">
        <f t="shared" si="39"/>
        <v>6800</v>
      </c>
      <c r="R245" s="171">
        <f>IF(AND($J$2&gt;=DATEVALUE("03/04/2020"),$J$2&lt;=DATEVALUE("25/11/2020")),0,IF(Resumo!$C$19="PF",IF(Q245&lt;360,0.0082%*Q245,3%),IF(Q245&lt;360,0.0041%*Q245,1.5%)))</f>
        <v>1.4999999999999999E-2</v>
      </c>
      <c r="S245" s="172">
        <f t="shared" ca="1" si="40"/>
        <v>12.523370473537605</v>
      </c>
      <c r="W245" s="216">
        <f t="shared" ca="1" si="46"/>
        <v>2255.2854533867467</v>
      </c>
    </row>
    <row r="246" spans="2:23">
      <c r="B246" s="41">
        <f t="shared" si="41"/>
        <v>224</v>
      </c>
      <c r="C246" s="164">
        <f t="shared" si="42"/>
        <v>51575</v>
      </c>
      <c r="D246" s="42">
        <f t="shared" ca="1" si="43"/>
        <v>891.21436215468043</v>
      </c>
      <c r="E246" s="42">
        <f t="shared" ca="1" si="47"/>
        <v>1364.0710912320662</v>
      </c>
      <c r="F246" s="42">
        <f ca="1">IF(B246&lt;=$D$16,F245*(1+$D$13)^((C246-C245)/_xlfn.DAYS(EDATE(C245,1),C245)),F245-D246)+IF(B246&lt;=$D$16,F245*Resumo!$F$12,0)+IF(B246&lt;=$D$16,$D$15*Resumo!$F$13,0)+IF(B246&lt;=$D$16,25,0)-IF(AND($D$16&gt;3,B246&lt;=$D$16),J246,0)</f>
        <v>199707.4755249139</v>
      </c>
      <c r="G246" s="42">
        <f ca="1">IF(AND(B246&lt;&gt;"",K246&lt;&gt;$D$17,$D$16&gt;3),F246*Resumo!$F$12,IF(AND(B246&lt;&gt;"",K246&lt;&gt;$D$17,B246&gt;$D$16),F246*Resumo!$F$12,0))</f>
        <v>41.938569860231922</v>
      </c>
      <c r="H246" s="42">
        <f>IF(AND(B246&lt;&gt;"",K246&lt;&gt;$D$17,$D$16&gt;3,$B246&lt;=$D$16),$D$15*Resumo!$F$13,IF(AND(B246&lt;&gt;"",K246&lt;&gt;$D$17,B246&gt;$D$16),$D$15*Resumo!$F$13,0))</f>
        <v>34.369999999999997</v>
      </c>
      <c r="I246" s="42">
        <f>IF(AND(B246&lt;&gt;"",K246&lt;&gt;$D$17,$D$16&gt;3,$B246&lt;=$D$16),Resumo!$F$11,IF(AND(B246&lt;&gt;"",K246&lt;&gt;$D$17,B246&gt;$D$16),Resumo!$F$11,0))</f>
        <v>25</v>
      </c>
      <c r="J246" s="42">
        <f t="shared" ca="1" si="44"/>
        <v>2356.5940232469784</v>
      </c>
      <c r="K246" s="39" t="str">
        <f>IF(B246&lt;&gt;"",VLOOKUP(MONTH(C246),Sheet2!$F$1:$G$12,2,0),"")</f>
        <v>Março</v>
      </c>
      <c r="L246" s="200">
        <f t="shared" ca="1" si="45"/>
        <v>0</v>
      </c>
      <c r="M246" s="40">
        <f t="shared" ca="1" si="36"/>
        <v>2255.2854533867467</v>
      </c>
      <c r="N246" s="40">
        <f t="shared" ca="1" si="37"/>
        <v>2356.5940232469784</v>
      </c>
      <c r="O246" s="40"/>
      <c r="P246" s="20">
        <f t="shared" ca="1" si="38"/>
        <v>834.89136490250701</v>
      </c>
      <c r="Q246" s="1">
        <f t="shared" si="39"/>
        <v>6828</v>
      </c>
      <c r="R246" s="171">
        <f>IF(AND($J$2&gt;=DATEVALUE("03/04/2020"),$J$2&lt;=DATEVALUE("25/11/2020")),0,IF(Resumo!$C$19="PF",IF(Q246&lt;360,0.0082%*Q246,3%),IF(Q246&lt;360,0.0041%*Q246,1.5%)))</f>
        <v>1.4999999999999999E-2</v>
      </c>
      <c r="S246" s="172">
        <f t="shared" ca="1" si="40"/>
        <v>12.523370473537605</v>
      </c>
      <c r="W246" s="216">
        <f t="shared" ca="1" si="46"/>
        <v>2255.2854533867467</v>
      </c>
    </row>
    <row r="247" spans="2:23">
      <c r="B247" s="37">
        <f t="shared" si="41"/>
        <v>225</v>
      </c>
      <c r="C247" s="163">
        <f t="shared" si="42"/>
        <v>51606</v>
      </c>
      <c r="D247" s="38">
        <f t="shared" ca="1" si="43"/>
        <v>897.27461981733222</v>
      </c>
      <c r="E247" s="38">
        <f t="shared" ca="1" si="47"/>
        <v>1358.0108335694144</v>
      </c>
      <c r="F247" s="38">
        <f ca="1">IF(B247&lt;=$D$16,F246*(1+$D$13)^((C247-C246)/_xlfn.DAYS(EDATE(C246,1),C246)),F246-D247)+IF(B247&lt;=$D$16,F246*Resumo!$F$12,0)+IF(B247&lt;=$D$16,$D$15*Resumo!$F$13,0)+IF(B247&lt;=$D$16,25,0)-IF(AND($D$16&gt;3,B247&lt;=$D$16),J247,0)</f>
        <v>198810.20090509657</v>
      </c>
      <c r="G247" s="38">
        <f ca="1">IF(AND(B247&lt;&gt;"",K247&lt;&gt;$D$17,$D$16&gt;3),F247*Resumo!$F$12,IF(AND(B247&lt;&gt;"",K247&lt;&gt;$D$17,B247&gt;$D$16),F247*Resumo!$F$12,0))</f>
        <v>41.750142190070285</v>
      </c>
      <c r="H247" s="38">
        <f>IF(AND(B247&lt;&gt;"",K247&lt;&gt;$D$17,$D$16&gt;3,$B247&lt;=$D$16),$D$15*Resumo!$F$13,IF(AND(B247&lt;&gt;"",K247&lt;&gt;$D$17,B247&gt;$D$16),$D$15*Resumo!$F$13,0))</f>
        <v>34.369999999999997</v>
      </c>
      <c r="I247" s="38">
        <f>IF(AND(B247&lt;&gt;"",K247&lt;&gt;$D$17,$D$16&gt;3,$B247&lt;=$D$16),Resumo!$F$11,IF(AND(B247&lt;&gt;"",K247&lt;&gt;$D$17,B247&gt;$D$16),Resumo!$F$11,0))</f>
        <v>25</v>
      </c>
      <c r="J247" s="38">
        <f t="shared" ca="1" si="44"/>
        <v>2356.4055955768167</v>
      </c>
      <c r="K247" s="39" t="str">
        <f>IF(B247&lt;&gt;"",VLOOKUP(MONTH(C247),Sheet2!$F$1:$G$12,2,0),"")</f>
        <v>Abril</v>
      </c>
      <c r="L247" s="200">
        <f t="shared" ca="1" si="45"/>
        <v>0</v>
      </c>
      <c r="M247" s="40">
        <f t="shared" ca="1" si="36"/>
        <v>2255.2854533867467</v>
      </c>
      <c r="N247" s="40">
        <f t="shared" ca="1" si="37"/>
        <v>2356.4055955768167</v>
      </c>
      <c r="O247" s="40"/>
      <c r="P247" s="20">
        <f t="shared" ca="1" si="38"/>
        <v>834.89136490250701</v>
      </c>
      <c r="Q247" s="1">
        <f t="shared" si="39"/>
        <v>6859</v>
      </c>
      <c r="R247" s="171">
        <f>IF(AND($J$2&gt;=DATEVALUE("03/04/2020"),$J$2&lt;=DATEVALUE("25/11/2020")),0,IF(Resumo!$C$19="PF",IF(Q247&lt;360,0.0082%*Q247,3%),IF(Q247&lt;360,0.0041%*Q247,1.5%)))</f>
        <v>1.4999999999999999E-2</v>
      </c>
      <c r="S247" s="172">
        <f t="shared" ca="1" si="40"/>
        <v>12.523370473537605</v>
      </c>
      <c r="W247" s="216">
        <f t="shared" ca="1" si="46"/>
        <v>2255.2854533867467</v>
      </c>
    </row>
    <row r="248" spans="2:23">
      <c r="B248" s="41">
        <f t="shared" si="41"/>
        <v>226</v>
      </c>
      <c r="C248" s="164">
        <f t="shared" si="42"/>
        <v>51636</v>
      </c>
      <c r="D248" s="42">
        <f t="shared" ca="1" si="43"/>
        <v>903.37608723208996</v>
      </c>
      <c r="E248" s="42">
        <f t="shared" ca="1" si="47"/>
        <v>1351.9093661546567</v>
      </c>
      <c r="F248" s="42">
        <f ca="1">IF(B248&lt;=$D$16,F247*(1+$D$13)^((C248-C247)/_xlfn.DAYS(EDATE(C247,1),C247)),F247-D248)+IF(B248&lt;=$D$16,F247*Resumo!$F$12,0)+IF(B248&lt;=$D$16,$D$15*Resumo!$F$13,0)+IF(B248&lt;=$D$16,25,0)-IF(AND($D$16&gt;3,B248&lt;=$D$16),J248,0)</f>
        <v>197906.82481786449</v>
      </c>
      <c r="G248" s="42">
        <f ca="1">IF(AND(B248&lt;&gt;"",K248&lt;&gt;$D$17,$D$16&gt;3),F248*Resumo!$F$12,IF(AND(B248&lt;&gt;"",K248&lt;&gt;$D$17,B248&gt;$D$16),F248*Resumo!$F$12,0))</f>
        <v>41.560433211751544</v>
      </c>
      <c r="H248" s="42">
        <f>IF(AND(B248&lt;&gt;"",K248&lt;&gt;$D$17,$D$16&gt;3,$B248&lt;=$D$16),$D$15*Resumo!$F$13,IF(AND(B248&lt;&gt;"",K248&lt;&gt;$D$17,B248&gt;$D$16),$D$15*Resumo!$F$13,0))</f>
        <v>34.369999999999997</v>
      </c>
      <c r="I248" s="42">
        <f>IF(AND(B248&lt;&gt;"",K248&lt;&gt;$D$17,$D$16&gt;3,$B248&lt;=$D$16),Resumo!$F$11,IF(AND(B248&lt;&gt;"",K248&lt;&gt;$D$17,B248&gt;$D$16),Resumo!$F$11,0))</f>
        <v>25</v>
      </c>
      <c r="J248" s="42">
        <f t="shared" ca="1" si="44"/>
        <v>2356.2158865984979</v>
      </c>
      <c r="K248" s="39" t="str">
        <f>IF(B248&lt;&gt;"",VLOOKUP(MONTH(C248),Sheet2!$F$1:$G$12,2,0),"")</f>
        <v>Maio</v>
      </c>
      <c r="L248" s="200">
        <f t="shared" ca="1" si="45"/>
        <v>0</v>
      </c>
      <c r="M248" s="40">
        <f t="shared" ca="1" si="36"/>
        <v>2255.2854533867467</v>
      </c>
      <c r="N248" s="40">
        <f t="shared" ca="1" si="37"/>
        <v>2356.2158865984979</v>
      </c>
      <c r="O248" s="40"/>
      <c r="P248" s="20">
        <f t="shared" ca="1" si="38"/>
        <v>834.89136490250701</v>
      </c>
      <c r="Q248" s="1">
        <f t="shared" si="39"/>
        <v>6889</v>
      </c>
      <c r="R248" s="171">
        <f>IF(AND($J$2&gt;=DATEVALUE("03/04/2020"),$J$2&lt;=DATEVALUE("25/11/2020")),0,IF(Resumo!$C$19="PF",IF(Q248&lt;360,0.0082%*Q248,3%),IF(Q248&lt;360,0.0041%*Q248,1.5%)))</f>
        <v>1.4999999999999999E-2</v>
      </c>
      <c r="S248" s="172">
        <f t="shared" ca="1" si="40"/>
        <v>12.523370473537605</v>
      </c>
      <c r="W248" s="216">
        <f t="shared" ca="1" si="46"/>
        <v>2255.2854533867467</v>
      </c>
    </row>
    <row r="249" spans="2:23">
      <c r="B249" s="37">
        <f t="shared" si="41"/>
        <v>227</v>
      </c>
      <c r="C249" s="163">
        <f t="shared" si="42"/>
        <v>51667</v>
      </c>
      <c r="D249" s="38">
        <f t="shared" ca="1" si="43"/>
        <v>909.51904462526818</v>
      </c>
      <c r="E249" s="38">
        <f t="shared" ca="1" si="47"/>
        <v>1345.7664087614785</v>
      </c>
      <c r="F249" s="38">
        <f ca="1">IF(B249&lt;=$D$16,F248*(1+$D$13)^((C249-C248)/_xlfn.DAYS(EDATE(C248,1),C248)),F248-D249)+IF(B249&lt;=$D$16,F248*Resumo!$F$12,0)+IF(B249&lt;=$D$16,$D$15*Resumo!$F$13,0)+IF(B249&lt;=$D$16,25,0)-IF(AND($D$16&gt;3,B249&lt;=$D$16),J249,0)</f>
        <v>196997.3057732392</v>
      </c>
      <c r="G249" s="38">
        <f ca="1">IF(AND(B249&lt;&gt;"",K249&lt;&gt;$D$17,$D$16&gt;3),F249*Resumo!$F$12,IF(AND(B249&lt;&gt;"",K249&lt;&gt;$D$17,B249&gt;$D$16),F249*Resumo!$F$12,0))</f>
        <v>41.369434212380234</v>
      </c>
      <c r="H249" s="38">
        <f>IF(AND(B249&lt;&gt;"",K249&lt;&gt;$D$17,$D$16&gt;3,$B249&lt;=$D$16),$D$15*Resumo!$F$13,IF(AND(B249&lt;&gt;"",K249&lt;&gt;$D$17,B249&gt;$D$16),$D$15*Resumo!$F$13,0))</f>
        <v>34.369999999999997</v>
      </c>
      <c r="I249" s="38">
        <f>IF(AND(B249&lt;&gt;"",K249&lt;&gt;$D$17,$D$16&gt;3,$B249&lt;=$D$16),Resumo!$F$11,IF(AND(B249&lt;&gt;"",K249&lt;&gt;$D$17,B249&gt;$D$16),Resumo!$F$11,0))</f>
        <v>25</v>
      </c>
      <c r="J249" s="38">
        <f t="shared" ca="1" si="44"/>
        <v>2356.0248875991269</v>
      </c>
      <c r="K249" s="39" t="str">
        <f>IF(B249&lt;&gt;"",VLOOKUP(MONTH(C249),Sheet2!$F$1:$G$12,2,0),"")</f>
        <v>Junho</v>
      </c>
      <c r="L249" s="200">
        <f t="shared" ca="1" si="45"/>
        <v>0</v>
      </c>
      <c r="M249" s="40">
        <f t="shared" ca="1" si="36"/>
        <v>2255.2854533867467</v>
      </c>
      <c r="N249" s="40">
        <f t="shared" ca="1" si="37"/>
        <v>2356.0248875991269</v>
      </c>
      <c r="O249" s="40"/>
      <c r="P249" s="20">
        <f t="shared" ca="1" si="38"/>
        <v>834.89136490250701</v>
      </c>
      <c r="Q249" s="1">
        <f t="shared" si="39"/>
        <v>6920</v>
      </c>
      <c r="R249" s="171">
        <f>IF(AND($J$2&gt;=DATEVALUE("03/04/2020"),$J$2&lt;=DATEVALUE("25/11/2020")),0,IF(Resumo!$C$19="PF",IF(Q249&lt;360,0.0082%*Q249,3%),IF(Q249&lt;360,0.0041%*Q249,1.5%)))</f>
        <v>1.4999999999999999E-2</v>
      </c>
      <c r="S249" s="172">
        <f t="shared" ca="1" si="40"/>
        <v>12.523370473537605</v>
      </c>
      <c r="W249" s="216">
        <f t="shared" ca="1" si="46"/>
        <v>2255.2854533867467</v>
      </c>
    </row>
    <row r="250" spans="2:23">
      <c r="B250" s="41">
        <f t="shared" si="41"/>
        <v>228</v>
      </c>
      <c r="C250" s="164">
        <f t="shared" si="42"/>
        <v>51697</v>
      </c>
      <c r="D250" s="42">
        <f t="shared" ca="1" si="43"/>
        <v>915.70377412872017</v>
      </c>
      <c r="E250" s="42">
        <f t="shared" ca="1" si="47"/>
        <v>1339.5816792580265</v>
      </c>
      <c r="F250" s="42">
        <f ca="1">IF(B250&lt;=$D$16,F249*(1+$D$13)^((C250-C249)/_xlfn.DAYS(EDATE(C249,1),C249)),F249-D250)+IF(B250&lt;=$D$16,F249*Resumo!$F$12,0)+IF(B250&lt;=$D$16,$D$15*Resumo!$F$13,0)+IF(B250&lt;=$D$16,25,0)-IF(AND($D$16&gt;3,B250&lt;=$D$16),J250,0)</f>
        <v>196081.60199911048</v>
      </c>
      <c r="G250" s="42">
        <f ca="1">IF(AND(B250&lt;&gt;"",K250&lt;&gt;$D$17,$D$16&gt;3),F250*Resumo!$F$12,IF(AND(B250&lt;&gt;"",K250&lt;&gt;$D$17,B250&gt;$D$16),F250*Resumo!$F$12,0))</f>
        <v>41.177136419813202</v>
      </c>
      <c r="H250" s="42">
        <f>IF(AND(B250&lt;&gt;"",K250&lt;&gt;$D$17,$D$16&gt;3,$B250&lt;=$D$16),$D$15*Resumo!$F$13,IF(AND(B250&lt;&gt;"",K250&lt;&gt;$D$17,B250&gt;$D$16),$D$15*Resumo!$F$13,0))</f>
        <v>34.369999999999997</v>
      </c>
      <c r="I250" s="42">
        <f>IF(AND(B250&lt;&gt;"",K250&lt;&gt;$D$17,$D$16&gt;3,$B250&lt;=$D$16),Resumo!$F$11,IF(AND(B250&lt;&gt;"",K250&lt;&gt;$D$17,B250&gt;$D$16),Resumo!$F$11,0))</f>
        <v>25</v>
      </c>
      <c r="J250" s="42">
        <f t="shared" ca="1" si="44"/>
        <v>2355.8325898065596</v>
      </c>
      <c r="K250" s="39" t="str">
        <f>IF(B250&lt;&gt;"",VLOOKUP(MONTH(C250),Sheet2!$F$1:$G$12,2,0),"")</f>
        <v>Julho</v>
      </c>
      <c r="L250" s="200">
        <f t="shared" ca="1" si="45"/>
        <v>0</v>
      </c>
      <c r="M250" s="40">
        <f t="shared" ca="1" si="36"/>
        <v>2255.2854533867467</v>
      </c>
      <c r="N250" s="40">
        <f t="shared" ca="1" si="37"/>
        <v>2355.8325898065596</v>
      </c>
      <c r="O250" s="40"/>
      <c r="P250" s="20">
        <f t="shared" ca="1" si="38"/>
        <v>834.89136490250701</v>
      </c>
      <c r="Q250" s="1">
        <f t="shared" si="39"/>
        <v>6950</v>
      </c>
      <c r="R250" s="171">
        <f>IF(AND($J$2&gt;=DATEVALUE("03/04/2020"),$J$2&lt;=DATEVALUE("25/11/2020")),0,IF(Resumo!$C$19="PF",IF(Q250&lt;360,0.0082%*Q250,3%),IF(Q250&lt;360,0.0041%*Q250,1.5%)))</f>
        <v>1.4999999999999999E-2</v>
      </c>
      <c r="S250" s="172">
        <f t="shared" ca="1" si="40"/>
        <v>12.523370473537605</v>
      </c>
      <c r="W250" s="216">
        <f t="shared" ca="1" si="46"/>
        <v>2255.2854533867467</v>
      </c>
    </row>
    <row r="251" spans="2:23">
      <c r="B251" s="37">
        <f t="shared" si="41"/>
        <v>229</v>
      </c>
      <c r="C251" s="163">
        <f t="shared" si="42"/>
        <v>51728</v>
      </c>
      <c r="D251" s="38">
        <f t="shared" ca="1" si="43"/>
        <v>921.93055979279552</v>
      </c>
      <c r="E251" s="38">
        <f t="shared" ca="1" si="47"/>
        <v>1333.3548935939511</v>
      </c>
      <c r="F251" s="38">
        <f ca="1">IF(B251&lt;=$D$16,F250*(1+$D$13)^((C251-C250)/_xlfn.DAYS(EDATE(C250,1),C250)),F250-D251)+IF(B251&lt;=$D$16,F250*Resumo!$F$12,0)+IF(B251&lt;=$D$16,$D$15*Resumo!$F$13,0)+IF(B251&lt;=$D$16,25,0)-IF(AND($D$16&gt;3,B251&lt;=$D$16),J251,0)</f>
        <v>195159.6714393177</v>
      </c>
      <c r="G251" s="38">
        <f ca="1">IF(AND(B251&lt;&gt;"",K251&lt;&gt;$D$17,$D$16&gt;3),F251*Resumo!$F$12,IF(AND(B251&lt;&gt;"",K251&lt;&gt;$D$17,B251&gt;$D$16),F251*Resumo!$F$12,0))</f>
        <v>40.983531002256719</v>
      </c>
      <c r="H251" s="38">
        <f>IF(AND(B251&lt;&gt;"",K251&lt;&gt;$D$17,$D$16&gt;3,$B251&lt;=$D$16),$D$15*Resumo!$F$13,IF(AND(B251&lt;&gt;"",K251&lt;&gt;$D$17,B251&gt;$D$16),$D$15*Resumo!$F$13,0))</f>
        <v>34.369999999999997</v>
      </c>
      <c r="I251" s="38">
        <f>IF(AND(B251&lt;&gt;"",K251&lt;&gt;$D$17,$D$16&gt;3,$B251&lt;=$D$16),Resumo!$F$11,IF(AND(B251&lt;&gt;"",K251&lt;&gt;$D$17,B251&gt;$D$16),Resumo!$F$11,0))</f>
        <v>25</v>
      </c>
      <c r="J251" s="38">
        <f t="shared" ca="1" si="44"/>
        <v>2355.6389843890033</v>
      </c>
      <c r="K251" s="39" t="str">
        <f>IF(B251&lt;&gt;"",VLOOKUP(MONTH(C251),Sheet2!$F$1:$G$12,2,0),"")</f>
        <v>Agosto</v>
      </c>
      <c r="L251" s="200">
        <f t="shared" ca="1" si="45"/>
        <v>0</v>
      </c>
      <c r="M251" s="40">
        <f t="shared" ca="1" si="36"/>
        <v>2255.2854533867467</v>
      </c>
      <c r="N251" s="40">
        <f t="shared" ca="1" si="37"/>
        <v>2355.6389843890033</v>
      </c>
      <c r="O251" s="40"/>
      <c r="P251" s="20">
        <f t="shared" ca="1" si="38"/>
        <v>834.89136490250701</v>
      </c>
      <c r="Q251" s="1">
        <f t="shared" si="39"/>
        <v>6981</v>
      </c>
      <c r="R251" s="171">
        <f>IF(AND($J$2&gt;=DATEVALUE("03/04/2020"),$J$2&lt;=DATEVALUE("25/11/2020")),0,IF(Resumo!$C$19="PF",IF(Q251&lt;360,0.0082%*Q251,3%),IF(Q251&lt;360,0.0041%*Q251,1.5%)))</f>
        <v>1.4999999999999999E-2</v>
      </c>
      <c r="S251" s="172">
        <f t="shared" ca="1" si="40"/>
        <v>12.523370473537605</v>
      </c>
      <c r="W251" s="216">
        <f t="shared" ca="1" si="46"/>
        <v>2255.2854533867467</v>
      </c>
    </row>
    <row r="252" spans="2:23">
      <c r="B252" s="41">
        <f t="shared" si="41"/>
        <v>230</v>
      </c>
      <c r="C252" s="164">
        <f t="shared" si="42"/>
        <v>51759</v>
      </c>
      <c r="D252" s="42">
        <f t="shared" ca="1" si="43"/>
        <v>928.19968759938638</v>
      </c>
      <c r="E252" s="42">
        <f t="shared" ca="1" si="47"/>
        <v>1327.0857657873603</v>
      </c>
      <c r="F252" s="42">
        <f ca="1">IF(B252&lt;=$D$16,F251*(1+$D$13)^((C252-C251)/_xlfn.DAYS(EDATE(C251,1),C251)),F251-D252)+IF(B252&lt;=$D$16,F251*Resumo!$F$12,0)+IF(B252&lt;=$D$16,$D$15*Resumo!$F$13,0)+IF(B252&lt;=$D$16,25,0)-IF(AND($D$16&gt;3,B252&lt;=$D$16),J252,0)</f>
        <v>194231.47175171832</v>
      </c>
      <c r="G252" s="42">
        <f ca="1">IF(AND(B252&lt;&gt;"",K252&lt;&gt;$D$17,$D$16&gt;3),F252*Resumo!$F$12,IF(AND(B252&lt;&gt;"",K252&lt;&gt;$D$17,B252&gt;$D$16),F252*Resumo!$F$12,0))</f>
        <v>40.788609067860847</v>
      </c>
      <c r="H252" s="42">
        <f>IF(AND(B252&lt;&gt;"",K252&lt;&gt;$D$17,$D$16&gt;3,$B252&lt;=$D$16),$D$15*Resumo!$F$13,IF(AND(B252&lt;&gt;"",K252&lt;&gt;$D$17,B252&gt;$D$16),$D$15*Resumo!$F$13,0))</f>
        <v>34.369999999999997</v>
      </c>
      <c r="I252" s="42">
        <f>IF(AND(B252&lt;&gt;"",K252&lt;&gt;$D$17,$D$16&gt;3,$B252&lt;=$D$16),Resumo!$F$11,IF(AND(B252&lt;&gt;"",K252&lt;&gt;$D$17,B252&gt;$D$16),Resumo!$F$11,0))</f>
        <v>25</v>
      </c>
      <c r="J252" s="42">
        <f t="shared" ca="1" si="44"/>
        <v>2355.4440624546073</v>
      </c>
      <c r="K252" s="39" t="str">
        <f>IF(B252&lt;&gt;"",VLOOKUP(MONTH(C252),Sheet2!$F$1:$G$12,2,0),"")</f>
        <v>Setembro</v>
      </c>
      <c r="L252" s="200">
        <f t="shared" ca="1" si="45"/>
        <v>0</v>
      </c>
      <c r="M252" s="40">
        <f t="shared" ca="1" si="36"/>
        <v>2255.2854533867467</v>
      </c>
      <c r="N252" s="40">
        <f t="shared" ca="1" si="37"/>
        <v>2355.4440624546073</v>
      </c>
      <c r="O252" s="40"/>
      <c r="P252" s="20">
        <f t="shared" ca="1" si="38"/>
        <v>834.89136490250701</v>
      </c>
      <c r="Q252" s="1">
        <f t="shared" si="39"/>
        <v>7012</v>
      </c>
      <c r="R252" s="171">
        <f>IF(AND($J$2&gt;=DATEVALUE("03/04/2020"),$J$2&lt;=DATEVALUE("25/11/2020")),0,IF(Resumo!$C$19="PF",IF(Q252&lt;360,0.0082%*Q252,3%),IF(Q252&lt;360,0.0041%*Q252,1.5%)))</f>
        <v>1.4999999999999999E-2</v>
      </c>
      <c r="S252" s="172">
        <f t="shared" ca="1" si="40"/>
        <v>12.523370473537605</v>
      </c>
      <c r="W252" s="216">
        <f t="shared" ca="1" si="46"/>
        <v>2255.2854533867467</v>
      </c>
    </row>
    <row r="253" spans="2:23">
      <c r="B253" s="37">
        <f t="shared" si="41"/>
        <v>231</v>
      </c>
      <c r="C253" s="163">
        <f t="shared" si="42"/>
        <v>51789</v>
      </c>
      <c r="D253" s="38">
        <f t="shared" ca="1" si="43"/>
        <v>934.51144547506215</v>
      </c>
      <c r="E253" s="38">
        <f t="shared" ca="1" si="47"/>
        <v>1320.7740079116845</v>
      </c>
      <c r="F253" s="38">
        <f ca="1">IF(B253&lt;=$D$16,F252*(1+$D$13)^((C253-C252)/_xlfn.DAYS(EDATE(C252,1),C252)),F252-D253)+IF(B253&lt;=$D$16,F252*Resumo!$F$12,0)+IF(B253&lt;=$D$16,$D$15*Resumo!$F$13,0)+IF(B253&lt;=$D$16,25,0)-IF(AND($D$16&gt;3,B253&lt;=$D$16),J253,0)</f>
        <v>193296.96030624324</v>
      </c>
      <c r="G253" s="38">
        <f ca="1">IF(AND(B253&lt;&gt;"",K253&lt;&gt;$D$17,$D$16&gt;3),F253*Resumo!$F$12,IF(AND(B253&lt;&gt;"",K253&lt;&gt;$D$17,B253&gt;$D$16),F253*Resumo!$F$12,0))</f>
        <v>40.592361664311085</v>
      </c>
      <c r="H253" s="38">
        <f>IF(AND(B253&lt;&gt;"",K253&lt;&gt;$D$17,$D$16&gt;3,$B253&lt;=$D$16),$D$15*Resumo!$F$13,IF(AND(B253&lt;&gt;"",K253&lt;&gt;$D$17,B253&gt;$D$16),$D$15*Resumo!$F$13,0))</f>
        <v>34.369999999999997</v>
      </c>
      <c r="I253" s="38">
        <f>IF(AND(B253&lt;&gt;"",K253&lt;&gt;$D$17,$D$16&gt;3,$B253&lt;=$D$16),Resumo!$F$11,IF(AND(B253&lt;&gt;"",K253&lt;&gt;$D$17,B253&gt;$D$16),Resumo!$F$11,0))</f>
        <v>25</v>
      </c>
      <c r="J253" s="38">
        <f t="shared" ca="1" si="44"/>
        <v>2355.2478150510578</v>
      </c>
      <c r="K253" s="39" t="str">
        <f>IF(B253&lt;&gt;"",VLOOKUP(MONTH(C253),Sheet2!$F$1:$G$12,2,0),"")</f>
        <v>Outubro</v>
      </c>
      <c r="L253" s="200">
        <f t="shared" ca="1" si="45"/>
        <v>0</v>
      </c>
      <c r="M253" s="40">
        <f t="shared" ca="1" si="36"/>
        <v>2255.2854533867467</v>
      </c>
      <c r="N253" s="40">
        <f t="shared" ca="1" si="37"/>
        <v>2355.2478150510578</v>
      </c>
      <c r="O253" s="40"/>
      <c r="P253" s="20">
        <f t="shared" ca="1" si="38"/>
        <v>834.89136490250701</v>
      </c>
      <c r="Q253" s="1">
        <f t="shared" si="39"/>
        <v>7042</v>
      </c>
      <c r="R253" s="171">
        <f>IF(AND($J$2&gt;=DATEVALUE("03/04/2020"),$J$2&lt;=DATEVALUE("25/11/2020")),0,IF(Resumo!$C$19="PF",IF(Q253&lt;360,0.0082%*Q253,3%),IF(Q253&lt;360,0.0041%*Q253,1.5%)))</f>
        <v>1.4999999999999999E-2</v>
      </c>
      <c r="S253" s="172">
        <f t="shared" ca="1" si="40"/>
        <v>12.523370473537605</v>
      </c>
      <c r="W253" s="216">
        <f t="shared" ca="1" si="46"/>
        <v>2255.2854533867467</v>
      </c>
    </row>
    <row r="254" spans="2:23">
      <c r="B254" s="41">
        <f t="shared" si="41"/>
        <v>232</v>
      </c>
      <c r="C254" s="164">
        <f t="shared" si="42"/>
        <v>51820</v>
      </c>
      <c r="D254" s="42">
        <f t="shared" ca="1" si="43"/>
        <v>940.86612330429261</v>
      </c>
      <c r="E254" s="42">
        <f t="shared" ca="1" si="47"/>
        <v>1314.4193300824541</v>
      </c>
      <c r="F254" s="42">
        <f ca="1">IF(B254&lt;=$D$16,F253*(1+$D$13)^((C254-C253)/_xlfn.DAYS(EDATE(C253,1),C253)),F253-D254)+IF(B254&lt;=$D$16,F253*Resumo!$F$12,0)+IF(B254&lt;=$D$16,$D$15*Resumo!$F$13,0)+IF(B254&lt;=$D$16,25,0)-IF(AND($D$16&gt;3,B254&lt;=$D$16),J254,0)</f>
        <v>192356.09418293895</v>
      </c>
      <c r="G254" s="42">
        <f ca="1">IF(AND(B254&lt;&gt;"",K254&lt;&gt;$D$17,$D$16&gt;3),F254*Resumo!$F$12,IF(AND(B254&lt;&gt;"",K254&lt;&gt;$D$17,B254&gt;$D$16),F254*Resumo!$F$12,0))</f>
        <v>40.394779778417181</v>
      </c>
      <c r="H254" s="42">
        <f>IF(AND(B254&lt;&gt;"",K254&lt;&gt;$D$17,$D$16&gt;3,$B254&lt;=$D$16),$D$15*Resumo!$F$13,IF(AND(B254&lt;&gt;"",K254&lt;&gt;$D$17,B254&gt;$D$16),$D$15*Resumo!$F$13,0))</f>
        <v>34.369999999999997</v>
      </c>
      <c r="I254" s="42">
        <f>IF(AND(B254&lt;&gt;"",K254&lt;&gt;$D$17,$D$16&gt;3,$B254&lt;=$D$16),Resumo!$F$11,IF(AND(B254&lt;&gt;"",K254&lt;&gt;$D$17,B254&gt;$D$16),Resumo!$F$11,0))</f>
        <v>25</v>
      </c>
      <c r="J254" s="42">
        <f t="shared" ca="1" si="44"/>
        <v>2355.0502331651637</v>
      </c>
      <c r="K254" s="39" t="str">
        <f>IF(B254&lt;&gt;"",VLOOKUP(MONTH(C254),Sheet2!$F$1:$G$12,2,0),"")</f>
        <v>Novembro</v>
      </c>
      <c r="L254" s="200">
        <f t="shared" ca="1" si="45"/>
        <v>0</v>
      </c>
      <c r="M254" s="40">
        <f t="shared" ca="1" si="36"/>
        <v>2255.2854533867467</v>
      </c>
      <c r="N254" s="40">
        <f t="shared" ca="1" si="37"/>
        <v>2355.0502331651637</v>
      </c>
      <c r="O254" s="40"/>
      <c r="P254" s="20">
        <f t="shared" ca="1" si="38"/>
        <v>834.89136490250701</v>
      </c>
      <c r="Q254" s="1">
        <f t="shared" si="39"/>
        <v>7073</v>
      </c>
      <c r="R254" s="171">
        <f>IF(AND($J$2&gt;=DATEVALUE("03/04/2020"),$J$2&lt;=DATEVALUE("25/11/2020")),0,IF(Resumo!$C$19="PF",IF(Q254&lt;360,0.0082%*Q254,3%),IF(Q254&lt;360,0.0041%*Q254,1.5%)))</f>
        <v>1.4999999999999999E-2</v>
      </c>
      <c r="S254" s="172">
        <f t="shared" ca="1" si="40"/>
        <v>12.523370473537605</v>
      </c>
      <c r="W254" s="216">
        <f t="shared" ca="1" si="46"/>
        <v>2255.2854533867467</v>
      </c>
    </row>
    <row r="255" spans="2:23">
      <c r="B255" s="37">
        <f t="shared" si="41"/>
        <v>233</v>
      </c>
      <c r="C255" s="163">
        <f t="shared" si="42"/>
        <v>51850</v>
      </c>
      <c r="D255" s="38">
        <f t="shared" ca="1" si="43"/>
        <v>947.26401294276184</v>
      </c>
      <c r="E255" s="38">
        <f t="shared" ca="1" si="47"/>
        <v>1308.0214404439848</v>
      </c>
      <c r="F255" s="38">
        <f ca="1">IF(B255&lt;=$D$16,F254*(1+$D$13)^((C255-C254)/_xlfn.DAYS(EDATE(C254,1),C254)),F254-D255)+IF(B255&lt;=$D$16,F254*Resumo!$F$12,0)+IF(B255&lt;=$D$16,$D$15*Resumo!$F$13,0)+IF(B255&lt;=$D$16,25,0)-IF(AND($D$16&gt;3,B255&lt;=$D$16),J255,0)</f>
        <v>191408.83016999619</v>
      </c>
      <c r="G255" s="38">
        <f ca="1">IF(AND(B255&lt;&gt;"",K255&lt;&gt;$D$17,$D$16&gt;3),F255*Resumo!$F$12,IF(AND(B255&lt;&gt;"",K255&lt;&gt;$D$17,B255&gt;$D$16),F255*Resumo!$F$12,0))</f>
        <v>40.195854335699202</v>
      </c>
      <c r="H255" s="38">
        <f>IF(AND(B255&lt;&gt;"",K255&lt;&gt;$D$17,$D$16&gt;3,$B255&lt;=$D$16),$D$15*Resumo!$F$13,IF(AND(B255&lt;&gt;"",K255&lt;&gt;$D$17,B255&gt;$D$16),$D$15*Resumo!$F$13,0))</f>
        <v>34.369999999999997</v>
      </c>
      <c r="I255" s="38">
        <f>IF(AND(B255&lt;&gt;"",K255&lt;&gt;$D$17,$D$16&gt;3,$B255&lt;=$D$16),Resumo!$F$11,IF(AND(B255&lt;&gt;"",K255&lt;&gt;$D$17,B255&gt;$D$16),Resumo!$F$11,0))</f>
        <v>25</v>
      </c>
      <c r="J255" s="38">
        <f t="shared" ca="1" si="44"/>
        <v>2354.8513077224457</v>
      </c>
      <c r="K255" s="39" t="str">
        <f>IF(B255&lt;&gt;"",VLOOKUP(MONTH(C255),Sheet2!$F$1:$G$12,2,0),"")</f>
        <v>Dezembro</v>
      </c>
      <c r="L255" s="200">
        <f t="shared" ca="1" si="45"/>
        <v>0</v>
      </c>
      <c r="M255" s="40">
        <f t="shared" ca="1" si="36"/>
        <v>2255.2854533867467</v>
      </c>
      <c r="N255" s="40">
        <f t="shared" ca="1" si="37"/>
        <v>2354.8513077224457</v>
      </c>
      <c r="O255" s="40"/>
      <c r="P255" s="20">
        <f t="shared" ca="1" si="38"/>
        <v>834.89136490250701</v>
      </c>
      <c r="Q255" s="1">
        <f t="shared" si="39"/>
        <v>7103</v>
      </c>
      <c r="R255" s="171">
        <f>IF(AND($J$2&gt;=DATEVALUE("03/04/2020"),$J$2&lt;=DATEVALUE("25/11/2020")),0,IF(Resumo!$C$19="PF",IF(Q255&lt;360,0.0082%*Q255,3%),IF(Q255&lt;360,0.0041%*Q255,1.5%)))</f>
        <v>1.4999999999999999E-2</v>
      </c>
      <c r="S255" s="172">
        <f t="shared" ca="1" si="40"/>
        <v>12.523370473537605</v>
      </c>
      <c r="W255" s="216">
        <f t="shared" ca="1" si="46"/>
        <v>2255.2854533867467</v>
      </c>
    </row>
    <row r="256" spans="2:23">
      <c r="B256" s="41">
        <f t="shared" si="41"/>
        <v>234</v>
      </c>
      <c r="C256" s="164">
        <f t="shared" si="42"/>
        <v>51881</v>
      </c>
      <c r="D256" s="42">
        <f t="shared" ca="1" si="43"/>
        <v>953.70540823077272</v>
      </c>
      <c r="E256" s="42">
        <f t="shared" ca="1" si="47"/>
        <v>1301.5800451559739</v>
      </c>
      <c r="F256" s="42">
        <f ca="1">IF(B256&lt;=$D$16,F255*(1+$D$13)^((C256-C255)/_xlfn.DAYS(EDATE(C255,1),C255)),F255-D256)+IF(B256&lt;=$D$16,F255*Resumo!$F$12,0)+IF(B256&lt;=$D$16,$D$15*Resumo!$F$13,0)+IF(B256&lt;=$D$16,25,0)-IF(AND($D$16&gt;3,B256&lt;=$D$16),J256,0)</f>
        <v>190455.12476176542</v>
      </c>
      <c r="G256" s="42">
        <f ca="1">IF(AND(B256&lt;&gt;"",K256&lt;&gt;$D$17,$D$16&gt;3),F256*Resumo!$F$12,IF(AND(B256&lt;&gt;"",K256&lt;&gt;$D$17,B256&gt;$D$16),F256*Resumo!$F$12,0))</f>
        <v>39.995576199970742</v>
      </c>
      <c r="H256" s="42">
        <f>IF(AND(B256&lt;&gt;"",K256&lt;&gt;$D$17,$D$16&gt;3,$B256&lt;=$D$16),$D$15*Resumo!$F$13,IF(AND(B256&lt;&gt;"",K256&lt;&gt;$D$17,B256&gt;$D$16),$D$15*Resumo!$F$13,0))</f>
        <v>34.369999999999997</v>
      </c>
      <c r="I256" s="42">
        <f>IF(AND(B256&lt;&gt;"",K256&lt;&gt;$D$17,$D$16&gt;3,$B256&lt;=$D$16),Resumo!$F$11,IF(AND(B256&lt;&gt;"",K256&lt;&gt;$D$17,B256&gt;$D$16),Resumo!$F$11,0))</f>
        <v>25</v>
      </c>
      <c r="J256" s="42">
        <f t="shared" ca="1" si="44"/>
        <v>2354.6510295867174</v>
      </c>
      <c r="K256" s="39" t="str">
        <f>IF(B256&lt;&gt;"",VLOOKUP(MONTH(C256),Sheet2!$F$1:$G$12,2,0),"")</f>
        <v>Janeiro</v>
      </c>
      <c r="L256" s="200">
        <f t="shared" ca="1" si="45"/>
        <v>0</v>
      </c>
      <c r="M256" s="40">
        <f t="shared" ca="1" si="36"/>
        <v>2255.2854533867467</v>
      </c>
      <c r="N256" s="40">
        <f t="shared" ca="1" si="37"/>
        <v>2354.6510295867174</v>
      </c>
      <c r="O256" s="40"/>
      <c r="P256" s="20">
        <f t="shared" ca="1" si="38"/>
        <v>834.89136490250701</v>
      </c>
      <c r="Q256" s="1">
        <f t="shared" si="39"/>
        <v>7134</v>
      </c>
      <c r="R256" s="171">
        <f>IF(AND($J$2&gt;=DATEVALUE("03/04/2020"),$J$2&lt;=DATEVALUE("25/11/2020")),0,IF(Resumo!$C$19="PF",IF(Q256&lt;360,0.0082%*Q256,3%),IF(Q256&lt;360,0.0041%*Q256,1.5%)))</f>
        <v>1.4999999999999999E-2</v>
      </c>
      <c r="S256" s="172">
        <f t="shared" ca="1" si="40"/>
        <v>12.523370473537605</v>
      </c>
      <c r="W256" s="216">
        <f t="shared" ca="1" si="46"/>
        <v>2255.2854533867467</v>
      </c>
    </row>
    <row r="257" spans="2:23">
      <c r="B257" s="37">
        <f t="shared" si="41"/>
        <v>235</v>
      </c>
      <c r="C257" s="163">
        <f t="shared" si="42"/>
        <v>51912</v>
      </c>
      <c r="D257" s="38">
        <f t="shared" ca="1" si="43"/>
        <v>960.19060500674186</v>
      </c>
      <c r="E257" s="38">
        <f t="shared" ca="1" si="47"/>
        <v>1295.0948483800048</v>
      </c>
      <c r="F257" s="38">
        <f ca="1">IF(B257&lt;=$D$16,F256*(1+$D$13)^((C257-C256)/_xlfn.DAYS(EDATE(C256,1),C256)),F256-D257)+IF(B257&lt;=$D$16,F256*Resumo!$F$12,0)+IF(B257&lt;=$D$16,$D$15*Resumo!$F$13,0)+IF(B257&lt;=$D$16,25,0)-IF(AND($D$16&gt;3,B257&lt;=$D$16),J257,0)</f>
        <v>189494.93415675868</v>
      </c>
      <c r="G257" s="38">
        <f ca="1">IF(AND(B257&lt;&gt;"",K257&lt;&gt;$D$17,$D$16&gt;3),F257*Resumo!$F$12,IF(AND(B257&lt;&gt;"",K257&lt;&gt;$D$17,B257&gt;$D$16),F257*Resumo!$F$12,0))</f>
        <v>39.793936172919324</v>
      </c>
      <c r="H257" s="38">
        <f>IF(AND(B257&lt;&gt;"",K257&lt;&gt;$D$17,$D$16&gt;3,$B257&lt;=$D$16),$D$15*Resumo!$F$13,IF(AND(B257&lt;&gt;"",K257&lt;&gt;$D$17,B257&gt;$D$16),$D$15*Resumo!$F$13,0))</f>
        <v>34.369999999999997</v>
      </c>
      <c r="I257" s="38">
        <f>IF(AND(B257&lt;&gt;"",K257&lt;&gt;$D$17,$D$16&gt;3,$B257&lt;=$D$16),Resumo!$F$11,IF(AND(B257&lt;&gt;"",K257&lt;&gt;$D$17,B257&gt;$D$16),Resumo!$F$11,0))</f>
        <v>25</v>
      </c>
      <c r="J257" s="38">
        <f t="shared" ca="1" si="44"/>
        <v>2354.4493895596661</v>
      </c>
      <c r="K257" s="39" t="str">
        <f>IF(B257&lt;&gt;"",VLOOKUP(MONTH(C257),Sheet2!$F$1:$G$12,2,0),"")</f>
        <v>Fevereiro</v>
      </c>
      <c r="L257" s="200">
        <f t="shared" ca="1" si="45"/>
        <v>0</v>
      </c>
      <c r="M257" s="40">
        <f t="shared" ca="1" si="36"/>
        <v>2255.2854533867467</v>
      </c>
      <c r="N257" s="40">
        <f t="shared" ca="1" si="37"/>
        <v>2354.4493895596661</v>
      </c>
      <c r="O257" s="40"/>
      <c r="P257" s="20">
        <f t="shared" ca="1" si="38"/>
        <v>834.89136490250701</v>
      </c>
      <c r="Q257" s="1">
        <f t="shared" si="39"/>
        <v>7165</v>
      </c>
      <c r="R257" s="171">
        <f>IF(AND($J$2&gt;=DATEVALUE("03/04/2020"),$J$2&lt;=DATEVALUE("25/11/2020")),0,IF(Resumo!$C$19="PF",IF(Q257&lt;360,0.0082%*Q257,3%),IF(Q257&lt;360,0.0041%*Q257,1.5%)))</f>
        <v>1.4999999999999999E-2</v>
      </c>
      <c r="S257" s="172">
        <f t="shared" ca="1" si="40"/>
        <v>12.523370473537605</v>
      </c>
      <c r="W257" s="216">
        <f t="shared" ca="1" si="46"/>
        <v>2255.2854533867467</v>
      </c>
    </row>
    <row r="258" spans="2:23">
      <c r="B258" s="41">
        <f t="shared" si="41"/>
        <v>236</v>
      </c>
      <c r="C258" s="164">
        <f t="shared" si="42"/>
        <v>51940</v>
      </c>
      <c r="D258" s="42">
        <f t="shared" ca="1" si="43"/>
        <v>966.71990112078765</v>
      </c>
      <c r="E258" s="42">
        <f t="shared" ca="1" si="47"/>
        <v>1288.565552265959</v>
      </c>
      <c r="F258" s="42">
        <f ca="1">IF(B258&lt;=$D$16,F257*(1+$D$13)^((C258-C257)/_xlfn.DAYS(EDATE(C257,1),C257)),F257-D258)+IF(B258&lt;=$D$16,F257*Resumo!$F$12,0)+IF(B258&lt;=$D$16,$D$15*Resumo!$F$13,0)+IF(B258&lt;=$D$16,25,0)-IF(AND($D$16&gt;3,B258&lt;=$D$16),J258,0)</f>
        <v>188528.2142556379</v>
      </c>
      <c r="G258" s="42">
        <f ca="1">IF(AND(B258&lt;&gt;"",K258&lt;&gt;$D$17,$D$16&gt;3),F258*Resumo!$F$12,IF(AND(B258&lt;&gt;"",K258&lt;&gt;$D$17,B258&gt;$D$16),F258*Resumo!$F$12,0))</f>
        <v>39.590924993683963</v>
      </c>
      <c r="H258" s="42">
        <f>IF(AND(B258&lt;&gt;"",K258&lt;&gt;$D$17,$D$16&gt;3,$B258&lt;=$D$16),$D$15*Resumo!$F$13,IF(AND(B258&lt;&gt;"",K258&lt;&gt;$D$17,B258&gt;$D$16),$D$15*Resumo!$F$13,0))</f>
        <v>34.369999999999997</v>
      </c>
      <c r="I258" s="42">
        <f>IF(AND(B258&lt;&gt;"",K258&lt;&gt;$D$17,$D$16&gt;3,$B258&lt;=$D$16),Resumo!$F$11,IF(AND(B258&lt;&gt;"",K258&lt;&gt;$D$17,B258&gt;$D$16),Resumo!$F$11,0))</f>
        <v>25</v>
      </c>
      <c r="J258" s="42">
        <f t="shared" ca="1" si="44"/>
        <v>2354.2463783804305</v>
      </c>
      <c r="K258" s="39" t="str">
        <f>IF(B258&lt;&gt;"",VLOOKUP(MONTH(C258),Sheet2!$F$1:$G$12,2,0),"")</f>
        <v>Março</v>
      </c>
      <c r="L258" s="200">
        <f t="shared" ca="1" si="45"/>
        <v>0</v>
      </c>
      <c r="M258" s="40">
        <f t="shared" ca="1" si="36"/>
        <v>2255.2854533867467</v>
      </c>
      <c r="N258" s="40">
        <f t="shared" ca="1" si="37"/>
        <v>2354.2463783804305</v>
      </c>
      <c r="O258" s="40"/>
      <c r="P258" s="20">
        <f t="shared" ca="1" si="38"/>
        <v>834.89136490250701</v>
      </c>
      <c r="Q258" s="1">
        <f t="shared" si="39"/>
        <v>7193</v>
      </c>
      <c r="R258" s="171">
        <f>IF(AND($J$2&gt;=DATEVALUE("03/04/2020"),$J$2&lt;=DATEVALUE("25/11/2020")),0,IF(Resumo!$C$19="PF",IF(Q258&lt;360,0.0082%*Q258,3%),IF(Q258&lt;360,0.0041%*Q258,1.5%)))</f>
        <v>1.4999999999999999E-2</v>
      </c>
      <c r="S258" s="172">
        <f t="shared" ca="1" si="40"/>
        <v>12.523370473537605</v>
      </c>
      <c r="W258" s="216">
        <f t="shared" ca="1" si="46"/>
        <v>2255.2854533867467</v>
      </c>
    </row>
    <row r="259" spans="2:23">
      <c r="B259" s="37">
        <f t="shared" si="41"/>
        <v>237</v>
      </c>
      <c r="C259" s="163">
        <f t="shared" si="42"/>
        <v>51971</v>
      </c>
      <c r="D259" s="38">
        <f t="shared" ca="1" si="43"/>
        <v>973.29359644840906</v>
      </c>
      <c r="E259" s="38">
        <f t="shared" ca="1" si="47"/>
        <v>1281.9918569383376</v>
      </c>
      <c r="F259" s="38">
        <f ca="1">IF(B259&lt;=$D$16,F258*(1+$D$13)^((C259-C258)/_xlfn.DAYS(EDATE(C258,1),C258)),F258-D259)+IF(B259&lt;=$D$16,F258*Resumo!$F$12,0)+IF(B259&lt;=$D$16,$D$15*Resumo!$F$13,0)+IF(B259&lt;=$D$16,25,0)-IF(AND($D$16&gt;3,B259&lt;=$D$16),J259,0)</f>
        <v>187554.92065918949</v>
      </c>
      <c r="G259" s="38">
        <f ca="1">IF(AND(B259&lt;&gt;"",K259&lt;&gt;$D$17,$D$16&gt;3),F259*Resumo!$F$12,IF(AND(B259&lt;&gt;"",K259&lt;&gt;$D$17,B259&gt;$D$16),F259*Resumo!$F$12,0))</f>
        <v>39.386533338429793</v>
      </c>
      <c r="H259" s="38">
        <f>IF(AND(B259&lt;&gt;"",K259&lt;&gt;$D$17,$D$16&gt;3,$B259&lt;=$D$16),$D$15*Resumo!$F$13,IF(AND(B259&lt;&gt;"",K259&lt;&gt;$D$17,B259&gt;$D$16),$D$15*Resumo!$F$13,0))</f>
        <v>34.369999999999997</v>
      </c>
      <c r="I259" s="38">
        <f>IF(AND(B259&lt;&gt;"",K259&lt;&gt;$D$17,$D$16&gt;3,$B259&lt;=$D$16),Resumo!$F$11,IF(AND(B259&lt;&gt;"",K259&lt;&gt;$D$17,B259&gt;$D$16),Resumo!$F$11,0))</f>
        <v>25</v>
      </c>
      <c r="J259" s="38">
        <f t="shared" ca="1" si="44"/>
        <v>2354.0419867251762</v>
      </c>
      <c r="K259" s="39" t="str">
        <f>IF(B259&lt;&gt;"",VLOOKUP(MONTH(C259),Sheet2!$F$1:$G$12,2,0),"")</f>
        <v>Abril</v>
      </c>
      <c r="L259" s="200">
        <f t="shared" ca="1" si="45"/>
        <v>0</v>
      </c>
      <c r="M259" s="40">
        <f t="shared" ca="1" si="36"/>
        <v>2255.2854533867467</v>
      </c>
      <c r="N259" s="40">
        <f t="shared" ca="1" si="37"/>
        <v>2354.0419867251762</v>
      </c>
      <c r="O259" s="40"/>
      <c r="P259" s="20">
        <f t="shared" ca="1" si="38"/>
        <v>834.89136490250701</v>
      </c>
      <c r="Q259" s="1">
        <f t="shared" si="39"/>
        <v>7224</v>
      </c>
      <c r="R259" s="171">
        <f>IF(AND($J$2&gt;=DATEVALUE("03/04/2020"),$J$2&lt;=DATEVALUE("25/11/2020")),0,IF(Resumo!$C$19="PF",IF(Q259&lt;360,0.0082%*Q259,3%),IF(Q259&lt;360,0.0041%*Q259,1.5%)))</f>
        <v>1.4999999999999999E-2</v>
      </c>
      <c r="S259" s="172">
        <f t="shared" ca="1" si="40"/>
        <v>12.523370473537605</v>
      </c>
      <c r="W259" s="216">
        <f t="shared" ca="1" si="46"/>
        <v>2255.2854533867467</v>
      </c>
    </row>
    <row r="260" spans="2:23">
      <c r="B260" s="41">
        <f t="shared" si="41"/>
        <v>238</v>
      </c>
      <c r="C260" s="164">
        <f t="shared" si="42"/>
        <v>52001</v>
      </c>
      <c r="D260" s="42">
        <f t="shared" ca="1" si="43"/>
        <v>979.91199290425811</v>
      </c>
      <c r="E260" s="42">
        <f t="shared" ca="1" si="47"/>
        <v>1275.3734604824886</v>
      </c>
      <c r="F260" s="42">
        <f ca="1">IF(B260&lt;=$D$16,F259*(1+$D$13)^((C260-C259)/_xlfn.DAYS(EDATE(C259,1),C259)),F259-D260)+IF(B260&lt;=$D$16,F259*Resumo!$F$12,0)+IF(B260&lt;=$D$16,$D$15*Resumo!$F$13,0)+IF(B260&lt;=$D$16,25,0)-IF(AND($D$16&gt;3,B260&lt;=$D$16),J260,0)</f>
        <v>186575.00866628523</v>
      </c>
      <c r="G260" s="42">
        <f ca="1">IF(AND(B260&lt;&gt;"",K260&lt;&gt;$D$17,$D$16&gt;3),F260*Resumo!$F$12,IF(AND(B260&lt;&gt;"",K260&lt;&gt;$D$17,B260&gt;$D$16),F260*Resumo!$F$12,0))</f>
        <v>39.180751819919898</v>
      </c>
      <c r="H260" s="42">
        <f>IF(AND(B260&lt;&gt;"",K260&lt;&gt;$D$17,$D$16&gt;3,$B260&lt;=$D$16),$D$15*Resumo!$F$13,IF(AND(B260&lt;&gt;"",K260&lt;&gt;$D$17,B260&gt;$D$16),$D$15*Resumo!$F$13,0))</f>
        <v>34.369999999999997</v>
      </c>
      <c r="I260" s="42">
        <f>IF(AND(B260&lt;&gt;"",K260&lt;&gt;$D$17,$D$16&gt;3,$B260&lt;=$D$16),Resumo!$F$11,IF(AND(B260&lt;&gt;"",K260&lt;&gt;$D$17,B260&gt;$D$16),Resumo!$F$11,0))</f>
        <v>25</v>
      </c>
      <c r="J260" s="42">
        <f t="shared" ca="1" si="44"/>
        <v>2353.8362052066664</v>
      </c>
      <c r="K260" s="39" t="str">
        <f>IF(B260&lt;&gt;"",VLOOKUP(MONTH(C260),Sheet2!$F$1:$G$12,2,0),"")</f>
        <v>Maio</v>
      </c>
      <c r="L260" s="200">
        <f t="shared" ca="1" si="45"/>
        <v>0</v>
      </c>
      <c r="M260" s="40">
        <f t="shared" ca="1" si="36"/>
        <v>2255.2854533867467</v>
      </c>
      <c r="N260" s="40">
        <f t="shared" ca="1" si="37"/>
        <v>2353.8362052066664</v>
      </c>
      <c r="O260" s="40"/>
      <c r="P260" s="20">
        <f t="shared" ca="1" si="38"/>
        <v>834.89136490250701</v>
      </c>
      <c r="Q260" s="1">
        <f t="shared" si="39"/>
        <v>7254</v>
      </c>
      <c r="R260" s="171">
        <f>IF(AND($J$2&gt;=DATEVALUE("03/04/2020"),$J$2&lt;=DATEVALUE("25/11/2020")),0,IF(Resumo!$C$19="PF",IF(Q260&lt;360,0.0082%*Q260,3%),IF(Q260&lt;360,0.0041%*Q260,1.5%)))</f>
        <v>1.4999999999999999E-2</v>
      </c>
      <c r="S260" s="172">
        <f t="shared" ca="1" si="40"/>
        <v>12.523370473537605</v>
      </c>
      <c r="W260" s="216">
        <f t="shared" ca="1" si="46"/>
        <v>2255.2854533867467</v>
      </c>
    </row>
    <row r="261" spans="2:23">
      <c r="B261" s="37">
        <f t="shared" si="41"/>
        <v>239</v>
      </c>
      <c r="C261" s="163">
        <f t="shared" si="42"/>
        <v>52032</v>
      </c>
      <c r="D261" s="38">
        <f t="shared" ca="1" si="43"/>
        <v>986.57539445600719</v>
      </c>
      <c r="E261" s="38">
        <f t="shared" ca="1" si="47"/>
        <v>1268.7100589307395</v>
      </c>
      <c r="F261" s="38">
        <f ca="1">IF(B261&lt;=$D$16,F260*(1+$D$13)^((C261-C260)/_xlfn.DAYS(EDATE(C260,1),C260)),F260-D261)+IF(B261&lt;=$D$16,F260*Resumo!$F$12,0)+IF(B261&lt;=$D$16,$D$15*Resumo!$F$13,0)+IF(B261&lt;=$D$16,25,0)-IF(AND($D$16&gt;3,B261&lt;=$D$16),J261,0)</f>
        <v>185588.43327182921</v>
      </c>
      <c r="G261" s="38">
        <f ca="1">IF(AND(B261&lt;&gt;"",K261&lt;&gt;$D$17,$D$16&gt;3),F261*Resumo!$F$12,IF(AND(B261&lt;&gt;"",K261&lt;&gt;$D$17,B261&gt;$D$16),F261*Resumo!$F$12,0))</f>
        <v>38.973570987084138</v>
      </c>
      <c r="H261" s="38">
        <f>IF(AND(B261&lt;&gt;"",K261&lt;&gt;$D$17,$D$16&gt;3,$B261&lt;=$D$16),$D$15*Resumo!$F$13,IF(AND(B261&lt;&gt;"",K261&lt;&gt;$D$17,B261&gt;$D$16),$D$15*Resumo!$F$13,0))</f>
        <v>34.369999999999997</v>
      </c>
      <c r="I261" s="38">
        <f>IF(AND(B261&lt;&gt;"",K261&lt;&gt;$D$17,$D$16&gt;3,$B261&lt;=$D$16),Resumo!$F$11,IF(AND(B261&lt;&gt;"",K261&lt;&gt;$D$17,B261&gt;$D$16),Resumo!$F$11,0))</f>
        <v>25</v>
      </c>
      <c r="J261" s="38">
        <f t="shared" ca="1" si="44"/>
        <v>2353.6290243738308</v>
      </c>
      <c r="K261" s="39" t="str">
        <f>IF(B261&lt;&gt;"",VLOOKUP(MONTH(C261),Sheet2!$F$1:$G$12,2,0),"")</f>
        <v>Junho</v>
      </c>
      <c r="L261" s="200">
        <f t="shared" ca="1" si="45"/>
        <v>0</v>
      </c>
      <c r="M261" s="40">
        <f t="shared" ca="1" si="36"/>
        <v>2255.2854533867467</v>
      </c>
      <c r="N261" s="40">
        <f t="shared" ca="1" si="37"/>
        <v>2353.6290243738308</v>
      </c>
      <c r="O261" s="40"/>
      <c r="P261" s="20">
        <f t="shared" ca="1" si="38"/>
        <v>834.89136490250701</v>
      </c>
      <c r="Q261" s="1">
        <f t="shared" si="39"/>
        <v>7285</v>
      </c>
      <c r="R261" s="171">
        <f>IF(AND($J$2&gt;=DATEVALUE("03/04/2020"),$J$2&lt;=DATEVALUE("25/11/2020")),0,IF(Resumo!$C$19="PF",IF(Q261&lt;360,0.0082%*Q261,3%),IF(Q261&lt;360,0.0041%*Q261,1.5%)))</f>
        <v>1.4999999999999999E-2</v>
      </c>
      <c r="S261" s="172">
        <f t="shared" ca="1" si="40"/>
        <v>12.523370473537605</v>
      </c>
      <c r="W261" s="216">
        <f t="shared" ca="1" si="46"/>
        <v>2255.2854533867467</v>
      </c>
    </row>
    <row r="262" spans="2:23">
      <c r="B262" s="41">
        <f t="shared" si="41"/>
        <v>240</v>
      </c>
      <c r="C262" s="164">
        <f t="shared" si="42"/>
        <v>52062</v>
      </c>
      <c r="D262" s="42">
        <f t="shared" ca="1" si="43"/>
        <v>993.28410713830817</v>
      </c>
      <c r="E262" s="42">
        <f t="shared" ca="1" si="47"/>
        <v>1262.0013462484385</v>
      </c>
      <c r="F262" s="42">
        <f ca="1">IF(B262&lt;=$D$16,F261*(1+$D$13)^((C262-C261)/_xlfn.DAYS(EDATE(C261,1),C261)),F261-D262)+IF(B262&lt;=$D$16,F261*Resumo!$F$12,0)+IF(B262&lt;=$D$16,$D$15*Resumo!$F$13,0)+IF(B262&lt;=$D$16,25,0)-IF(AND($D$16&gt;3,B262&lt;=$D$16),J262,0)</f>
        <v>184595.1491646909</v>
      </c>
      <c r="G262" s="42">
        <f ca="1">IF(AND(B262&lt;&gt;"",K262&lt;&gt;$D$17,$D$16&gt;3),F262*Resumo!$F$12,IF(AND(B262&lt;&gt;"",K262&lt;&gt;$D$17,B262&gt;$D$16),F262*Resumo!$F$12,0))</f>
        <v>38.764981324585094</v>
      </c>
      <c r="H262" s="42">
        <f>IF(AND(B262&lt;&gt;"",K262&lt;&gt;$D$17,$D$16&gt;3,$B262&lt;=$D$16),$D$15*Resumo!$F$13,IF(AND(B262&lt;&gt;"",K262&lt;&gt;$D$17,B262&gt;$D$16),$D$15*Resumo!$F$13,0))</f>
        <v>34.369999999999997</v>
      </c>
      <c r="I262" s="42">
        <f>IF(AND(B262&lt;&gt;"",K262&lt;&gt;$D$17,$D$16&gt;3,$B262&lt;=$D$16),Resumo!$F$11,IF(AND(B262&lt;&gt;"",K262&lt;&gt;$D$17,B262&gt;$D$16),Resumo!$F$11,0))</f>
        <v>25</v>
      </c>
      <c r="J262" s="42">
        <f t="shared" ca="1" si="44"/>
        <v>2353.4204347113318</v>
      </c>
      <c r="K262" s="39" t="str">
        <f>IF(B262&lt;&gt;"",VLOOKUP(MONTH(C262),Sheet2!$F$1:$G$12,2,0),"")</f>
        <v>Julho</v>
      </c>
      <c r="L262" s="200">
        <f t="shared" ca="1" si="45"/>
        <v>0</v>
      </c>
      <c r="M262" s="40">
        <f t="shared" ca="1" si="36"/>
        <v>2255.2854533867467</v>
      </c>
      <c r="N262" s="40">
        <f t="shared" ca="1" si="37"/>
        <v>2353.4204347113318</v>
      </c>
      <c r="O262" s="40"/>
      <c r="P262" s="20">
        <f t="shared" ca="1" si="38"/>
        <v>834.89136490250701</v>
      </c>
      <c r="Q262" s="1">
        <f t="shared" si="39"/>
        <v>7315</v>
      </c>
      <c r="R262" s="171">
        <f>IF(AND($J$2&gt;=DATEVALUE("03/04/2020"),$J$2&lt;=DATEVALUE("25/11/2020")),0,IF(Resumo!$C$19="PF",IF(Q262&lt;360,0.0082%*Q262,3%),IF(Q262&lt;360,0.0041%*Q262,1.5%)))</f>
        <v>1.4999999999999999E-2</v>
      </c>
      <c r="S262" s="172">
        <f t="shared" ca="1" si="40"/>
        <v>12.523370473537605</v>
      </c>
      <c r="W262" s="216">
        <f t="shared" ca="1" si="46"/>
        <v>2255.2854533867467</v>
      </c>
    </row>
    <row r="263" spans="2:23">
      <c r="B263" s="37">
        <f t="shared" si="41"/>
        <v>241</v>
      </c>
      <c r="C263" s="163">
        <f t="shared" si="42"/>
        <v>52093</v>
      </c>
      <c r="D263" s="38">
        <f ca="1">IF(AND(J263&lt;&gt;"",B263&gt;$D$16),$U$20-E263,0)</f>
        <v>1000.0384390668487</v>
      </c>
      <c r="E263" s="38">
        <f t="shared" ca="1" si="47"/>
        <v>1255.247014319898</v>
      </c>
      <c r="F263" s="38">
        <f ca="1">IF(B263&lt;=$D$16,F262*(1+$D$13)^((C263-C262)/_xlfn.DAYS(EDATE(C262,1),C262)),F262-D263)+IF(B263&lt;=$D$16,F262*Resumo!$F$12,0)+IF(B263&lt;=$D$16,$D$15*Resumo!$F$13,0)+IF(B263&lt;=$D$16,25,0)-IF(AND($D$16&gt;3,B263&lt;=$D$16),J263,0)</f>
        <v>183595.11072562405</v>
      </c>
      <c r="G263" s="38">
        <f ca="1">IF(AND(B263&lt;&gt;"",K263&lt;&gt;$D$17,$D$16&gt;3),F263*Resumo!$F$12,IF(AND(B263&lt;&gt;"",K263&lt;&gt;$D$17,B263&gt;$D$16),F263*Resumo!$F$12,0))</f>
        <v>38.554973252381053</v>
      </c>
      <c r="H263" s="38">
        <f>IF(AND(B263&lt;&gt;"",K263&lt;&gt;$D$17,$D$16&gt;3,$B263&lt;=$D$16),$D$15*Resumo!$F$13,IF(AND(B263&lt;&gt;"",K263&lt;&gt;$D$17,B263&gt;$D$16),$D$15*Resumo!$F$13,0))</f>
        <v>34.369999999999997</v>
      </c>
      <c r="I263" s="38">
        <f>IF(AND(B263&lt;&gt;"",K263&lt;&gt;$D$17,$D$16&gt;3,$B263&lt;=$D$16),Resumo!$F$11,IF(AND(B263&lt;&gt;"",K263&lt;&gt;$D$17,B263&gt;$D$16),Resumo!$F$11,0))</f>
        <v>25</v>
      </c>
      <c r="J263" s="38">
        <f t="shared" ca="1" si="44"/>
        <v>2353.2104266391275</v>
      </c>
      <c r="K263" s="39" t="str">
        <f>IF(B263&lt;&gt;"",VLOOKUP(MONTH(C263),Sheet2!$F$1:$G$12,2,0),"")</f>
        <v>Agosto</v>
      </c>
      <c r="L263" s="200">
        <f t="shared" ca="1" si="45"/>
        <v>0</v>
      </c>
      <c r="M263" s="40">
        <f t="shared" ca="1" si="36"/>
        <v>2255.2854533867467</v>
      </c>
      <c r="N263" s="40">
        <f t="shared" ca="1" si="37"/>
        <v>2353.2104266391275</v>
      </c>
      <c r="O263" s="40"/>
      <c r="P263" s="20">
        <f t="shared" ca="1" si="38"/>
        <v>834.89136490250701</v>
      </c>
      <c r="Q263" s="1">
        <f t="shared" si="39"/>
        <v>7346</v>
      </c>
      <c r="R263" s="171">
        <f>IF(AND($J$2&gt;=DATEVALUE("03/04/2020"),$J$2&lt;=DATEVALUE("25/11/2020")),0,IF(Resumo!$C$19="PF",IF(Q263&lt;360,0.0082%*Q263,3%),IF(Q263&lt;360,0.0041%*Q263,1.5%)))</f>
        <v>1.4999999999999999E-2</v>
      </c>
      <c r="S263" s="172">
        <f t="shared" ca="1" si="40"/>
        <v>12.523370473537605</v>
      </c>
      <c r="W263" s="216">
        <f t="shared" ca="1" si="46"/>
        <v>2255.2854533867467</v>
      </c>
    </row>
    <row r="264" spans="2:23">
      <c r="B264" s="41">
        <f t="shared" si="41"/>
        <v>242</v>
      </c>
      <c r="C264" s="164">
        <f t="shared" si="42"/>
        <v>52124</v>
      </c>
      <c r="D264" s="42">
        <f t="shared" ref="D264:D327" ca="1" si="48">IF(AND(J264&lt;&gt;"",B264&gt;$D$16),$U$20-E264,0)</f>
        <v>1006.8387004525032</v>
      </c>
      <c r="E264" s="42">
        <f t="shared" ca="1" si="47"/>
        <v>1248.4467529342435</v>
      </c>
      <c r="F264" s="42">
        <f ca="1">IF(B264&lt;=$D$16,F263*(1+$D$13)^((C264-C263)/_xlfn.DAYS(EDATE(C263,1),C263)),F263-D264)+IF(B264&lt;=$D$16,F263*Resumo!$F$12,0)+IF(B264&lt;=$D$16,$D$15*Resumo!$F$13,0)+IF(B264&lt;=$D$16,25,0)-IF(AND($D$16&gt;3,B264&lt;=$D$16),J264,0)</f>
        <v>182588.27202517155</v>
      </c>
      <c r="G264" s="42">
        <f ca="1">IF(AND(B264&lt;&gt;"",K264&lt;&gt;$D$17,$D$16&gt;3),F264*Resumo!$F$12,IF(AND(B264&lt;&gt;"",K264&lt;&gt;$D$17,B264&gt;$D$16),F264*Resumo!$F$12,0))</f>
        <v>38.343537125286026</v>
      </c>
      <c r="H264" s="42">
        <f>IF(AND(B264&lt;&gt;"",K264&lt;&gt;$D$17,$D$16&gt;3,$B264&lt;=$D$16),$D$15*Resumo!$F$13,IF(AND(B264&lt;&gt;"",K264&lt;&gt;$D$17,B264&gt;$D$16),$D$15*Resumo!$F$13,0))</f>
        <v>34.369999999999997</v>
      </c>
      <c r="I264" s="42">
        <f>IF(AND(B264&lt;&gt;"",K264&lt;&gt;$D$17,$D$16&gt;3,$B264&lt;=$D$16),Resumo!$F$11,IF(AND(B264&lt;&gt;"",K264&lt;&gt;$D$17,B264&gt;$D$16),Resumo!$F$11,0))</f>
        <v>25</v>
      </c>
      <c r="J264" s="42">
        <f t="shared" ca="1" si="44"/>
        <v>2352.9989905120324</v>
      </c>
      <c r="K264" s="39" t="str">
        <f>IF(B264&lt;&gt;"",VLOOKUP(MONTH(C264),Sheet2!$F$1:$G$12,2,0),"")</f>
        <v>Setembro</v>
      </c>
      <c r="L264" s="200">
        <f t="shared" ca="1" si="45"/>
        <v>0</v>
      </c>
      <c r="M264" s="40">
        <f t="shared" ca="1" si="36"/>
        <v>2255.2854533867467</v>
      </c>
      <c r="N264" s="40">
        <f t="shared" ca="1" si="37"/>
        <v>2352.9989905120324</v>
      </c>
      <c r="O264" s="40"/>
      <c r="P264" s="20">
        <f t="shared" ca="1" si="38"/>
        <v>834.89136490250701</v>
      </c>
      <c r="Q264" s="1">
        <f t="shared" si="39"/>
        <v>7377</v>
      </c>
      <c r="R264" s="171">
        <f>IF(AND($J$2&gt;=DATEVALUE("03/04/2020"),$J$2&lt;=DATEVALUE("25/11/2020")),0,IF(Resumo!$C$19="PF",IF(Q264&lt;360,0.0082%*Q264,3%),IF(Q264&lt;360,0.0041%*Q264,1.5%)))</f>
        <v>1.4999999999999999E-2</v>
      </c>
      <c r="S264" s="172">
        <f t="shared" ca="1" si="40"/>
        <v>12.523370473537605</v>
      </c>
      <c r="W264" s="216">
        <f t="shared" ca="1" si="46"/>
        <v>2255.2854533867467</v>
      </c>
    </row>
    <row r="265" spans="2:23">
      <c r="B265" s="37">
        <f t="shared" si="41"/>
        <v>243</v>
      </c>
      <c r="C265" s="163">
        <f t="shared" si="42"/>
        <v>52154</v>
      </c>
      <c r="D265" s="38">
        <f t="shared" ca="1" si="48"/>
        <v>1013.6852036155801</v>
      </c>
      <c r="E265" s="38">
        <f t="shared" ca="1" si="47"/>
        <v>1241.6002497711665</v>
      </c>
      <c r="F265" s="38">
        <f ca="1">IF(B265&lt;=$D$16,F264*(1+$D$13)^((C265-C264)/_xlfn.DAYS(EDATE(C264,1),C264)),F264-D265)+IF(B265&lt;=$D$16,F264*Resumo!$F$12,0)+IF(B265&lt;=$D$16,$D$15*Resumo!$F$13,0)+IF(B265&lt;=$D$16,25,0)-IF(AND($D$16&gt;3,B265&lt;=$D$16),J265,0)</f>
        <v>181574.58682155597</v>
      </c>
      <c r="G265" s="38">
        <f ca="1">IF(AND(B265&lt;&gt;"",K265&lt;&gt;$D$17,$D$16&gt;3),F265*Resumo!$F$12,IF(AND(B265&lt;&gt;"",K265&lt;&gt;$D$17,B265&gt;$D$16),F265*Resumo!$F$12,0))</f>
        <v>38.130663232526757</v>
      </c>
      <c r="H265" s="38">
        <f>IF(AND(B265&lt;&gt;"",K265&lt;&gt;$D$17,$D$16&gt;3,$B265&lt;=$D$16),$D$15*Resumo!$F$13,IF(AND(B265&lt;&gt;"",K265&lt;&gt;$D$17,B265&gt;$D$16),$D$15*Resumo!$F$13,0))</f>
        <v>34.369999999999997</v>
      </c>
      <c r="I265" s="38">
        <f>IF(AND(B265&lt;&gt;"",K265&lt;&gt;$D$17,$D$16&gt;3,$B265&lt;=$D$16),Resumo!$F$11,IF(AND(B265&lt;&gt;"",K265&lt;&gt;$D$17,B265&gt;$D$16),Resumo!$F$11,0))</f>
        <v>25</v>
      </c>
      <c r="J265" s="38">
        <f t="shared" ca="1" si="44"/>
        <v>2352.7861166192733</v>
      </c>
      <c r="K265" s="39" t="str">
        <f>IF(B265&lt;&gt;"",VLOOKUP(MONTH(C265),Sheet2!$F$1:$G$12,2,0),"")</f>
        <v>Outubro</v>
      </c>
      <c r="L265" s="200">
        <f t="shared" ca="1" si="45"/>
        <v>0</v>
      </c>
      <c r="M265" s="40">
        <f t="shared" ca="1" si="36"/>
        <v>2255.2854533867467</v>
      </c>
      <c r="N265" s="40">
        <f t="shared" ca="1" si="37"/>
        <v>2352.7861166192733</v>
      </c>
      <c r="O265" s="40"/>
      <c r="P265" s="20">
        <f t="shared" ca="1" si="38"/>
        <v>834.89136490250701</v>
      </c>
      <c r="Q265" s="1">
        <f t="shared" si="39"/>
        <v>7407</v>
      </c>
      <c r="R265" s="171">
        <f>IF(AND($J$2&gt;=DATEVALUE("03/04/2020"),$J$2&lt;=DATEVALUE("25/11/2020")),0,IF(Resumo!$C$19="PF",IF(Q265&lt;360,0.0082%*Q265,3%),IF(Q265&lt;360,0.0041%*Q265,1.5%)))</f>
        <v>1.4999999999999999E-2</v>
      </c>
      <c r="S265" s="172">
        <f t="shared" ca="1" si="40"/>
        <v>12.523370473537605</v>
      </c>
      <c r="W265" s="216">
        <f t="shared" ca="1" si="46"/>
        <v>2255.2854533867467</v>
      </c>
    </row>
    <row r="266" spans="2:23">
      <c r="B266" s="41">
        <f t="shared" si="41"/>
        <v>244</v>
      </c>
      <c r="C266" s="164">
        <f t="shared" si="42"/>
        <v>52185</v>
      </c>
      <c r="D266" s="42">
        <f t="shared" ca="1" si="48"/>
        <v>1020.5782630001661</v>
      </c>
      <c r="E266" s="42">
        <f t="shared" ca="1" si="47"/>
        <v>1234.7071903865806</v>
      </c>
      <c r="F266" s="42">
        <f ca="1">IF(B266&lt;=$D$16,F265*(1+$D$13)^((C266-C265)/_xlfn.DAYS(EDATE(C265,1),C265)),F265-D266)+IF(B266&lt;=$D$16,F265*Resumo!$F$12,0)+IF(B266&lt;=$D$16,$D$15*Resumo!$F$13,0)+IF(B266&lt;=$D$16,25,0)-IF(AND($D$16&gt;3,B266&lt;=$D$16),J266,0)</f>
        <v>180554.0085585558</v>
      </c>
      <c r="G266" s="42">
        <f ca="1">IF(AND(B266&lt;&gt;"",K266&lt;&gt;$D$17,$D$16&gt;3),F266*Resumo!$F$12,IF(AND(B266&lt;&gt;"",K266&lt;&gt;$D$17,B266&gt;$D$16),F266*Resumo!$F$12,0))</f>
        <v>37.916341797296717</v>
      </c>
      <c r="H266" s="42">
        <f>IF(AND(B266&lt;&gt;"",K266&lt;&gt;$D$17,$D$16&gt;3,$B266&lt;=$D$16),$D$15*Resumo!$F$13,IF(AND(B266&lt;&gt;"",K266&lt;&gt;$D$17,B266&gt;$D$16),$D$15*Resumo!$F$13,0))</f>
        <v>34.369999999999997</v>
      </c>
      <c r="I266" s="42">
        <f>IF(AND(B266&lt;&gt;"",K266&lt;&gt;$D$17,$D$16&gt;3,$B266&lt;=$D$16),Resumo!$F$11,IF(AND(B266&lt;&gt;"",K266&lt;&gt;$D$17,B266&gt;$D$16),Resumo!$F$11,0))</f>
        <v>25</v>
      </c>
      <c r="J266" s="42">
        <f t="shared" ca="1" si="44"/>
        <v>2352.5717951840434</v>
      </c>
      <c r="K266" s="39" t="str">
        <f>IF(B266&lt;&gt;"",VLOOKUP(MONTH(C266),Sheet2!$F$1:$G$12,2,0),"")</f>
        <v>Novembro</v>
      </c>
      <c r="L266" s="200">
        <f t="shared" ca="1" si="45"/>
        <v>0</v>
      </c>
      <c r="M266" s="40">
        <f t="shared" ca="1" si="36"/>
        <v>2255.2854533867467</v>
      </c>
      <c r="N266" s="40">
        <f t="shared" ca="1" si="37"/>
        <v>2352.5717951840434</v>
      </c>
      <c r="O266" s="40"/>
      <c r="P266" s="20">
        <f t="shared" ca="1" si="38"/>
        <v>834.89136490250701</v>
      </c>
      <c r="Q266" s="1">
        <f t="shared" si="39"/>
        <v>7438</v>
      </c>
      <c r="R266" s="171">
        <f>IF(AND($J$2&gt;=DATEVALUE("03/04/2020"),$J$2&lt;=DATEVALUE("25/11/2020")),0,IF(Resumo!$C$19="PF",IF(Q266&lt;360,0.0082%*Q266,3%),IF(Q266&lt;360,0.0041%*Q266,1.5%)))</f>
        <v>1.4999999999999999E-2</v>
      </c>
      <c r="S266" s="172">
        <f t="shared" ca="1" si="40"/>
        <v>12.523370473537605</v>
      </c>
      <c r="W266" s="216">
        <f t="shared" ca="1" si="46"/>
        <v>2255.2854533867467</v>
      </c>
    </row>
    <row r="267" spans="2:23">
      <c r="B267" s="37">
        <f t="shared" si="41"/>
        <v>245</v>
      </c>
      <c r="C267" s="163">
        <f t="shared" si="42"/>
        <v>52215</v>
      </c>
      <c r="D267" s="38">
        <f t="shared" ca="1" si="48"/>
        <v>1027.5181951885672</v>
      </c>
      <c r="E267" s="38">
        <f t="shared" ca="1" si="47"/>
        <v>1227.7672581981794</v>
      </c>
      <c r="F267" s="38">
        <f ca="1">IF(B267&lt;=$D$16,F266*(1+$D$13)^((C267-C266)/_xlfn.DAYS(EDATE(C266,1),C266)),F266-D267)+IF(B267&lt;=$D$16,F266*Resumo!$F$12,0)+IF(B267&lt;=$D$16,$D$15*Resumo!$F$13,0)+IF(B267&lt;=$D$16,25,0)-IF(AND($D$16&gt;3,B267&lt;=$D$16),J267,0)</f>
        <v>179526.49036336722</v>
      </c>
      <c r="G267" s="38">
        <f ca="1">IF(AND(B267&lt;&gt;"",K267&lt;&gt;$D$17,$D$16&gt;3),F267*Resumo!$F$12,IF(AND(B267&lt;&gt;"",K267&lt;&gt;$D$17,B267&gt;$D$16),F267*Resumo!$F$12,0))</f>
        <v>37.700562976307118</v>
      </c>
      <c r="H267" s="38">
        <f>IF(AND(B267&lt;&gt;"",K267&lt;&gt;$D$17,$D$16&gt;3,$B267&lt;=$D$16),$D$15*Resumo!$F$13,IF(AND(B267&lt;&gt;"",K267&lt;&gt;$D$17,B267&gt;$D$16),$D$15*Resumo!$F$13,0))</f>
        <v>34.369999999999997</v>
      </c>
      <c r="I267" s="38">
        <f>IF(AND(B267&lt;&gt;"",K267&lt;&gt;$D$17,$D$16&gt;3,$B267&lt;=$D$16),Resumo!$F$11,IF(AND(B267&lt;&gt;"",K267&lt;&gt;$D$17,B267&gt;$D$16),Resumo!$F$11,0))</f>
        <v>25</v>
      </c>
      <c r="J267" s="38">
        <f t="shared" ca="1" si="44"/>
        <v>2352.3560163630536</v>
      </c>
      <c r="K267" s="39" t="str">
        <f>IF(B267&lt;&gt;"",VLOOKUP(MONTH(C267),Sheet2!$F$1:$G$12,2,0),"")</f>
        <v>Dezembro</v>
      </c>
      <c r="L267" s="200">
        <f t="shared" ca="1" si="45"/>
        <v>0</v>
      </c>
      <c r="M267" s="40">
        <f t="shared" ca="1" si="36"/>
        <v>2255.2854533867467</v>
      </c>
      <c r="N267" s="40">
        <f t="shared" ca="1" si="37"/>
        <v>2352.3560163630536</v>
      </c>
      <c r="O267" s="40"/>
      <c r="P267" s="20">
        <f t="shared" ca="1" si="38"/>
        <v>834.89136490250701</v>
      </c>
      <c r="Q267" s="1">
        <f t="shared" si="39"/>
        <v>7468</v>
      </c>
      <c r="R267" s="171">
        <f>IF(AND($J$2&gt;=DATEVALUE("03/04/2020"),$J$2&lt;=DATEVALUE("25/11/2020")),0,IF(Resumo!$C$19="PF",IF(Q267&lt;360,0.0082%*Q267,3%),IF(Q267&lt;360,0.0041%*Q267,1.5%)))</f>
        <v>1.4999999999999999E-2</v>
      </c>
      <c r="S267" s="172">
        <f t="shared" ca="1" si="40"/>
        <v>12.523370473537605</v>
      </c>
      <c r="W267" s="216">
        <f t="shared" ca="1" si="46"/>
        <v>2255.2854533867467</v>
      </c>
    </row>
    <row r="268" spans="2:23">
      <c r="B268" s="41">
        <f t="shared" si="41"/>
        <v>246</v>
      </c>
      <c r="C268" s="164">
        <f t="shared" si="42"/>
        <v>52246</v>
      </c>
      <c r="D268" s="42">
        <f t="shared" ca="1" si="48"/>
        <v>1034.5053189158496</v>
      </c>
      <c r="E268" s="42">
        <f t="shared" ca="1" si="47"/>
        <v>1220.7801344708971</v>
      </c>
      <c r="F268" s="42">
        <f ca="1">IF(B268&lt;=$D$16,F267*(1+$D$13)^((C268-C267)/_xlfn.DAYS(EDATE(C267,1),C267)),F267-D268)+IF(B268&lt;=$D$16,F267*Resumo!$F$12,0)+IF(B268&lt;=$D$16,$D$15*Resumo!$F$13,0)+IF(B268&lt;=$D$16,25,0)-IF(AND($D$16&gt;3,B268&lt;=$D$16),J268,0)</f>
        <v>178491.98504445137</v>
      </c>
      <c r="G268" s="42">
        <f ca="1">IF(AND(B268&lt;&gt;"",K268&lt;&gt;$D$17,$D$16&gt;3),F268*Resumo!$F$12,IF(AND(B268&lt;&gt;"",K268&lt;&gt;$D$17,B268&gt;$D$16),F268*Resumo!$F$12,0))</f>
        <v>37.483316859334792</v>
      </c>
      <c r="H268" s="42">
        <f>IF(AND(B268&lt;&gt;"",K268&lt;&gt;$D$17,$D$16&gt;3,$B268&lt;=$D$16),$D$15*Resumo!$F$13,IF(AND(B268&lt;&gt;"",K268&lt;&gt;$D$17,B268&gt;$D$16),$D$15*Resumo!$F$13,0))</f>
        <v>34.369999999999997</v>
      </c>
      <c r="I268" s="42">
        <f>IF(AND(B268&lt;&gt;"",K268&lt;&gt;$D$17,$D$16&gt;3,$B268&lt;=$D$16),Resumo!$F$11,IF(AND(B268&lt;&gt;"",K268&lt;&gt;$D$17,B268&gt;$D$16),Resumo!$F$11,0))</f>
        <v>25</v>
      </c>
      <c r="J268" s="42">
        <f t="shared" ca="1" si="44"/>
        <v>2352.1387702460815</v>
      </c>
      <c r="K268" s="39" t="str">
        <f>IF(B268&lt;&gt;"",VLOOKUP(MONTH(C268),Sheet2!$F$1:$G$12,2,0),"")</f>
        <v>Janeiro</v>
      </c>
      <c r="L268" s="200">
        <f t="shared" ca="1" si="45"/>
        <v>0</v>
      </c>
      <c r="M268" s="40">
        <f t="shared" ca="1" si="36"/>
        <v>2255.2854533867467</v>
      </c>
      <c r="N268" s="40">
        <f t="shared" ca="1" si="37"/>
        <v>2352.1387702460815</v>
      </c>
      <c r="O268" s="40"/>
      <c r="P268" s="20">
        <f t="shared" ca="1" si="38"/>
        <v>834.89136490250701</v>
      </c>
      <c r="Q268" s="1">
        <f t="shared" si="39"/>
        <v>7499</v>
      </c>
      <c r="R268" s="171">
        <f>IF(AND($J$2&gt;=DATEVALUE("03/04/2020"),$J$2&lt;=DATEVALUE("25/11/2020")),0,IF(Resumo!$C$19="PF",IF(Q268&lt;360,0.0082%*Q268,3%),IF(Q268&lt;360,0.0041%*Q268,1.5%)))</f>
        <v>1.4999999999999999E-2</v>
      </c>
      <c r="S268" s="172">
        <f t="shared" ca="1" si="40"/>
        <v>12.523370473537605</v>
      </c>
      <c r="W268" s="216">
        <f t="shared" ca="1" si="46"/>
        <v>2255.2854533867467</v>
      </c>
    </row>
    <row r="269" spans="2:23">
      <c r="B269" s="37">
        <f t="shared" si="41"/>
        <v>247</v>
      </c>
      <c r="C269" s="163">
        <f t="shared" si="42"/>
        <v>52277</v>
      </c>
      <c r="D269" s="38">
        <f t="shared" ca="1" si="48"/>
        <v>1041.5399550844775</v>
      </c>
      <c r="E269" s="38">
        <f t="shared" ca="1" si="47"/>
        <v>1213.7454983022692</v>
      </c>
      <c r="F269" s="38">
        <f ca="1">IF(B269&lt;=$D$16,F268*(1+$D$13)^((C269-C268)/_xlfn.DAYS(EDATE(C268,1),C268)),F268-D269)+IF(B269&lt;=$D$16,F268*Resumo!$F$12,0)+IF(B269&lt;=$D$16,$D$15*Resumo!$F$13,0)+IF(B269&lt;=$D$16,25,0)-IF(AND($D$16&gt;3,B269&lt;=$D$16),J269,0)</f>
        <v>177450.4450893669</v>
      </c>
      <c r="G269" s="38">
        <f ca="1">IF(AND(B269&lt;&gt;"",K269&lt;&gt;$D$17,$D$16&gt;3),F269*Resumo!$F$12,IF(AND(B269&lt;&gt;"",K269&lt;&gt;$D$17,B269&gt;$D$16),F269*Resumo!$F$12,0))</f>
        <v>37.264593468767053</v>
      </c>
      <c r="H269" s="38">
        <f>IF(AND(B269&lt;&gt;"",K269&lt;&gt;$D$17,$D$16&gt;3,$B269&lt;=$D$16),$D$15*Resumo!$F$13,IF(AND(B269&lt;&gt;"",K269&lt;&gt;$D$17,B269&gt;$D$16),$D$15*Resumo!$F$13,0))</f>
        <v>34.369999999999997</v>
      </c>
      <c r="I269" s="38">
        <f>IF(AND(B269&lt;&gt;"",K269&lt;&gt;$D$17,$D$16&gt;3,$B269&lt;=$D$16),Resumo!$F$11,IF(AND(B269&lt;&gt;"",K269&lt;&gt;$D$17,B269&gt;$D$16),Resumo!$F$11,0))</f>
        <v>25</v>
      </c>
      <c r="J269" s="38">
        <f t="shared" ca="1" si="44"/>
        <v>2351.9200468555136</v>
      </c>
      <c r="K269" s="39" t="str">
        <f>IF(B269&lt;&gt;"",VLOOKUP(MONTH(C269),Sheet2!$F$1:$G$12,2,0),"")</f>
        <v>Fevereiro</v>
      </c>
      <c r="L269" s="200">
        <f t="shared" ca="1" si="45"/>
        <v>0</v>
      </c>
      <c r="M269" s="40">
        <f t="shared" ca="1" si="36"/>
        <v>2255.2854533867467</v>
      </c>
      <c r="N269" s="40">
        <f t="shared" ca="1" si="37"/>
        <v>2351.9200468555136</v>
      </c>
      <c r="O269" s="40"/>
      <c r="P269" s="20">
        <f t="shared" ca="1" si="38"/>
        <v>834.89136490250701</v>
      </c>
      <c r="Q269" s="1">
        <f t="shared" si="39"/>
        <v>7530</v>
      </c>
      <c r="R269" s="171">
        <f>IF(AND($J$2&gt;=DATEVALUE("03/04/2020"),$J$2&lt;=DATEVALUE("25/11/2020")),0,IF(Resumo!$C$19="PF",IF(Q269&lt;360,0.0082%*Q269,3%),IF(Q269&lt;360,0.0041%*Q269,1.5%)))</f>
        <v>1.4999999999999999E-2</v>
      </c>
      <c r="S269" s="172">
        <f t="shared" ca="1" si="40"/>
        <v>12.523370473537605</v>
      </c>
      <c r="W269" s="216">
        <f t="shared" ca="1" si="46"/>
        <v>2255.2854533867467</v>
      </c>
    </row>
    <row r="270" spans="2:23">
      <c r="B270" s="41">
        <f t="shared" si="41"/>
        <v>248</v>
      </c>
      <c r="C270" s="164">
        <f t="shared" si="42"/>
        <v>52305</v>
      </c>
      <c r="D270" s="42">
        <f t="shared" ca="1" si="48"/>
        <v>1048.6224267790519</v>
      </c>
      <c r="E270" s="42">
        <f t="shared" ca="1" si="47"/>
        <v>1206.6630266076947</v>
      </c>
      <c r="F270" s="42">
        <f ca="1">IF(B270&lt;=$D$16,F269*(1+$D$13)^((C270-C269)/_xlfn.DAYS(EDATE(C269,1),C269)),F269-D270)+IF(B270&lt;=$D$16,F269*Resumo!$F$12,0)+IF(B270&lt;=$D$16,$D$15*Resumo!$F$13,0)+IF(B270&lt;=$D$16,25,0)-IF(AND($D$16&gt;3,B270&lt;=$D$16),J270,0)</f>
        <v>176401.82266258786</v>
      </c>
      <c r="G270" s="42">
        <f ca="1">IF(AND(B270&lt;&gt;"",K270&lt;&gt;$D$17,$D$16&gt;3),F270*Resumo!$F$12,IF(AND(B270&lt;&gt;"",K270&lt;&gt;$D$17,B270&gt;$D$16),F270*Resumo!$F$12,0))</f>
        <v>37.044382759143453</v>
      </c>
      <c r="H270" s="42">
        <f>IF(AND(B270&lt;&gt;"",K270&lt;&gt;$D$17,$D$16&gt;3,$B270&lt;=$D$16),$D$15*Resumo!$F$13,IF(AND(B270&lt;&gt;"",K270&lt;&gt;$D$17,B270&gt;$D$16),$D$15*Resumo!$F$13,0))</f>
        <v>34.369999999999997</v>
      </c>
      <c r="I270" s="42">
        <f>IF(AND(B270&lt;&gt;"",K270&lt;&gt;$D$17,$D$16&gt;3,$B270&lt;=$D$16),Resumo!$F$11,IF(AND(B270&lt;&gt;"",K270&lt;&gt;$D$17,B270&gt;$D$16),Resumo!$F$11,0))</f>
        <v>25</v>
      </c>
      <c r="J270" s="42">
        <f t="shared" ca="1" si="44"/>
        <v>2351.69983614589</v>
      </c>
      <c r="K270" s="39" t="str">
        <f>IF(B270&lt;&gt;"",VLOOKUP(MONTH(C270),Sheet2!$F$1:$G$12,2,0),"")</f>
        <v>Março</v>
      </c>
      <c r="L270" s="200">
        <f t="shared" ca="1" si="45"/>
        <v>0</v>
      </c>
      <c r="M270" s="40">
        <f t="shared" ca="1" si="36"/>
        <v>2255.2854533867467</v>
      </c>
      <c r="N270" s="40">
        <f t="shared" ca="1" si="37"/>
        <v>2351.69983614589</v>
      </c>
      <c r="O270" s="40"/>
      <c r="P270" s="20">
        <f t="shared" ca="1" si="38"/>
        <v>834.89136490250701</v>
      </c>
      <c r="Q270" s="1">
        <f t="shared" si="39"/>
        <v>7558</v>
      </c>
      <c r="R270" s="171">
        <f>IF(AND($J$2&gt;=DATEVALUE("03/04/2020"),$J$2&lt;=DATEVALUE("25/11/2020")),0,IF(Resumo!$C$19="PF",IF(Q270&lt;360,0.0082%*Q270,3%),IF(Q270&lt;360,0.0041%*Q270,1.5%)))</f>
        <v>1.4999999999999999E-2</v>
      </c>
      <c r="S270" s="172">
        <f t="shared" ca="1" si="40"/>
        <v>12.523370473537605</v>
      </c>
      <c r="W270" s="216">
        <f t="shared" ca="1" si="46"/>
        <v>2255.2854533867467</v>
      </c>
    </row>
    <row r="271" spans="2:23">
      <c r="B271" s="37">
        <f t="shared" si="41"/>
        <v>249</v>
      </c>
      <c r="C271" s="163">
        <f t="shared" si="42"/>
        <v>52336</v>
      </c>
      <c r="D271" s="38">
        <f t="shared" ca="1" si="48"/>
        <v>1055.7530592811493</v>
      </c>
      <c r="E271" s="38">
        <f t="shared" ca="1" si="47"/>
        <v>1199.5323941055974</v>
      </c>
      <c r="F271" s="38">
        <f ca="1">IF(B271&lt;=$D$16,F270*(1+$D$13)^((C271-C270)/_xlfn.DAYS(EDATE(C270,1),C270)),F270-D271)+IF(B271&lt;=$D$16,F270*Resumo!$F$12,0)+IF(B271&lt;=$D$16,$D$15*Resumo!$F$13,0)+IF(B271&lt;=$D$16,25,0)-IF(AND($D$16&gt;3,B271&lt;=$D$16),J271,0)</f>
        <v>175346.06960330671</v>
      </c>
      <c r="G271" s="38">
        <f ca="1">IF(AND(B271&lt;&gt;"",K271&lt;&gt;$D$17,$D$16&gt;3),F271*Resumo!$F$12,IF(AND(B271&lt;&gt;"",K271&lt;&gt;$D$17,B271&gt;$D$16),F271*Resumo!$F$12,0))</f>
        <v>36.822674616694407</v>
      </c>
      <c r="H271" s="38">
        <f>IF(AND(B271&lt;&gt;"",K271&lt;&gt;$D$17,$D$16&gt;3,$B271&lt;=$D$16),$D$15*Resumo!$F$13,IF(AND(B271&lt;&gt;"",K271&lt;&gt;$D$17,B271&gt;$D$16),$D$15*Resumo!$F$13,0))</f>
        <v>34.369999999999997</v>
      </c>
      <c r="I271" s="38">
        <f>IF(AND(B271&lt;&gt;"",K271&lt;&gt;$D$17,$D$16&gt;3,$B271&lt;=$D$16),Resumo!$F$11,IF(AND(B271&lt;&gt;"",K271&lt;&gt;$D$17,B271&gt;$D$16),Resumo!$F$11,0))</f>
        <v>25</v>
      </c>
      <c r="J271" s="38">
        <f t="shared" ca="1" si="44"/>
        <v>2351.4781280034408</v>
      </c>
      <c r="K271" s="39" t="str">
        <f>IF(B271&lt;&gt;"",VLOOKUP(MONTH(C271),Sheet2!$F$1:$G$12,2,0),"")</f>
        <v>Abril</v>
      </c>
      <c r="L271" s="200">
        <f t="shared" ca="1" si="45"/>
        <v>0</v>
      </c>
      <c r="M271" s="40">
        <f t="shared" ca="1" si="36"/>
        <v>2255.2854533867467</v>
      </c>
      <c r="N271" s="40">
        <f t="shared" ca="1" si="37"/>
        <v>2351.4781280034408</v>
      </c>
      <c r="O271" s="40"/>
      <c r="P271" s="20">
        <f t="shared" ca="1" si="38"/>
        <v>834.89136490250701</v>
      </c>
      <c r="Q271" s="1">
        <f t="shared" si="39"/>
        <v>7589</v>
      </c>
      <c r="R271" s="171">
        <f>IF(AND($J$2&gt;=DATEVALUE("03/04/2020"),$J$2&lt;=DATEVALUE("25/11/2020")),0,IF(Resumo!$C$19="PF",IF(Q271&lt;360,0.0082%*Q271,3%),IF(Q271&lt;360,0.0041%*Q271,1.5%)))</f>
        <v>1.4999999999999999E-2</v>
      </c>
      <c r="S271" s="172">
        <f t="shared" ca="1" si="40"/>
        <v>12.523370473537605</v>
      </c>
      <c r="W271" s="216">
        <f t="shared" ca="1" si="46"/>
        <v>2255.2854533867467</v>
      </c>
    </row>
    <row r="272" spans="2:23">
      <c r="B272" s="41">
        <f t="shared" si="41"/>
        <v>250</v>
      </c>
      <c r="C272" s="164">
        <f t="shared" si="42"/>
        <v>52366</v>
      </c>
      <c r="D272" s="42">
        <f t="shared" ca="1" si="48"/>
        <v>1062.9321800842611</v>
      </c>
      <c r="E272" s="42">
        <f t="shared" ca="1" si="47"/>
        <v>1192.3532733024856</v>
      </c>
      <c r="F272" s="42">
        <f ca="1">IF(B272&lt;=$D$16,F271*(1+$D$13)^((C272-C271)/_xlfn.DAYS(EDATE(C271,1),C271)),F271-D272)+IF(B272&lt;=$D$16,F271*Resumo!$F$12,0)+IF(B272&lt;=$D$16,$D$15*Resumo!$F$13,0)+IF(B272&lt;=$D$16,25,0)-IF(AND($D$16&gt;3,B272&lt;=$D$16),J272,0)</f>
        <v>174283.13742322245</v>
      </c>
      <c r="G272" s="42">
        <f ca="1">IF(AND(B272&lt;&gt;"",K272&lt;&gt;$D$17,$D$16&gt;3),F272*Resumo!$F$12,IF(AND(B272&lt;&gt;"",K272&lt;&gt;$D$17,B272&gt;$D$16),F272*Resumo!$F$12,0))</f>
        <v>36.599458858876716</v>
      </c>
      <c r="H272" s="42">
        <f>IF(AND(B272&lt;&gt;"",K272&lt;&gt;$D$17,$D$16&gt;3,$B272&lt;=$D$16),$D$15*Resumo!$F$13,IF(AND(B272&lt;&gt;"",K272&lt;&gt;$D$17,B272&gt;$D$16),$D$15*Resumo!$F$13,0))</f>
        <v>34.369999999999997</v>
      </c>
      <c r="I272" s="42">
        <f>IF(AND(B272&lt;&gt;"",K272&lt;&gt;$D$17,$D$16&gt;3,$B272&lt;=$D$16),Resumo!$F$11,IF(AND(B272&lt;&gt;"",K272&lt;&gt;$D$17,B272&gt;$D$16),Resumo!$F$11,0))</f>
        <v>25</v>
      </c>
      <c r="J272" s="42">
        <f t="shared" ca="1" si="44"/>
        <v>2351.2549122456235</v>
      </c>
      <c r="K272" s="39" t="str">
        <f>IF(B272&lt;&gt;"",VLOOKUP(MONTH(C272),Sheet2!$F$1:$G$12,2,0),"")</f>
        <v>Maio</v>
      </c>
      <c r="L272" s="200">
        <f t="shared" ca="1" si="45"/>
        <v>0</v>
      </c>
      <c r="M272" s="40">
        <f t="shared" ca="1" si="36"/>
        <v>2255.2854533867467</v>
      </c>
      <c r="N272" s="40">
        <f t="shared" ca="1" si="37"/>
        <v>2351.2549122456235</v>
      </c>
      <c r="O272" s="40"/>
      <c r="P272" s="20">
        <f t="shared" ca="1" si="38"/>
        <v>834.89136490250701</v>
      </c>
      <c r="Q272" s="1">
        <f t="shared" si="39"/>
        <v>7619</v>
      </c>
      <c r="R272" s="171">
        <f>IF(AND($J$2&gt;=DATEVALUE("03/04/2020"),$J$2&lt;=DATEVALUE("25/11/2020")),0,IF(Resumo!$C$19="PF",IF(Q272&lt;360,0.0082%*Q272,3%),IF(Q272&lt;360,0.0041%*Q272,1.5%)))</f>
        <v>1.4999999999999999E-2</v>
      </c>
      <c r="S272" s="172">
        <f t="shared" ca="1" si="40"/>
        <v>12.523370473537605</v>
      </c>
      <c r="W272" s="216">
        <f t="shared" ca="1" si="46"/>
        <v>2255.2854533867467</v>
      </c>
    </row>
    <row r="273" spans="2:23">
      <c r="B273" s="37">
        <f t="shared" si="41"/>
        <v>251</v>
      </c>
      <c r="C273" s="163">
        <f t="shared" si="42"/>
        <v>52397</v>
      </c>
      <c r="D273" s="38">
        <f t="shared" ca="1" si="48"/>
        <v>1070.1601189088342</v>
      </c>
      <c r="E273" s="38">
        <f t="shared" ca="1" si="47"/>
        <v>1185.1253344779125</v>
      </c>
      <c r="F273" s="38">
        <f ca="1">IF(B273&lt;=$D$16,F272*(1+$D$13)^((C273-C272)/_xlfn.DAYS(EDATE(C272,1),C272)),F272-D273)+IF(B273&lt;=$D$16,F272*Resumo!$F$12,0)+IF(B273&lt;=$D$16,$D$15*Resumo!$F$13,0)+IF(B273&lt;=$D$16,25,0)-IF(AND($D$16&gt;3,B273&lt;=$D$16),J273,0)</f>
        <v>173212.97730431362</v>
      </c>
      <c r="G273" s="38">
        <f ca="1">IF(AND(B273&lt;&gt;"",K273&lt;&gt;$D$17,$D$16&gt;3),F273*Resumo!$F$12,IF(AND(B273&lt;&gt;"",K273&lt;&gt;$D$17,B273&gt;$D$16),F273*Resumo!$F$12,0))</f>
        <v>36.374725233905863</v>
      </c>
      <c r="H273" s="38">
        <f>IF(AND(B273&lt;&gt;"",K273&lt;&gt;$D$17,$D$16&gt;3,$B273&lt;=$D$16),$D$15*Resumo!$F$13,IF(AND(B273&lt;&gt;"",K273&lt;&gt;$D$17,B273&gt;$D$16),$D$15*Resumo!$F$13,0))</f>
        <v>34.369999999999997</v>
      </c>
      <c r="I273" s="38">
        <f>IF(AND(B273&lt;&gt;"",K273&lt;&gt;$D$17,$D$16&gt;3,$B273&lt;=$D$16),Resumo!$F$11,IF(AND(B273&lt;&gt;"",K273&lt;&gt;$D$17,B273&gt;$D$16),Resumo!$F$11,0))</f>
        <v>25</v>
      </c>
      <c r="J273" s="38">
        <f t="shared" ca="1" si="44"/>
        <v>2351.0301786206524</v>
      </c>
      <c r="K273" s="39" t="str">
        <f>IF(B273&lt;&gt;"",VLOOKUP(MONTH(C273),Sheet2!$F$1:$G$12,2,0),"")</f>
        <v>Junho</v>
      </c>
      <c r="L273" s="200">
        <f t="shared" ca="1" si="45"/>
        <v>0</v>
      </c>
      <c r="M273" s="40">
        <f t="shared" ca="1" si="36"/>
        <v>2255.2854533867467</v>
      </c>
      <c r="N273" s="40">
        <f t="shared" ca="1" si="37"/>
        <v>2351.0301786206524</v>
      </c>
      <c r="O273" s="40"/>
      <c r="P273" s="20">
        <f t="shared" ca="1" si="38"/>
        <v>834.89136490250701</v>
      </c>
      <c r="Q273" s="1">
        <f t="shared" si="39"/>
        <v>7650</v>
      </c>
      <c r="R273" s="171">
        <f>IF(AND($J$2&gt;=DATEVALUE("03/04/2020"),$J$2&lt;=DATEVALUE("25/11/2020")),0,IF(Resumo!$C$19="PF",IF(Q273&lt;360,0.0082%*Q273,3%),IF(Q273&lt;360,0.0041%*Q273,1.5%)))</f>
        <v>1.4999999999999999E-2</v>
      </c>
      <c r="S273" s="172">
        <f t="shared" ca="1" si="40"/>
        <v>12.523370473537605</v>
      </c>
      <c r="W273" s="216">
        <f t="shared" ca="1" si="46"/>
        <v>2255.2854533867467</v>
      </c>
    </row>
    <row r="274" spans="2:23">
      <c r="B274" s="41">
        <f t="shared" si="41"/>
        <v>252</v>
      </c>
      <c r="C274" s="164">
        <f t="shared" si="42"/>
        <v>52427</v>
      </c>
      <c r="D274" s="42">
        <f t="shared" ca="1" si="48"/>
        <v>1077.4372077174141</v>
      </c>
      <c r="E274" s="42">
        <f t="shared" ca="1" si="47"/>
        <v>1177.8482456693325</v>
      </c>
      <c r="F274" s="42">
        <f ca="1">IF(B274&lt;=$D$16,F273*(1+$D$13)^((C274-C273)/_xlfn.DAYS(EDATE(C273,1),C273)),F273-D274)+IF(B274&lt;=$D$16,F273*Resumo!$F$12,0)+IF(B274&lt;=$D$16,$D$15*Resumo!$F$13,0)+IF(B274&lt;=$D$16,25,0)-IF(AND($D$16&gt;3,B274&lt;=$D$16),J274,0)</f>
        <v>172135.5400965962</v>
      </c>
      <c r="G274" s="42">
        <f ca="1">IF(AND(B274&lt;&gt;"",K274&lt;&gt;$D$17,$D$16&gt;3),F274*Resumo!$F$12,IF(AND(B274&lt;&gt;"",K274&lt;&gt;$D$17,B274&gt;$D$16),F274*Resumo!$F$12,0))</f>
        <v>36.148463420285204</v>
      </c>
      <c r="H274" s="42">
        <f>IF(AND(B274&lt;&gt;"",K274&lt;&gt;$D$17,$D$16&gt;3,$B274&lt;=$D$16),$D$15*Resumo!$F$13,IF(AND(B274&lt;&gt;"",K274&lt;&gt;$D$17,B274&gt;$D$16),$D$15*Resumo!$F$13,0))</f>
        <v>34.369999999999997</v>
      </c>
      <c r="I274" s="42">
        <f>IF(AND(B274&lt;&gt;"",K274&lt;&gt;$D$17,$D$16&gt;3,$B274&lt;=$D$16),Resumo!$F$11,IF(AND(B274&lt;&gt;"",K274&lt;&gt;$D$17,B274&gt;$D$16),Resumo!$F$11,0))</f>
        <v>25</v>
      </c>
      <c r="J274" s="42">
        <f t="shared" ca="1" si="44"/>
        <v>2350.8039168070318</v>
      </c>
      <c r="K274" s="39" t="str">
        <f>IF(B274&lt;&gt;"",VLOOKUP(MONTH(C274),Sheet2!$F$1:$G$12,2,0),"")</f>
        <v>Julho</v>
      </c>
      <c r="L274" s="200">
        <f t="shared" ca="1" si="45"/>
        <v>0</v>
      </c>
      <c r="M274" s="40">
        <f t="shared" ca="1" si="36"/>
        <v>2255.2854533867467</v>
      </c>
      <c r="N274" s="40">
        <f t="shared" ca="1" si="37"/>
        <v>2350.8039168070318</v>
      </c>
      <c r="O274" s="40"/>
      <c r="P274" s="20">
        <f t="shared" ca="1" si="38"/>
        <v>834.89136490250701</v>
      </c>
      <c r="Q274" s="1">
        <f t="shared" si="39"/>
        <v>7680</v>
      </c>
      <c r="R274" s="171">
        <f>IF(AND($J$2&gt;=DATEVALUE("03/04/2020"),$J$2&lt;=DATEVALUE("25/11/2020")),0,IF(Resumo!$C$19="PF",IF(Q274&lt;360,0.0082%*Q274,3%),IF(Q274&lt;360,0.0041%*Q274,1.5%)))</f>
        <v>1.4999999999999999E-2</v>
      </c>
      <c r="S274" s="172">
        <f t="shared" ca="1" si="40"/>
        <v>12.523370473537605</v>
      </c>
      <c r="W274" s="216">
        <f t="shared" ca="1" si="46"/>
        <v>2255.2854533867467</v>
      </c>
    </row>
    <row r="275" spans="2:23">
      <c r="B275" s="37">
        <f t="shared" si="41"/>
        <v>253</v>
      </c>
      <c r="C275" s="163">
        <f t="shared" si="42"/>
        <v>52458</v>
      </c>
      <c r="D275" s="38">
        <f t="shared" ca="1" si="48"/>
        <v>1084.7637807298925</v>
      </c>
      <c r="E275" s="38">
        <f t="shared" ca="1" si="47"/>
        <v>1170.5216726568542</v>
      </c>
      <c r="F275" s="38">
        <f ca="1">IF(B275&lt;=$D$16,F274*(1+$D$13)^((C275-C274)/_xlfn.DAYS(EDATE(C274,1),C274)),F274-D275)+IF(B275&lt;=$D$16,F274*Resumo!$F$12,0)+IF(B275&lt;=$D$16,$D$15*Resumo!$F$13,0)+IF(B275&lt;=$D$16,25,0)-IF(AND($D$16&gt;3,B275&lt;=$D$16),J275,0)</f>
        <v>171050.7763158663</v>
      </c>
      <c r="G275" s="38">
        <f ca="1">IF(AND(B275&lt;&gt;"",K275&lt;&gt;$D$17,$D$16&gt;3),F275*Resumo!$F$12,IF(AND(B275&lt;&gt;"",K275&lt;&gt;$D$17,B275&gt;$D$16),F275*Resumo!$F$12,0))</f>
        <v>35.920663026331923</v>
      </c>
      <c r="H275" s="38">
        <f>IF(AND(B275&lt;&gt;"",K275&lt;&gt;$D$17,$D$16&gt;3,$B275&lt;=$D$16),$D$15*Resumo!$F$13,IF(AND(B275&lt;&gt;"",K275&lt;&gt;$D$17,B275&gt;$D$16),$D$15*Resumo!$F$13,0))</f>
        <v>34.369999999999997</v>
      </c>
      <c r="I275" s="38">
        <f>IF(AND(B275&lt;&gt;"",K275&lt;&gt;$D$17,$D$16&gt;3,$B275&lt;=$D$16),Resumo!$F$11,IF(AND(B275&lt;&gt;"",K275&lt;&gt;$D$17,B275&gt;$D$16),Resumo!$F$11,0))</f>
        <v>25</v>
      </c>
      <c r="J275" s="38">
        <f t="shared" ca="1" si="44"/>
        <v>2350.5761164130786</v>
      </c>
      <c r="K275" s="39" t="str">
        <f>IF(B275&lt;&gt;"",VLOOKUP(MONTH(C275),Sheet2!$F$1:$G$12,2,0),"")</f>
        <v>Agosto</v>
      </c>
      <c r="L275" s="200">
        <f t="shared" ca="1" si="45"/>
        <v>0</v>
      </c>
      <c r="M275" s="40">
        <f t="shared" ca="1" si="36"/>
        <v>2255.2854533867467</v>
      </c>
      <c r="N275" s="40">
        <f t="shared" ca="1" si="37"/>
        <v>2350.5761164130786</v>
      </c>
      <c r="O275" s="40"/>
      <c r="P275" s="20">
        <f t="shared" ca="1" si="38"/>
        <v>834.89136490250701</v>
      </c>
      <c r="Q275" s="1">
        <f t="shared" si="39"/>
        <v>7711</v>
      </c>
      <c r="R275" s="171">
        <f>IF(AND($J$2&gt;=DATEVALUE("03/04/2020"),$J$2&lt;=DATEVALUE("25/11/2020")),0,IF(Resumo!$C$19="PF",IF(Q275&lt;360,0.0082%*Q275,3%),IF(Q275&lt;360,0.0041%*Q275,1.5%)))</f>
        <v>1.4999999999999999E-2</v>
      </c>
      <c r="S275" s="172">
        <f t="shared" ca="1" si="40"/>
        <v>12.523370473537605</v>
      </c>
      <c r="W275" s="216">
        <f t="shared" ca="1" si="46"/>
        <v>2255.2854533867467</v>
      </c>
    </row>
    <row r="276" spans="2:23">
      <c r="B276" s="41">
        <f t="shared" si="41"/>
        <v>254</v>
      </c>
      <c r="C276" s="164">
        <f t="shared" si="42"/>
        <v>52489</v>
      </c>
      <c r="D276" s="42">
        <f t="shared" ca="1" si="48"/>
        <v>1092.1401744388559</v>
      </c>
      <c r="E276" s="42">
        <f t="shared" ca="1" si="47"/>
        <v>1163.1452789478908</v>
      </c>
      <c r="F276" s="42">
        <f ca="1">IF(B276&lt;=$D$16,F275*(1+$D$13)^((C276-C275)/_xlfn.DAYS(EDATE(C275,1),C275)),F275-D276)+IF(B276&lt;=$D$16,F275*Resumo!$F$12,0)+IF(B276&lt;=$D$16,$D$15*Resumo!$F$13,0)+IF(B276&lt;=$D$16,25,0)-IF(AND($D$16&gt;3,B276&lt;=$D$16),J276,0)</f>
        <v>169958.63614142744</v>
      </c>
      <c r="G276" s="42">
        <f ca="1">IF(AND(B276&lt;&gt;"",K276&lt;&gt;$D$17,$D$16&gt;3),F276*Resumo!$F$12,IF(AND(B276&lt;&gt;"",K276&lt;&gt;$D$17,B276&gt;$D$16),F276*Resumo!$F$12,0))</f>
        <v>35.691313589699767</v>
      </c>
      <c r="H276" s="42">
        <f>IF(AND(B276&lt;&gt;"",K276&lt;&gt;$D$17,$D$16&gt;3,$B276&lt;=$D$16),$D$15*Resumo!$F$13,IF(AND(B276&lt;&gt;"",K276&lt;&gt;$D$17,B276&gt;$D$16),$D$15*Resumo!$F$13,0))</f>
        <v>34.369999999999997</v>
      </c>
      <c r="I276" s="42">
        <f>IF(AND(B276&lt;&gt;"",K276&lt;&gt;$D$17,$D$16&gt;3,$B276&lt;=$D$16),Resumo!$F$11,IF(AND(B276&lt;&gt;"",K276&lt;&gt;$D$17,B276&gt;$D$16),Resumo!$F$11,0))</f>
        <v>25</v>
      </c>
      <c r="J276" s="42">
        <f t="shared" ca="1" si="44"/>
        <v>2350.3467669764464</v>
      </c>
      <c r="K276" s="39" t="str">
        <f>IF(B276&lt;&gt;"",VLOOKUP(MONTH(C276),Sheet2!$F$1:$G$12,2,0),"")</f>
        <v>Setembro</v>
      </c>
      <c r="L276" s="200">
        <f t="shared" ca="1" si="45"/>
        <v>0</v>
      </c>
      <c r="M276" s="40">
        <f t="shared" ca="1" si="36"/>
        <v>2255.2854533867467</v>
      </c>
      <c r="N276" s="40">
        <f t="shared" ca="1" si="37"/>
        <v>2350.3467669764464</v>
      </c>
      <c r="O276" s="40"/>
      <c r="P276" s="20">
        <f t="shared" ca="1" si="38"/>
        <v>834.89136490250701</v>
      </c>
      <c r="Q276" s="1">
        <f t="shared" si="39"/>
        <v>7742</v>
      </c>
      <c r="R276" s="171">
        <f>IF(AND($J$2&gt;=DATEVALUE("03/04/2020"),$J$2&lt;=DATEVALUE("25/11/2020")),0,IF(Resumo!$C$19="PF",IF(Q276&lt;360,0.0082%*Q276,3%),IF(Q276&lt;360,0.0041%*Q276,1.5%)))</f>
        <v>1.4999999999999999E-2</v>
      </c>
      <c r="S276" s="172">
        <f t="shared" ca="1" si="40"/>
        <v>12.523370473537605</v>
      </c>
      <c r="W276" s="216">
        <f t="shared" ca="1" si="46"/>
        <v>2255.2854533867467</v>
      </c>
    </row>
    <row r="277" spans="2:23">
      <c r="B277" s="37">
        <f t="shared" si="41"/>
        <v>255</v>
      </c>
      <c r="C277" s="163">
        <f t="shared" si="42"/>
        <v>52519</v>
      </c>
      <c r="D277" s="38">
        <f t="shared" ca="1" si="48"/>
        <v>1099.5667276250401</v>
      </c>
      <c r="E277" s="38">
        <f t="shared" ca="1" si="47"/>
        <v>1155.7187257617065</v>
      </c>
      <c r="F277" s="38">
        <f ca="1">IF(B277&lt;=$D$16,F276*(1+$D$13)^((C277-C276)/_xlfn.DAYS(EDATE(C276,1),C276)),F276-D277)+IF(B277&lt;=$D$16,F276*Resumo!$F$12,0)+IF(B277&lt;=$D$16,$D$15*Resumo!$F$13,0)+IF(B277&lt;=$D$16,25,0)-IF(AND($D$16&gt;3,B277&lt;=$D$16),J277,0)</f>
        <v>168859.06941380241</v>
      </c>
      <c r="G277" s="38">
        <f ca="1">IF(AND(B277&lt;&gt;"",K277&lt;&gt;$D$17,$D$16&gt;3),F277*Resumo!$F$12,IF(AND(B277&lt;&gt;"",K277&lt;&gt;$D$17,B277&gt;$D$16),F277*Resumo!$F$12,0))</f>
        <v>35.460404576898505</v>
      </c>
      <c r="H277" s="38">
        <f>IF(AND(B277&lt;&gt;"",K277&lt;&gt;$D$17,$D$16&gt;3,$B277&lt;=$D$16),$D$15*Resumo!$F$13,IF(AND(B277&lt;&gt;"",K277&lt;&gt;$D$17,B277&gt;$D$16),$D$15*Resumo!$F$13,0))</f>
        <v>34.369999999999997</v>
      </c>
      <c r="I277" s="38">
        <f>IF(AND(B277&lt;&gt;"",K277&lt;&gt;$D$17,$D$16&gt;3,$B277&lt;=$D$16),Resumo!$F$11,IF(AND(B277&lt;&gt;"",K277&lt;&gt;$D$17,B277&gt;$D$16),Resumo!$F$11,0))</f>
        <v>25</v>
      </c>
      <c r="J277" s="38">
        <f t="shared" ca="1" si="44"/>
        <v>2350.1158579636449</v>
      </c>
      <c r="K277" s="39" t="str">
        <f>IF(B277&lt;&gt;"",VLOOKUP(MONTH(C277),Sheet2!$F$1:$G$12,2,0),"")</f>
        <v>Outubro</v>
      </c>
      <c r="L277" s="200">
        <f t="shared" ca="1" si="45"/>
        <v>0</v>
      </c>
      <c r="M277" s="40">
        <f t="shared" ca="1" si="36"/>
        <v>2255.2854533867467</v>
      </c>
      <c r="N277" s="40">
        <f t="shared" ca="1" si="37"/>
        <v>2350.1158579636449</v>
      </c>
      <c r="O277" s="40"/>
      <c r="P277" s="20">
        <f t="shared" ca="1" si="38"/>
        <v>834.89136490250701</v>
      </c>
      <c r="Q277" s="1">
        <f t="shared" si="39"/>
        <v>7772</v>
      </c>
      <c r="R277" s="171">
        <f>IF(AND($J$2&gt;=DATEVALUE("03/04/2020"),$J$2&lt;=DATEVALUE("25/11/2020")),0,IF(Resumo!$C$19="PF",IF(Q277&lt;360,0.0082%*Q277,3%),IF(Q277&lt;360,0.0041%*Q277,1.5%)))</f>
        <v>1.4999999999999999E-2</v>
      </c>
      <c r="S277" s="172">
        <f t="shared" ca="1" si="40"/>
        <v>12.523370473537605</v>
      </c>
      <c r="W277" s="216">
        <f t="shared" ca="1" si="46"/>
        <v>2255.2854533867467</v>
      </c>
    </row>
    <row r="278" spans="2:23">
      <c r="B278" s="41">
        <f t="shared" si="41"/>
        <v>256</v>
      </c>
      <c r="C278" s="164">
        <f t="shared" si="42"/>
        <v>52550</v>
      </c>
      <c r="D278" s="42">
        <f t="shared" ca="1" si="48"/>
        <v>1107.0437813728904</v>
      </c>
      <c r="E278" s="42">
        <f t="shared" ca="1" si="47"/>
        <v>1148.2416720138563</v>
      </c>
      <c r="F278" s="42">
        <f ca="1">IF(B278&lt;=$D$16,F277*(1+$D$13)^((C278-C277)/_xlfn.DAYS(EDATE(C277,1),C277)),F277-D278)+IF(B278&lt;=$D$16,F277*Resumo!$F$12,0)+IF(B278&lt;=$D$16,$D$15*Resumo!$F$13,0)+IF(B278&lt;=$D$16,25,0)-IF(AND($D$16&gt;3,B278&lt;=$D$16),J278,0)</f>
        <v>167752.02563242952</v>
      </c>
      <c r="G278" s="42">
        <f ca="1">IF(AND(B278&lt;&gt;"",K278&lt;&gt;$D$17,$D$16&gt;3),F278*Resumo!$F$12,IF(AND(B278&lt;&gt;"",K278&lt;&gt;$D$17,B278&gt;$D$16),F278*Resumo!$F$12,0))</f>
        <v>35.227925382810199</v>
      </c>
      <c r="H278" s="42">
        <f>IF(AND(B278&lt;&gt;"",K278&lt;&gt;$D$17,$D$16&gt;3,$B278&lt;=$D$16),$D$15*Resumo!$F$13,IF(AND(B278&lt;&gt;"",K278&lt;&gt;$D$17,B278&gt;$D$16),$D$15*Resumo!$F$13,0))</f>
        <v>34.369999999999997</v>
      </c>
      <c r="I278" s="42">
        <f>IF(AND(B278&lt;&gt;"",K278&lt;&gt;$D$17,$D$16&gt;3,$B278&lt;=$D$16),Resumo!$F$11,IF(AND(B278&lt;&gt;"",K278&lt;&gt;$D$17,B278&gt;$D$16),Resumo!$F$11,0))</f>
        <v>25</v>
      </c>
      <c r="J278" s="42">
        <f t="shared" ca="1" si="44"/>
        <v>2349.8833787695567</v>
      </c>
      <c r="K278" s="39" t="str">
        <f>IF(B278&lt;&gt;"",VLOOKUP(MONTH(C278),Sheet2!$F$1:$G$12,2,0),"")</f>
        <v>Novembro</v>
      </c>
      <c r="L278" s="200">
        <f t="shared" ca="1" si="45"/>
        <v>0</v>
      </c>
      <c r="M278" s="40">
        <f t="shared" ca="1" si="36"/>
        <v>2255.2854533867467</v>
      </c>
      <c r="N278" s="40">
        <f t="shared" ca="1" si="37"/>
        <v>2349.8833787695567</v>
      </c>
      <c r="O278" s="40"/>
      <c r="P278" s="20">
        <f t="shared" ca="1" si="38"/>
        <v>834.89136490250701</v>
      </c>
      <c r="Q278" s="1">
        <f t="shared" si="39"/>
        <v>7803</v>
      </c>
      <c r="R278" s="171">
        <f>IF(AND($J$2&gt;=DATEVALUE("03/04/2020"),$J$2&lt;=DATEVALUE("25/11/2020")),0,IF(Resumo!$C$19="PF",IF(Q278&lt;360,0.0082%*Q278,3%),IF(Q278&lt;360,0.0041%*Q278,1.5%)))</f>
        <v>1.4999999999999999E-2</v>
      </c>
      <c r="S278" s="172">
        <f t="shared" ca="1" si="40"/>
        <v>12.523370473537605</v>
      </c>
      <c r="W278" s="216">
        <f t="shared" ca="1" si="46"/>
        <v>2255.2854533867467</v>
      </c>
    </row>
    <row r="279" spans="2:23">
      <c r="B279" s="37">
        <f t="shared" si="41"/>
        <v>257</v>
      </c>
      <c r="C279" s="163">
        <f t="shared" si="42"/>
        <v>52580</v>
      </c>
      <c r="D279" s="38">
        <f t="shared" ca="1" si="48"/>
        <v>1114.5716790862259</v>
      </c>
      <c r="E279" s="38">
        <f t="shared" ca="1" si="47"/>
        <v>1140.7137743005208</v>
      </c>
      <c r="F279" s="38">
        <f ca="1">IF(B279&lt;=$D$16,F278*(1+$D$13)^((C279-C278)/_xlfn.DAYS(EDATE(C278,1),C278)),F278-D279)+IF(B279&lt;=$D$16,F278*Resumo!$F$12,0)+IF(B279&lt;=$D$16,$D$15*Resumo!$F$13,0)+IF(B279&lt;=$D$16,25,0)-IF(AND($D$16&gt;3,B279&lt;=$D$16),J279,0)</f>
        <v>166637.4539533433</v>
      </c>
      <c r="G279" s="38">
        <f ca="1">IF(AND(B279&lt;&gt;"",K279&lt;&gt;$D$17,$D$16&gt;3),F279*Resumo!$F$12,IF(AND(B279&lt;&gt;"",K279&lt;&gt;$D$17,B279&gt;$D$16),F279*Resumo!$F$12,0))</f>
        <v>34.993865330202091</v>
      </c>
      <c r="H279" s="38">
        <f>IF(AND(B279&lt;&gt;"",K279&lt;&gt;$D$17,$D$16&gt;3,$B279&lt;=$D$16),$D$15*Resumo!$F$13,IF(AND(B279&lt;&gt;"",K279&lt;&gt;$D$17,B279&gt;$D$16),$D$15*Resumo!$F$13,0))</f>
        <v>34.369999999999997</v>
      </c>
      <c r="I279" s="38">
        <f>IF(AND(B279&lt;&gt;"",K279&lt;&gt;$D$17,$D$16&gt;3,$B279&lt;=$D$16),Resumo!$F$11,IF(AND(B279&lt;&gt;"",K279&lt;&gt;$D$17,B279&gt;$D$16),Resumo!$F$11,0))</f>
        <v>25</v>
      </c>
      <c r="J279" s="38">
        <f t="shared" ca="1" si="44"/>
        <v>2349.6493187169485</v>
      </c>
      <c r="K279" s="39" t="str">
        <f>IF(B279&lt;&gt;"",VLOOKUP(MONTH(C279),Sheet2!$F$1:$G$12,2,0),"")</f>
        <v>Dezembro</v>
      </c>
      <c r="L279" s="200">
        <f t="shared" ca="1" si="45"/>
        <v>0</v>
      </c>
      <c r="M279" s="40">
        <f t="shared" ca="1" si="36"/>
        <v>2255.2854533867467</v>
      </c>
      <c r="N279" s="40">
        <f t="shared" ca="1" si="37"/>
        <v>2349.6493187169485</v>
      </c>
      <c r="O279" s="40"/>
      <c r="P279" s="20">
        <f t="shared" ref="P279:P342" ca="1" si="49">IF(D279=0,0,$F$21/($D$12-$E$17-$D$16))</f>
        <v>834.89136490250701</v>
      </c>
      <c r="Q279" s="1">
        <f t="shared" ref="Q279:Q342" si="50">IFERROR(C279-$J$2,0)</f>
        <v>7833</v>
      </c>
      <c r="R279" s="171">
        <f>IF(AND($J$2&gt;=DATEVALUE("03/04/2020"),$J$2&lt;=DATEVALUE("25/11/2020")),0,IF(Resumo!$C$19="PF",IF(Q279&lt;360,0.0082%*Q279,3%),IF(Q279&lt;360,0.0041%*Q279,1.5%)))</f>
        <v>1.4999999999999999E-2</v>
      </c>
      <c r="S279" s="172">
        <f t="shared" ref="S279:S342" ca="1" si="51">R279*P279</f>
        <v>12.523370473537605</v>
      </c>
      <c r="W279" s="216">
        <f t="shared" ca="1" si="46"/>
        <v>2255.2854533867467</v>
      </c>
    </row>
    <row r="280" spans="2:23">
      <c r="B280" s="41">
        <f t="shared" ref="B280:B343" si="52">IF(B279&lt;$D$12,B279+1,"")</f>
        <v>258</v>
      </c>
      <c r="C280" s="164">
        <f t="shared" ref="C280:C342" si="53">IF(B280&lt;&gt;"",EDATE($C$22,B280),"")</f>
        <v>52611</v>
      </c>
      <c r="D280" s="42">
        <f t="shared" ca="1" si="48"/>
        <v>1122.1507665040124</v>
      </c>
      <c r="E280" s="42">
        <f t="shared" ca="1" si="47"/>
        <v>1133.1346868827343</v>
      </c>
      <c r="F280" s="42">
        <f ca="1">IF(B280&lt;=$D$16,F279*(1+$D$13)^((C280-C279)/_xlfn.DAYS(EDATE(C279,1),C279)),F279-D280)+IF(B280&lt;=$D$16,F279*Resumo!$F$12,0)+IF(B280&lt;=$D$16,$D$15*Resumo!$F$13,0)+IF(B280&lt;=$D$16,25,0)-IF(AND($D$16&gt;3,B280&lt;=$D$16),J280,0)</f>
        <v>165515.30318683927</v>
      </c>
      <c r="G280" s="42">
        <f ca="1">IF(AND(B280&lt;&gt;"",K280&lt;&gt;$D$17,$D$16&gt;3),F280*Resumo!$F$12,IF(AND(B280&lt;&gt;"",K280&lt;&gt;$D$17,B280&gt;$D$16),F280*Resumo!$F$12,0))</f>
        <v>34.758213669236248</v>
      </c>
      <c r="H280" s="42">
        <f>IF(AND(B280&lt;&gt;"",K280&lt;&gt;$D$17,$D$16&gt;3,$B280&lt;=$D$16),$D$15*Resumo!$F$13,IF(AND(B280&lt;&gt;"",K280&lt;&gt;$D$17,B280&gt;$D$16),$D$15*Resumo!$F$13,0))</f>
        <v>34.369999999999997</v>
      </c>
      <c r="I280" s="42">
        <f>IF(AND(B280&lt;&gt;"",K280&lt;&gt;$D$17,$D$16&gt;3,$B280&lt;=$D$16),Resumo!$F$11,IF(AND(B280&lt;&gt;"",K280&lt;&gt;$D$17,B280&gt;$D$16),Resumo!$F$11,0))</f>
        <v>25</v>
      </c>
      <c r="J280" s="42">
        <f t="shared" ref="J280:J343" ca="1" si="54">IF(B280&lt;&gt;"",D280+E280+H280+I280+G280,"")</f>
        <v>2349.4136670559828</v>
      </c>
      <c r="K280" s="39" t="str">
        <f>IF(B280&lt;&gt;"",VLOOKUP(MONTH(C280),Sheet2!$F$1:$G$12,2,0),"")</f>
        <v>Janeiro</v>
      </c>
      <c r="L280" s="200">
        <f t="shared" ref="L280:L342" ca="1" si="55">IF(AND(L279=0,J280&gt;J279),C280,0)</f>
        <v>0</v>
      </c>
      <c r="M280" s="40">
        <f t="shared" ref="M280:M342" ca="1" si="56">D280+E280</f>
        <v>2255.2854533867467</v>
      </c>
      <c r="N280" s="40">
        <f t="shared" ref="N280:N342" ca="1" si="57">J280</f>
        <v>2349.4136670559828</v>
      </c>
      <c r="O280" s="40"/>
      <c r="P280" s="20">
        <f t="shared" ca="1" si="49"/>
        <v>834.89136490250701</v>
      </c>
      <c r="Q280" s="1">
        <f t="shared" si="50"/>
        <v>7864</v>
      </c>
      <c r="R280" s="171">
        <f>IF(AND($J$2&gt;=DATEVALUE("03/04/2020"),$J$2&lt;=DATEVALUE("25/11/2020")),0,IF(Resumo!$C$19="PF",IF(Q280&lt;360,0.0082%*Q280,3%),IF(Q280&lt;360,0.0041%*Q280,1.5%)))</f>
        <v>1.4999999999999999E-2</v>
      </c>
      <c r="S280" s="172">
        <f t="shared" ca="1" si="51"/>
        <v>12.523370473537605</v>
      </c>
      <c r="W280" s="216">
        <f t="shared" ref="W280:W342" ca="1" si="58">D280+E280</f>
        <v>2255.2854533867467</v>
      </c>
    </row>
    <row r="281" spans="2:23">
      <c r="B281" s="37">
        <f t="shared" si="52"/>
        <v>259</v>
      </c>
      <c r="C281" s="163">
        <f t="shared" si="53"/>
        <v>52642</v>
      </c>
      <c r="D281" s="38">
        <f t="shared" ca="1" si="48"/>
        <v>1129.7813917162396</v>
      </c>
      <c r="E281" s="38">
        <f t="shared" ca="1" si="47"/>
        <v>1125.5040616705071</v>
      </c>
      <c r="F281" s="38">
        <f ca="1">IF(B281&lt;=$D$16,F280*(1+$D$13)^((C281-C280)/_xlfn.DAYS(EDATE(C280,1),C280)),F280-D281)+IF(B281&lt;=$D$16,F280*Resumo!$F$12,0)+IF(B281&lt;=$D$16,$D$15*Resumo!$F$13,0)+IF(B281&lt;=$D$16,25,0)-IF(AND($D$16&gt;3,B281&lt;=$D$16),J281,0)</f>
        <v>164385.52179512303</v>
      </c>
      <c r="G281" s="38">
        <f ca="1">IF(AND(B281&lt;&gt;"",K281&lt;&gt;$D$17,$D$16&gt;3),F281*Resumo!$F$12,IF(AND(B281&lt;&gt;"",K281&lt;&gt;$D$17,B281&gt;$D$16),F281*Resumo!$F$12,0))</f>
        <v>34.520959576975841</v>
      </c>
      <c r="H281" s="38">
        <f>IF(AND(B281&lt;&gt;"",K281&lt;&gt;$D$17,$D$16&gt;3,$B281&lt;=$D$16),$D$15*Resumo!$F$13,IF(AND(B281&lt;&gt;"",K281&lt;&gt;$D$17,B281&gt;$D$16),$D$15*Resumo!$F$13,0))</f>
        <v>34.369999999999997</v>
      </c>
      <c r="I281" s="38">
        <f>IF(AND(B281&lt;&gt;"",K281&lt;&gt;$D$17,$D$16&gt;3,$B281&lt;=$D$16),Resumo!$F$11,IF(AND(B281&lt;&gt;"",K281&lt;&gt;$D$17,B281&gt;$D$16),Resumo!$F$11,0))</f>
        <v>25</v>
      </c>
      <c r="J281" s="38">
        <f t="shared" ca="1" si="54"/>
        <v>2349.1764129637222</v>
      </c>
      <c r="K281" s="39" t="str">
        <f>IF(B281&lt;&gt;"",VLOOKUP(MONTH(C281),Sheet2!$F$1:$G$12,2,0),"")</f>
        <v>Fevereiro</v>
      </c>
      <c r="L281" s="200">
        <f t="shared" ca="1" si="55"/>
        <v>0</v>
      </c>
      <c r="M281" s="40">
        <f t="shared" ca="1" si="56"/>
        <v>2255.2854533867467</v>
      </c>
      <c r="N281" s="40">
        <f t="shared" ca="1" si="57"/>
        <v>2349.1764129637222</v>
      </c>
      <c r="O281" s="40"/>
      <c r="P281" s="20">
        <f t="shared" ca="1" si="49"/>
        <v>834.89136490250701</v>
      </c>
      <c r="Q281" s="1">
        <f t="shared" si="50"/>
        <v>7895</v>
      </c>
      <c r="R281" s="171">
        <f>IF(AND($J$2&gt;=DATEVALUE("03/04/2020"),$J$2&lt;=DATEVALUE("25/11/2020")),0,IF(Resumo!$C$19="PF",IF(Q281&lt;360,0.0082%*Q281,3%),IF(Q281&lt;360,0.0041%*Q281,1.5%)))</f>
        <v>1.4999999999999999E-2</v>
      </c>
      <c r="S281" s="172">
        <f t="shared" ca="1" si="51"/>
        <v>12.523370473537605</v>
      </c>
      <c r="W281" s="216">
        <f t="shared" ca="1" si="58"/>
        <v>2255.2854533867467</v>
      </c>
    </row>
    <row r="282" spans="2:23">
      <c r="B282" s="41">
        <f t="shared" si="52"/>
        <v>260</v>
      </c>
      <c r="C282" s="164">
        <f t="shared" si="53"/>
        <v>52671</v>
      </c>
      <c r="D282" s="42">
        <f t="shared" ca="1" si="48"/>
        <v>1137.4639051799102</v>
      </c>
      <c r="E282" s="42">
        <f t="shared" ca="1" si="47"/>
        <v>1117.8215482068365</v>
      </c>
      <c r="F282" s="42">
        <f ca="1">IF(B282&lt;=$D$16,F281*(1+$D$13)^((C282-C281)/_xlfn.DAYS(EDATE(C281,1),C281)),F281-D282)+IF(B282&lt;=$D$16,F281*Resumo!$F$12,0)+IF(B282&lt;=$D$16,$D$15*Resumo!$F$13,0)+IF(B282&lt;=$D$16,25,0)-IF(AND($D$16&gt;3,B282&lt;=$D$16),J282,0)</f>
        <v>163248.05788994313</v>
      </c>
      <c r="G282" s="42">
        <f ca="1">IF(AND(B282&lt;&gt;"",K282&lt;&gt;$D$17,$D$16&gt;3),F282*Resumo!$F$12,IF(AND(B282&lt;&gt;"",K282&lt;&gt;$D$17,B282&gt;$D$16),F282*Resumo!$F$12,0))</f>
        <v>34.282092156888055</v>
      </c>
      <c r="H282" s="42">
        <f>IF(AND(B282&lt;&gt;"",K282&lt;&gt;$D$17,$D$16&gt;3,$B282&lt;=$D$16),$D$15*Resumo!$F$13,IF(AND(B282&lt;&gt;"",K282&lt;&gt;$D$17,B282&gt;$D$16),$D$15*Resumo!$F$13,0))</f>
        <v>34.369999999999997</v>
      </c>
      <c r="I282" s="42">
        <f>IF(AND(B282&lt;&gt;"",K282&lt;&gt;$D$17,$D$16&gt;3,$B282&lt;=$D$16),Resumo!$F$11,IF(AND(B282&lt;&gt;"",K282&lt;&gt;$D$17,B282&gt;$D$16),Resumo!$F$11,0))</f>
        <v>25</v>
      </c>
      <c r="J282" s="42">
        <f t="shared" ca="1" si="54"/>
        <v>2348.9375455436348</v>
      </c>
      <c r="K282" s="39" t="str">
        <f>IF(B282&lt;&gt;"",VLOOKUP(MONTH(C282),Sheet2!$F$1:$G$12,2,0),"")</f>
        <v>Março</v>
      </c>
      <c r="L282" s="200">
        <f t="shared" ca="1" si="55"/>
        <v>0</v>
      </c>
      <c r="M282" s="40">
        <f t="shared" ca="1" si="56"/>
        <v>2255.2854533867467</v>
      </c>
      <c r="N282" s="40">
        <f t="shared" ca="1" si="57"/>
        <v>2348.9375455436348</v>
      </c>
      <c r="O282" s="40"/>
      <c r="P282" s="20">
        <f t="shared" ca="1" si="49"/>
        <v>834.89136490250701</v>
      </c>
      <c r="Q282" s="1">
        <f t="shared" si="50"/>
        <v>7924</v>
      </c>
      <c r="R282" s="171">
        <f>IF(AND($J$2&gt;=DATEVALUE("03/04/2020"),$J$2&lt;=DATEVALUE("25/11/2020")),0,IF(Resumo!$C$19="PF",IF(Q282&lt;360,0.0082%*Q282,3%),IF(Q282&lt;360,0.0041%*Q282,1.5%)))</f>
        <v>1.4999999999999999E-2</v>
      </c>
      <c r="S282" s="172">
        <f t="shared" ca="1" si="51"/>
        <v>12.523370473537605</v>
      </c>
      <c r="W282" s="216">
        <f t="shared" ca="1" si="58"/>
        <v>2255.2854533867467</v>
      </c>
    </row>
    <row r="283" spans="2:23">
      <c r="B283" s="37">
        <f t="shared" si="52"/>
        <v>261</v>
      </c>
      <c r="C283" s="163">
        <f t="shared" si="53"/>
        <v>52702</v>
      </c>
      <c r="D283" s="38">
        <f t="shared" ca="1" si="48"/>
        <v>1145.1986597351336</v>
      </c>
      <c r="E283" s="38">
        <f t="shared" ref="E283:E346" ca="1" si="59">IF(AND(B283&lt;&gt;"",L283&lt;&gt;$D$17,B283&lt;$D$16,$D$16&lt;4),0,IF(AND(B283&lt;&gt;"",L283&lt;&gt;$D$17,B283&lt;=$D$16,$D$16&gt;3),F282*$D$13,IF(AND(B283&lt;&gt;"",L283&lt;&gt;$D$17,B283&gt;$D$16),F282*$D$13,0)))</f>
        <v>1110.0867936516131</v>
      </c>
      <c r="F283" s="38">
        <f ca="1">IF(B283&lt;=$D$16,F282*(1+$D$13)^((C283-C282)/_xlfn.DAYS(EDATE(C282,1),C282)),F282-D283)+IF(B283&lt;=$D$16,F282*Resumo!$F$12,0)+IF(B283&lt;=$D$16,$D$15*Resumo!$F$13,0)+IF(B283&lt;=$D$16,25,0)-IF(AND($D$16&gt;3,B283&lt;=$D$16),J283,0)</f>
        <v>162102.85923020801</v>
      </c>
      <c r="G283" s="38">
        <f ca="1">IF(AND(B283&lt;&gt;"",K283&lt;&gt;$D$17,$D$16&gt;3),F283*Resumo!$F$12,IF(AND(B283&lt;&gt;"",K283&lt;&gt;$D$17,B283&gt;$D$16),F283*Resumo!$F$12,0))</f>
        <v>34.041600438343686</v>
      </c>
      <c r="H283" s="38">
        <f>IF(AND(B283&lt;&gt;"",K283&lt;&gt;$D$17,$D$16&gt;3,$B283&lt;=$D$16),$D$15*Resumo!$F$13,IF(AND(B283&lt;&gt;"",K283&lt;&gt;$D$17,B283&gt;$D$16),$D$15*Resumo!$F$13,0))</f>
        <v>34.369999999999997</v>
      </c>
      <c r="I283" s="38">
        <f>IF(AND(B283&lt;&gt;"",K283&lt;&gt;$D$17,$D$16&gt;3,$B283&lt;=$D$16),Resumo!$F$11,IF(AND(B283&lt;&gt;"",K283&lt;&gt;$D$17,B283&gt;$D$16),Resumo!$F$11,0))</f>
        <v>25</v>
      </c>
      <c r="J283" s="38">
        <f t="shared" ca="1" si="54"/>
        <v>2348.6970538250903</v>
      </c>
      <c r="K283" s="39" t="str">
        <f>IF(B283&lt;&gt;"",VLOOKUP(MONTH(C283),Sheet2!$F$1:$G$12,2,0),"")</f>
        <v>Abril</v>
      </c>
      <c r="L283" s="200">
        <f t="shared" ca="1" si="55"/>
        <v>0</v>
      </c>
      <c r="M283" s="40">
        <f t="shared" ca="1" si="56"/>
        <v>2255.2854533867467</v>
      </c>
      <c r="N283" s="40">
        <f t="shared" ca="1" si="57"/>
        <v>2348.6970538250903</v>
      </c>
      <c r="O283" s="40"/>
      <c r="P283" s="20">
        <f t="shared" ca="1" si="49"/>
        <v>834.89136490250701</v>
      </c>
      <c r="Q283" s="1">
        <f t="shared" si="50"/>
        <v>7955</v>
      </c>
      <c r="R283" s="171">
        <f>IF(AND($J$2&gt;=DATEVALUE("03/04/2020"),$J$2&lt;=DATEVALUE("25/11/2020")),0,IF(Resumo!$C$19="PF",IF(Q283&lt;360,0.0082%*Q283,3%),IF(Q283&lt;360,0.0041%*Q283,1.5%)))</f>
        <v>1.4999999999999999E-2</v>
      </c>
      <c r="S283" s="172">
        <f t="shared" ca="1" si="51"/>
        <v>12.523370473537605</v>
      </c>
      <c r="W283" s="216">
        <f t="shared" ca="1" si="58"/>
        <v>2255.2854533867467</v>
      </c>
    </row>
    <row r="284" spans="2:23">
      <c r="B284" s="41">
        <f t="shared" si="52"/>
        <v>262</v>
      </c>
      <c r="C284" s="164">
        <f t="shared" si="53"/>
        <v>52732</v>
      </c>
      <c r="D284" s="42">
        <f t="shared" ca="1" si="48"/>
        <v>1152.9860106213323</v>
      </c>
      <c r="E284" s="42">
        <f t="shared" ca="1" si="59"/>
        <v>1102.2994427654144</v>
      </c>
      <c r="F284" s="42">
        <f ca="1">IF(B284&lt;=$D$16,F283*(1+$D$13)^((C284-C283)/_xlfn.DAYS(EDATE(C283,1),C283)),F283-D284)+IF(B284&lt;=$D$16,F283*Resumo!$F$12,0)+IF(B284&lt;=$D$16,$D$15*Resumo!$F$13,0)+IF(B284&lt;=$D$16,25,0)-IF(AND($D$16&gt;3,B284&lt;=$D$16),J284,0)</f>
        <v>160949.87321958668</v>
      </c>
      <c r="G284" s="42">
        <f ca="1">IF(AND(B284&lt;&gt;"",K284&lt;&gt;$D$17,$D$16&gt;3),F284*Resumo!$F$12,IF(AND(B284&lt;&gt;"",K284&lt;&gt;$D$17,B284&gt;$D$16),F284*Resumo!$F$12,0))</f>
        <v>33.799473376113205</v>
      </c>
      <c r="H284" s="42">
        <f>IF(AND(B284&lt;&gt;"",K284&lt;&gt;$D$17,$D$16&gt;3,$B284&lt;=$D$16),$D$15*Resumo!$F$13,IF(AND(B284&lt;&gt;"",K284&lt;&gt;$D$17,B284&gt;$D$16),$D$15*Resumo!$F$13,0))</f>
        <v>34.369999999999997</v>
      </c>
      <c r="I284" s="42">
        <f>IF(AND(B284&lt;&gt;"",K284&lt;&gt;$D$17,$D$16&gt;3,$B284&lt;=$D$16),Resumo!$F$11,IF(AND(B284&lt;&gt;"",K284&lt;&gt;$D$17,B284&gt;$D$16),Resumo!$F$11,0))</f>
        <v>25</v>
      </c>
      <c r="J284" s="42">
        <f t="shared" ca="1" si="54"/>
        <v>2348.4549267628599</v>
      </c>
      <c r="K284" s="39" t="str">
        <f>IF(B284&lt;&gt;"",VLOOKUP(MONTH(C284),Sheet2!$F$1:$G$12,2,0),"")</f>
        <v>Maio</v>
      </c>
      <c r="L284" s="200">
        <f t="shared" ca="1" si="55"/>
        <v>0</v>
      </c>
      <c r="M284" s="40">
        <f t="shared" ca="1" si="56"/>
        <v>2255.2854533867467</v>
      </c>
      <c r="N284" s="40">
        <f t="shared" ca="1" si="57"/>
        <v>2348.4549267628599</v>
      </c>
      <c r="O284" s="40"/>
      <c r="P284" s="20">
        <f t="shared" ca="1" si="49"/>
        <v>834.89136490250701</v>
      </c>
      <c r="Q284" s="1">
        <f t="shared" si="50"/>
        <v>7985</v>
      </c>
      <c r="R284" s="171">
        <f>IF(AND($J$2&gt;=DATEVALUE("03/04/2020"),$J$2&lt;=DATEVALUE("25/11/2020")),0,IF(Resumo!$C$19="PF",IF(Q284&lt;360,0.0082%*Q284,3%),IF(Q284&lt;360,0.0041%*Q284,1.5%)))</f>
        <v>1.4999999999999999E-2</v>
      </c>
      <c r="S284" s="172">
        <f t="shared" ca="1" si="51"/>
        <v>12.523370473537605</v>
      </c>
      <c r="W284" s="216">
        <f t="shared" ca="1" si="58"/>
        <v>2255.2854533867467</v>
      </c>
    </row>
    <row r="285" spans="2:23">
      <c r="B285" s="37">
        <f t="shared" si="52"/>
        <v>263</v>
      </c>
      <c r="C285" s="163">
        <f t="shared" si="53"/>
        <v>52763</v>
      </c>
      <c r="D285" s="38">
        <f t="shared" ca="1" si="48"/>
        <v>1160.8263154935573</v>
      </c>
      <c r="E285" s="38">
        <f t="shared" ca="1" si="59"/>
        <v>1094.4591378931893</v>
      </c>
      <c r="F285" s="38">
        <f ca="1">IF(B285&lt;=$D$16,F284*(1+$D$13)^((C285-C284)/_xlfn.DAYS(EDATE(C284,1),C284)),F284-D285)+IF(B285&lt;=$D$16,F284*Resumo!$F$12,0)+IF(B285&lt;=$D$16,$D$15*Resumo!$F$13,0)+IF(B285&lt;=$D$16,25,0)-IF(AND($D$16&gt;3,B285&lt;=$D$16),J285,0)</f>
        <v>159789.04690409312</v>
      </c>
      <c r="G285" s="38">
        <f ca="1">IF(AND(B285&lt;&gt;"",K285&lt;&gt;$D$17,$D$16&gt;3),F285*Resumo!$F$12,IF(AND(B285&lt;&gt;"",K285&lt;&gt;$D$17,B285&gt;$D$16),F285*Resumo!$F$12,0))</f>
        <v>33.555699849859558</v>
      </c>
      <c r="H285" s="38">
        <f>IF(AND(B285&lt;&gt;"",K285&lt;&gt;$D$17,$D$16&gt;3,$B285&lt;=$D$16),$D$15*Resumo!$F$13,IF(AND(B285&lt;&gt;"",K285&lt;&gt;$D$17,B285&gt;$D$16),$D$15*Resumo!$F$13,0))</f>
        <v>34.369999999999997</v>
      </c>
      <c r="I285" s="38">
        <f>IF(AND(B285&lt;&gt;"",K285&lt;&gt;$D$17,$D$16&gt;3,$B285&lt;=$D$16),Resumo!$F$11,IF(AND(B285&lt;&gt;"",K285&lt;&gt;$D$17,B285&gt;$D$16),Resumo!$F$11,0))</f>
        <v>25</v>
      </c>
      <c r="J285" s="38">
        <f t="shared" ca="1" si="54"/>
        <v>2348.2111532366062</v>
      </c>
      <c r="K285" s="39" t="str">
        <f>IF(B285&lt;&gt;"",VLOOKUP(MONTH(C285),Sheet2!$F$1:$G$12,2,0),"")</f>
        <v>Junho</v>
      </c>
      <c r="L285" s="200">
        <f t="shared" ca="1" si="55"/>
        <v>0</v>
      </c>
      <c r="M285" s="40">
        <f t="shared" ca="1" si="56"/>
        <v>2255.2854533867467</v>
      </c>
      <c r="N285" s="40">
        <f t="shared" ca="1" si="57"/>
        <v>2348.2111532366062</v>
      </c>
      <c r="O285" s="40"/>
      <c r="P285" s="20">
        <f t="shared" ca="1" si="49"/>
        <v>834.89136490250701</v>
      </c>
      <c r="Q285" s="1">
        <f t="shared" si="50"/>
        <v>8016</v>
      </c>
      <c r="R285" s="171">
        <f>IF(AND($J$2&gt;=DATEVALUE("03/04/2020"),$J$2&lt;=DATEVALUE("25/11/2020")),0,IF(Resumo!$C$19="PF",IF(Q285&lt;360,0.0082%*Q285,3%),IF(Q285&lt;360,0.0041%*Q285,1.5%)))</f>
        <v>1.4999999999999999E-2</v>
      </c>
      <c r="S285" s="172">
        <f t="shared" ca="1" si="51"/>
        <v>12.523370473537605</v>
      </c>
      <c r="W285" s="216">
        <f t="shared" ca="1" si="58"/>
        <v>2255.2854533867467</v>
      </c>
    </row>
    <row r="286" spans="2:23">
      <c r="B286" s="41">
        <f t="shared" si="52"/>
        <v>264</v>
      </c>
      <c r="C286" s="164">
        <f t="shared" si="53"/>
        <v>52793</v>
      </c>
      <c r="D286" s="42">
        <f t="shared" ca="1" si="48"/>
        <v>1168.7199344389135</v>
      </c>
      <c r="E286" s="42">
        <f t="shared" ca="1" si="59"/>
        <v>1086.5655189478332</v>
      </c>
      <c r="F286" s="42">
        <f ca="1">IF(B286&lt;=$D$16,F285*(1+$D$13)^((C286-C285)/_xlfn.DAYS(EDATE(C285,1),C285)),F285-D286)+IF(B286&lt;=$D$16,F285*Resumo!$F$12,0)+IF(B286&lt;=$D$16,$D$15*Resumo!$F$13,0)+IF(B286&lt;=$D$16,25,0)-IF(AND($D$16&gt;3,B286&lt;=$D$16),J286,0)</f>
        <v>158620.32696965421</v>
      </c>
      <c r="G286" s="42">
        <f ca="1">IF(AND(B286&lt;&gt;"",K286&lt;&gt;$D$17,$D$16&gt;3),F286*Resumo!$F$12,IF(AND(B286&lt;&gt;"",K286&lt;&gt;$D$17,B286&gt;$D$16),F286*Resumo!$F$12,0))</f>
        <v>33.310268663627383</v>
      </c>
      <c r="H286" s="42">
        <f>IF(AND(B286&lt;&gt;"",K286&lt;&gt;$D$17,$D$16&gt;3,$B286&lt;=$D$16),$D$15*Resumo!$F$13,IF(AND(B286&lt;&gt;"",K286&lt;&gt;$D$17,B286&gt;$D$16),$D$15*Resumo!$F$13,0))</f>
        <v>34.369999999999997</v>
      </c>
      <c r="I286" s="42">
        <f>IF(AND(B286&lt;&gt;"",K286&lt;&gt;$D$17,$D$16&gt;3,$B286&lt;=$D$16),Resumo!$F$11,IF(AND(B286&lt;&gt;"",K286&lt;&gt;$D$17,B286&gt;$D$16),Resumo!$F$11,0))</f>
        <v>25</v>
      </c>
      <c r="J286" s="42">
        <f t="shared" ca="1" si="54"/>
        <v>2347.9657220503741</v>
      </c>
      <c r="K286" s="39" t="str">
        <f>IF(B286&lt;&gt;"",VLOOKUP(MONTH(C286),Sheet2!$F$1:$G$12,2,0),"")</f>
        <v>Julho</v>
      </c>
      <c r="L286" s="200">
        <f t="shared" ca="1" si="55"/>
        <v>0</v>
      </c>
      <c r="M286" s="40">
        <f t="shared" ca="1" si="56"/>
        <v>2255.2854533867467</v>
      </c>
      <c r="N286" s="40">
        <f t="shared" ca="1" si="57"/>
        <v>2347.9657220503741</v>
      </c>
      <c r="O286" s="40"/>
      <c r="P286" s="20">
        <f t="shared" ca="1" si="49"/>
        <v>834.89136490250701</v>
      </c>
      <c r="Q286" s="1">
        <f t="shared" si="50"/>
        <v>8046</v>
      </c>
      <c r="R286" s="171">
        <f>IF(AND($J$2&gt;=DATEVALUE("03/04/2020"),$J$2&lt;=DATEVALUE("25/11/2020")),0,IF(Resumo!$C$19="PF",IF(Q286&lt;360,0.0082%*Q286,3%),IF(Q286&lt;360,0.0041%*Q286,1.5%)))</f>
        <v>1.4999999999999999E-2</v>
      </c>
      <c r="S286" s="172">
        <f t="shared" ca="1" si="51"/>
        <v>12.523370473537605</v>
      </c>
      <c r="W286" s="216">
        <f t="shared" ca="1" si="58"/>
        <v>2255.2854533867467</v>
      </c>
    </row>
    <row r="287" spans="2:23">
      <c r="B287" s="37">
        <f t="shared" si="52"/>
        <v>265</v>
      </c>
      <c r="C287" s="163">
        <f t="shared" si="53"/>
        <v>52824</v>
      </c>
      <c r="D287" s="38">
        <f t="shared" ca="1" si="48"/>
        <v>1176.6672299930981</v>
      </c>
      <c r="E287" s="38">
        <f t="shared" ca="1" si="59"/>
        <v>1078.6182233936486</v>
      </c>
      <c r="F287" s="38">
        <f ca="1">IF(B287&lt;=$D$16,F286*(1+$D$13)^((C287-C286)/_xlfn.DAYS(EDATE(C286,1),C286)),F286-D287)+IF(B287&lt;=$D$16,F286*Resumo!$F$12,0)+IF(B287&lt;=$D$16,$D$15*Resumo!$F$13,0)+IF(B287&lt;=$D$16,25,0)-IF(AND($D$16&gt;3,B287&lt;=$D$16),J287,0)</f>
        <v>157443.65973966112</v>
      </c>
      <c r="G287" s="38">
        <f ca="1">IF(AND(B287&lt;&gt;"",K287&lt;&gt;$D$17,$D$16&gt;3),F287*Resumo!$F$12,IF(AND(B287&lt;&gt;"",K287&lt;&gt;$D$17,B287&gt;$D$16),F287*Resumo!$F$12,0))</f>
        <v>33.063168545328836</v>
      </c>
      <c r="H287" s="38">
        <f>IF(AND(B287&lt;&gt;"",K287&lt;&gt;$D$17,$D$16&gt;3,$B287&lt;=$D$16),$D$15*Resumo!$F$13,IF(AND(B287&lt;&gt;"",K287&lt;&gt;$D$17,B287&gt;$D$16),$D$15*Resumo!$F$13,0))</f>
        <v>34.369999999999997</v>
      </c>
      <c r="I287" s="38">
        <f>IF(AND(B287&lt;&gt;"",K287&lt;&gt;$D$17,$D$16&gt;3,$B287&lt;=$D$16),Resumo!$F$11,IF(AND(B287&lt;&gt;"",K287&lt;&gt;$D$17,B287&gt;$D$16),Resumo!$F$11,0))</f>
        <v>25</v>
      </c>
      <c r="J287" s="38">
        <f t="shared" ca="1" si="54"/>
        <v>2347.7186219320756</v>
      </c>
      <c r="K287" s="39" t="str">
        <f>IF(B287&lt;&gt;"",VLOOKUP(MONTH(C287),Sheet2!$F$1:$G$12,2,0),"")</f>
        <v>Agosto</v>
      </c>
      <c r="L287" s="200">
        <f t="shared" ca="1" si="55"/>
        <v>0</v>
      </c>
      <c r="M287" s="40">
        <f t="shared" ca="1" si="56"/>
        <v>2255.2854533867467</v>
      </c>
      <c r="N287" s="40">
        <f t="shared" ca="1" si="57"/>
        <v>2347.7186219320756</v>
      </c>
      <c r="O287" s="40"/>
      <c r="P287" s="20">
        <f t="shared" ca="1" si="49"/>
        <v>834.89136490250701</v>
      </c>
      <c r="Q287" s="1">
        <f t="shared" si="50"/>
        <v>8077</v>
      </c>
      <c r="R287" s="171">
        <f>IF(AND($J$2&gt;=DATEVALUE("03/04/2020"),$J$2&lt;=DATEVALUE("25/11/2020")),0,IF(Resumo!$C$19="PF",IF(Q287&lt;360,0.0082%*Q287,3%),IF(Q287&lt;360,0.0041%*Q287,1.5%)))</f>
        <v>1.4999999999999999E-2</v>
      </c>
      <c r="S287" s="172">
        <f t="shared" ca="1" si="51"/>
        <v>12.523370473537605</v>
      </c>
      <c r="W287" s="216">
        <f t="shared" ca="1" si="58"/>
        <v>2255.2854533867467</v>
      </c>
    </row>
    <row r="288" spans="2:23">
      <c r="B288" s="41">
        <f t="shared" si="52"/>
        <v>266</v>
      </c>
      <c r="C288" s="164">
        <f t="shared" si="53"/>
        <v>52855</v>
      </c>
      <c r="D288" s="42">
        <f t="shared" ca="1" si="48"/>
        <v>1184.668567157051</v>
      </c>
      <c r="E288" s="42">
        <f t="shared" ca="1" si="59"/>
        <v>1070.6168862296956</v>
      </c>
      <c r="F288" s="42">
        <f ca="1">IF(B288&lt;=$D$16,F287*(1+$D$13)^((C288-C287)/_xlfn.DAYS(EDATE(C287,1),C287)),F287-D288)+IF(B288&lt;=$D$16,F287*Resumo!$F$12,0)+IF(B288&lt;=$D$16,$D$15*Resumo!$F$13,0)+IF(B288&lt;=$D$16,25,0)-IF(AND($D$16&gt;3,B288&lt;=$D$16),J288,0)</f>
        <v>156258.99117250406</v>
      </c>
      <c r="G288" s="42">
        <f ca="1">IF(AND(B288&lt;&gt;"",K288&lt;&gt;$D$17,$D$16&gt;3),F288*Resumo!$F$12,IF(AND(B288&lt;&gt;"",K288&lt;&gt;$D$17,B288&gt;$D$16),F288*Resumo!$F$12,0))</f>
        <v>32.814388146225852</v>
      </c>
      <c r="H288" s="42">
        <f>IF(AND(B288&lt;&gt;"",K288&lt;&gt;$D$17,$D$16&gt;3,$B288&lt;=$D$16),$D$15*Resumo!$F$13,IF(AND(B288&lt;&gt;"",K288&lt;&gt;$D$17,B288&gt;$D$16),$D$15*Resumo!$F$13,0))</f>
        <v>34.369999999999997</v>
      </c>
      <c r="I288" s="42">
        <f>IF(AND(B288&lt;&gt;"",K288&lt;&gt;$D$17,$D$16&gt;3,$B288&lt;=$D$16),Resumo!$F$11,IF(AND(B288&lt;&gt;"",K288&lt;&gt;$D$17,B288&gt;$D$16),Resumo!$F$11,0))</f>
        <v>25</v>
      </c>
      <c r="J288" s="42">
        <f t="shared" ca="1" si="54"/>
        <v>2347.4698415329726</v>
      </c>
      <c r="K288" s="39" t="str">
        <f>IF(B288&lt;&gt;"",VLOOKUP(MONTH(C288),Sheet2!$F$1:$G$12,2,0),"")</f>
        <v>Setembro</v>
      </c>
      <c r="L288" s="200">
        <f t="shared" ca="1" si="55"/>
        <v>0</v>
      </c>
      <c r="M288" s="40">
        <f t="shared" ca="1" si="56"/>
        <v>2255.2854533867467</v>
      </c>
      <c r="N288" s="40">
        <f t="shared" ca="1" si="57"/>
        <v>2347.4698415329726</v>
      </c>
      <c r="O288" s="40"/>
      <c r="P288" s="20">
        <f t="shared" ca="1" si="49"/>
        <v>834.89136490250701</v>
      </c>
      <c r="Q288" s="1">
        <f t="shared" si="50"/>
        <v>8108</v>
      </c>
      <c r="R288" s="171">
        <f>IF(AND($J$2&gt;=DATEVALUE("03/04/2020"),$J$2&lt;=DATEVALUE("25/11/2020")),0,IF(Resumo!$C$19="PF",IF(Q288&lt;360,0.0082%*Q288,3%),IF(Q288&lt;360,0.0041%*Q288,1.5%)))</f>
        <v>1.4999999999999999E-2</v>
      </c>
      <c r="S288" s="172">
        <f t="shared" ca="1" si="51"/>
        <v>12.523370473537605</v>
      </c>
      <c r="W288" s="216">
        <f t="shared" ca="1" si="58"/>
        <v>2255.2854533867467</v>
      </c>
    </row>
    <row r="289" spans="2:23">
      <c r="B289" s="37">
        <f t="shared" si="52"/>
        <v>267</v>
      </c>
      <c r="C289" s="163">
        <f t="shared" si="53"/>
        <v>52885</v>
      </c>
      <c r="D289" s="38">
        <f t="shared" ca="1" si="48"/>
        <v>1192.7243134137191</v>
      </c>
      <c r="E289" s="38">
        <f t="shared" ca="1" si="59"/>
        <v>1062.5611399730276</v>
      </c>
      <c r="F289" s="38">
        <f ca="1">IF(B289&lt;=$D$16,F288*(1+$D$13)^((C289-C288)/_xlfn.DAYS(EDATE(C288,1),C288)),F288-D289)+IF(B289&lt;=$D$16,F288*Resumo!$F$12,0)+IF(B289&lt;=$D$16,$D$15*Resumo!$F$13,0)+IF(B289&lt;=$D$16,25,0)-IF(AND($D$16&gt;3,B289&lt;=$D$16),J289,0)</f>
        <v>155066.26685909033</v>
      </c>
      <c r="G289" s="38">
        <f ca="1">IF(AND(B289&lt;&gt;"",K289&lt;&gt;$D$17,$D$16&gt;3),F289*Resumo!$F$12,IF(AND(B289&lt;&gt;"",K289&lt;&gt;$D$17,B289&gt;$D$16),F289*Resumo!$F$12,0))</f>
        <v>32.563916040408969</v>
      </c>
      <c r="H289" s="38">
        <f>IF(AND(B289&lt;&gt;"",K289&lt;&gt;$D$17,$D$16&gt;3,$B289&lt;=$D$16),$D$15*Resumo!$F$13,IF(AND(B289&lt;&gt;"",K289&lt;&gt;$D$17,B289&gt;$D$16),$D$15*Resumo!$F$13,0))</f>
        <v>34.369999999999997</v>
      </c>
      <c r="I289" s="38">
        <f>IF(AND(B289&lt;&gt;"",K289&lt;&gt;$D$17,$D$16&gt;3,$B289&lt;=$D$16),Resumo!$F$11,IF(AND(B289&lt;&gt;"",K289&lt;&gt;$D$17,B289&gt;$D$16),Resumo!$F$11,0))</f>
        <v>25</v>
      </c>
      <c r="J289" s="38">
        <f t="shared" ca="1" si="54"/>
        <v>2347.2193694271555</v>
      </c>
      <c r="K289" s="39" t="str">
        <f>IF(B289&lt;&gt;"",VLOOKUP(MONTH(C289),Sheet2!$F$1:$G$12,2,0),"")</f>
        <v>Outubro</v>
      </c>
      <c r="L289" s="200">
        <f t="shared" ca="1" si="55"/>
        <v>0</v>
      </c>
      <c r="M289" s="40">
        <f t="shared" ca="1" si="56"/>
        <v>2255.2854533867467</v>
      </c>
      <c r="N289" s="40">
        <f t="shared" ca="1" si="57"/>
        <v>2347.2193694271555</v>
      </c>
      <c r="O289" s="40"/>
      <c r="P289" s="20">
        <f t="shared" ca="1" si="49"/>
        <v>834.89136490250701</v>
      </c>
      <c r="Q289" s="1">
        <f t="shared" si="50"/>
        <v>8138</v>
      </c>
      <c r="R289" s="171">
        <f>IF(AND($J$2&gt;=DATEVALUE("03/04/2020"),$J$2&lt;=DATEVALUE("25/11/2020")),0,IF(Resumo!$C$19="PF",IF(Q289&lt;360,0.0082%*Q289,3%),IF(Q289&lt;360,0.0041%*Q289,1.5%)))</f>
        <v>1.4999999999999999E-2</v>
      </c>
      <c r="S289" s="172">
        <f t="shared" ca="1" si="51"/>
        <v>12.523370473537605</v>
      </c>
      <c r="W289" s="216">
        <f t="shared" ca="1" si="58"/>
        <v>2255.2854533867467</v>
      </c>
    </row>
    <row r="290" spans="2:23">
      <c r="B290" s="41">
        <f t="shared" si="52"/>
        <v>268</v>
      </c>
      <c r="C290" s="164">
        <f t="shared" si="53"/>
        <v>52916</v>
      </c>
      <c r="D290" s="42">
        <f t="shared" ca="1" si="48"/>
        <v>1200.8348387449325</v>
      </c>
      <c r="E290" s="42">
        <f t="shared" ca="1" si="59"/>
        <v>1054.4506146418141</v>
      </c>
      <c r="F290" s="42">
        <f ca="1">IF(B290&lt;=$D$16,F289*(1+$D$13)^((C290-C289)/_xlfn.DAYS(EDATE(C289,1),C289)),F289-D290)+IF(B290&lt;=$D$16,F289*Resumo!$F$12,0)+IF(B290&lt;=$D$16,$D$15*Resumo!$F$13,0)+IF(B290&lt;=$D$16,25,0)-IF(AND($D$16&gt;3,B290&lt;=$D$16),J290,0)</f>
        <v>153865.43202034541</v>
      </c>
      <c r="G290" s="42">
        <f ca="1">IF(AND(B290&lt;&gt;"",K290&lt;&gt;$D$17,$D$16&gt;3),F290*Resumo!$F$12,IF(AND(B290&lt;&gt;"",K290&lt;&gt;$D$17,B290&gt;$D$16),F290*Resumo!$F$12,0))</f>
        <v>32.311740724272539</v>
      </c>
      <c r="H290" s="42">
        <f>IF(AND(B290&lt;&gt;"",K290&lt;&gt;$D$17,$D$16&gt;3,$B290&lt;=$D$16),$D$15*Resumo!$F$13,IF(AND(B290&lt;&gt;"",K290&lt;&gt;$D$17,B290&gt;$D$16),$D$15*Resumo!$F$13,0))</f>
        <v>34.369999999999997</v>
      </c>
      <c r="I290" s="42">
        <f>IF(AND(B290&lt;&gt;"",K290&lt;&gt;$D$17,$D$16&gt;3,$B290&lt;=$D$16),Resumo!$F$11,IF(AND(B290&lt;&gt;"",K290&lt;&gt;$D$17,B290&gt;$D$16),Resumo!$F$11,0))</f>
        <v>25</v>
      </c>
      <c r="J290" s="42">
        <f t="shared" ca="1" si="54"/>
        <v>2346.9671941110191</v>
      </c>
      <c r="K290" s="39" t="str">
        <f>IF(B290&lt;&gt;"",VLOOKUP(MONTH(C290),Sheet2!$F$1:$G$12,2,0),"")</f>
        <v>Novembro</v>
      </c>
      <c r="L290" s="200">
        <f t="shared" ca="1" si="55"/>
        <v>0</v>
      </c>
      <c r="M290" s="40">
        <f t="shared" ca="1" si="56"/>
        <v>2255.2854533867467</v>
      </c>
      <c r="N290" s="40">
        <f t="shared" ca="1" si="57"/>
        <v>2346.9671941110191</v>
      </c>
      <c r="O290" s="40"/>
      <c r="P290" s="20">
        <f t="shared" ca="1" si="49"/>
        <v>834.89136490250701</v>
      </c>
      <c r="Q290" s="1">
        <f t="shared" si="50"/>
        <v>8169</v>
      </c>
      <c r="R290" s="171">
        <f>IF(AND($J$2&gt;=DATEVALUE("03/04/2020"),$J$2&lt;=DATEVALUE("25/11/2020")),0,IF(Resumo!$C$19="PF",IF(Q290&lt;360,0.0082%*Q290,3%),IF(Q290&lt;360,0.0041%*Q290,1.5%)))</f>
        <v>1.4999999999999999E-2</v>
      </c>
      <c r="S290" s="172">
        <f t="shared" ca="1" si="51"/>
        <v>12.523370473537605</v>
      </c>
      <c r="W290" s="216">
        <f t="shared" ca="1" si="58"/>
        <v>2255.2854533867467</v>
      </c>
    </row>
    <row r="291" spans="2:23">
      <c r="B291" s="37">
        <f t="shared" si="52"/>
        <v>269</v>
      </c>
      <c r="C291" s="163">
        <f t="shared" si="53"/>
        <v>52946</v>
      </c>
      <c r="D291" s="38">
        <f t="shared" ca="1" si="48"/>
        <v>1209.0005156483978</v>
      </c>
      <c r="E291" s="38">
        <f t="shared" ca="1" si="59"/>
        <v>1046.2849377383488</v>
      </c>
      <c r="F291" s="38">
        <f ca="1">IF(B291&lt;=$D$16,F290*(1+$D$13)^((C291-C290)/_xlfn.DAYS(EDATE(C290,1),C290)),F290-D291)+IF(B291&lt;=$D$16,F290*Resumo!$F$12,0)+IF(B291&lt;=$D$16,$D$15*Resumo!$F$13,0)+IF(B291&lt;=$D$16,25,0)-IF(AND($D$16&gt;3,B291&lt;=$D$16),J291,0)</f>
        <v>152656.43150469702</v>
      </c>
      <c r="G291" s="38">
        <f ca="1">IF(AND(B291&lt;&gt;"",K291&lt;&gt;$D$17,$D$16&gt;3),F291*Resumo!$F$12,IF(AND(B291&lt;&gt;"",K291&lt;&gt;$D$17,B291&gt;$D$16),F291*Resumo!$F$12,0))</f>
        <v>32.057850615986375</v>
      </c>
      <c r="H291" s="38">
        <f>IF(AND(B291&lt;&gt;"",K291&lt;&gt;$D$17,$D$16&gt;3,$B291&lt;=$D$16),$D$15*Resumo!$F$13,IF(AND(B291&lt;&gt;"",K291&lt;&gt;$D$17,B291&gt;$D$16),$D$15*Resumo!$F$13,0))</f>
        <v>34.369999999999997</v>
      </c>
      <c r="I291" s="38">
        <f>IF(AND(B291&lt;&gt;"",K291&lt;&gt;$D$17,$D$16&gt;3,$B291&lt;=$D$16),Resumo!$F$11,IF(AND(B291&lt;&gt;"",K291&lt;&gt;$D$17,B291&gt;$D$16),Resumo!$F$11,0))</f>
        <v>25</v>
      </c>
      <c r="J291" s="38">
        <f t="shared" ca="1" si="54"/>
        <v>2346.7133040027329</v>
      </c>
      <c r="K291" s="39" t="str">
        <f>IF(B291&lt;&gt;"",VLOOKUP(MONTH(C291),Sheet2!$F$1:$G$12,2,0),"")</f>
        <v>Dezembro</v>
      </c>
      <c r="L291" s="200">
        <f t="shared" ca="1" si="55"/>
        <v>0</v>
      </c>
      <c r="M291" s="40">
        <f t="shared" ca="1" si="56"/>
        <v>2255.2854533867467</v>
      </c>
      <c r="N291" s="40">
        <f t="shared" ca="1" si="57"/>
        <v>2346.7133040027329</v>
      </c>
      <c r="O291" s="40"/>
      <c r="P291" s="20">
        <f t="shared" ca="1" si="49"/>
        <v>834.89136490250701</v>
      </c>
      <c r="Q291" s="1">
        <f t="shared" si="50"/>
        <v>8199</v>
      </c>
      <c r="R291" s="171">
        <f>IF(AND($J$2&gt;=DATEVALUE("03/04/2020"),$J$2&lt;=DATEVALUE("25/11/2020")),0,IF(Resumo!$C$19="PF",IF(Q291&lt;360,0.0082%*Q291,3%),IF(Q291&lt;360,0.0041%*Q291,1.5%)))</f>
        <v>1.4999999999999999E-2</v>
      </c>
      <c r="S291" s="172">
        <f t="shared" ca="1" si="51"/>
        <v>12.523370473537605</v>
      </c>
      <c r="W291" s="216">
        <f t="shared" ca="1" si="58"/>
        <v>2255.2854533867467</v>
      </c>
    </row>
    <row r="292" spans="2:23">
      <c r="B292" s="41">
        <f t="shared" si="52"/>
        <v>270</v>
      </c>
      <c r="C292" s="164">
        <f t="shared" si="53"/>
        <v>52977</v>
      </c>
      <c r="D292" s="42">
        <f t="shared" ca="1" si="48"/>
        <v>1217.221719154807</v>
      </c>
      <c r="E292" s="42">
        <f t="shared" ca="1" si="59"/>
        <v>1038.0637342319396</v>
      </c>
      <c r="F292" s="42">
        <f ca="1">IF(B292&lt;=$D$16,F291*(1+$D$13)^((C292-C291)/_xlfn.DAYS(EDATE(C291,1),C291)),F291-D292)+IF(B292&lt;=$D$16,F291*Resumo!$F$12,0)+IF(B292&lt;=$D$16,$D$15*Resumo!$F$13,0)+IF(B292&lt;=$D$16,25,0)-IF(AND($D$16&gt;3,B292&lt;=$D$16),J292,0)</f>
        <v>151439.20978554222</v>
      </c>
      <c r="G292" s="42">
        <f ca="1">IF(AND(B292&lt;&gt;"",K292&lt;&gt;$D$17,$D$16&gt;3),F292*Resumo!$F$12,IF(AND(B292&lt;&gt;"",K292&lt;&gt;$D$17,B292&gt;$D$16),F292*Resumo!$F$12,0))</f>
        <v>31.802234054963868</v>
      </c>
      <c r="H292" s="42">
        <f>IF(AND(B292&lt;&gt;"",K292&lt;&gt;$D$17,$D$16&gt;3,$B292&lt;=$D$16),$D$15*Resumo!$F$13,IF(AND(B292&lt;&gt;"",K292&lt;&gt;$D$17,B292&gt;$D$16),$D$15*Resumo!$F$13,0))</f>
        <v>34.369999999999997</v>
      </c>
      <c r="I292" s="42">
        <f>IF(AND(B292&lt;&gt;"",K292&lt;&gt;$D$17,$D$16&gt;3,$B292&lt;=$D$16),Resumo!$F$11,IF(AND(B292&lt;&gt;"",K292&lt;&gt;$D$17,B292&gt;$D$16),Resumo!$F$11,0))</f>
        <v>25</v>
      </c>
      <c r="J292" s="42">
        <f t="shared" ca="1" si="54"/>
        <v>2346.4576874417103</v>
      </c>
      <c r="K292" s="39" t="str">
        <f>IF(B292&lt;&gt;"",VLOOKUP(MONTH(C292),Sheet2!$F$1:$G$12,2,0),"")</f>
        <v>Janeiro</v>
      </c>
      <c r="L292" s="200">
        <f t="shared" ca="1" si="55"/>
        <v>0</v>
      </c>
      <c r="M292" s="40">
        <f t="shared" ca="1" si="56"/>
        <v>2255.2854533867467</v>
      </c>
      <c r="N292" s="40">
        <f t="shared" ca="1" si="57"/>
        <v>2346.4576874417103</v>
      </c>
      <c r="O292" s="40"/>
      <c r="P292" s="20">
        <f t="shared" ca="1" si="49"/>
        <v>834.89136490250701</v>
      </c>
      <c r="Q292" s="1">
        <f t="shared" si="50"/>
        <v>8230</v>
      </c>
      <c r="R292" s="171">
        <f>IF(AND($J$2&gt;=DATEVALUE("03/04/2020"),$J$2&lt;=DATEVALUE("25/11/2020")),0,IF(Resumo!$C$19="PF",IF(Q292&lt;360,0.0082%*Q292,3%),IF(Q292&lt;360,0.0041%*Q292,1.5%)))</f>
        <v>1.4999999999999999E-2</v>
      </c>
      <c r="S292" s="172">
        <f t="shared" ca="1" si="51"/>
        <v>12.523370473537605</v>
      </c>
      <c r="W292" s="216">
        <f t="shared" ca="1" si="58"/>
        <v>2255.2854533867467</v>
      </c>
    </row>
    <row r="293" spans="2:23">
      <c r="B293" s="37">
        <f t="shared" si="52"/>
        <v>271</v>
      </c>
      <c r="C293" s="163">
        <f t="shared" si="53"/>
        <v>53008</v>
      </c>
      <c r="D293" s="38">
        <f t="shared" ca="1" si="48"/>
        <v>1225.4988268450597</v>
      </c>
      <c r="E293" s="38">
        <f t="shared" ca="1" si="59"/>
        <v>1029.7866265416869</v>
      </c>
      <c r="F293" s="38">
        <f ca="1">IF(B293&lt;=$D$16,F292*(1+$D$13)^((C293-C292)/_xlfn.DAYS(EDATE(C292,1),C292)),F292-D293)+IF(B293&lt;=$D$16,F292*Resumo!$F$12,0)+IF(B293&lt;=$D$16,$D$15*Resumo!$F$13,0)+IF(B293&lt;=$D$16,25,0)-IF(AND($D$16&gt;3,B293&lt;=$D$16),J293,0)</f>
        <v>150213.71095869716</v>
      </c>
      <c r="G293" s="38">
        <f ca="1">IF(AND(B293&lt;&gt;"",K293&lt;&gt;$D$17,$D$16&gt;3),F293*Resumo!$F$12,IF(AND(B293&lt;&gt;"",K293&lt;&gt;$D$17,B293&gt;$D$16),F293*Resumo!$F$12,0))</f>
        <v>31.544879301326407</v>
      </c>
      <c r="H293" s="38">
        <f>IF(AND(B293&lt;&gt;"",K293&lt;&gt;$D$17,$D$16&gt;3,$B293&lt;=$D$16),$D$15*Resumo!$F$13,IF(AND(B293&lt;&gt;"",K293&lt;&gt;$D$17,B293&gt;$D$16),$D$15*Resumo!$F$13,0))</f>
        <v>34.369999999999997</v>
      </c>
      <c r="I293" s="38">
        <f>IF(AND(B293&lt;&gt;"",K293&lt;&gt;$D$17,$D$16&gt;3,$B293&lt;=$D$16),Resumo!$F$11,IF(AND(B293&lt;&gt;"",K293&lt;&gt;$D$17,B293&gt;$D$16),Resumo!$F$11,0))</f>
        <v>25</v>
      </c>
      <c r="J293" s="38">
        <f t="shared" ca="1" si="54"/>
        <v>2346.2003326880731</v>
      </c>
      <c r="K293" s="39" t="str">
        <f>IF(B293&lt;&gt;"",VLOOKUP(MONTH(C293),Sheet2!$F$1:$G$12,2,0),"")</f>
        <v>Fevereiro</v>
      </c>
      <c r="L293" s="200">
        <f t="shared" ca="1" si="55"/>
        <v>0</v>
      </c>
      <c r="M293" s="40">
        <f t="shared" ca="1" si="56"/>
        <v>2255.2854533867467</v>
      </c>
      <c r="N293" s="40">
        <f t="shared" ca="1" si="57"/>
        <v>2346.2003326880731</v>
      </c>
      <c r="O293" s="40"/>
      <c r="P293" s="20">
        <f t="shared" ca="1" si="49"/>
        <v>834.89136490250701</v>
      </c>
      <c r="Q293" s="1">
        <f t="shared" si="50"/>
        <v>8261</v>
      </c>
      <c r="R293" s="171">
        <f>IF(AND($J$2&gt;=DATEVALUE("03/04/2020"),$J$2&lt;=DATEVALUE("25/11/2020")),0,IF(Resumo!$C$19="PF",IF(Q293&lt;360,0.0082%*Q293,3%),IF(Q293&lt;360,0.0041%*Q293,1.5%)))</f>
        <v>1.4999999999999999E-2</v>
      </c>
      <c r="S293" s="172">
        <f t="shared" ca="1" si="51"/>
        <v>12.523370473537605</v>
      </c>
      <c r="W293" s="216">
        <f t="shared" ca="1" si="58"/>
        <v>2255.2854533867467</v>
      </c>
    </row>
    <row r="294" spans="2:23">
      <c r="B294" s="41">
        <f t="shared" si="52"/>
        <v>272</v>
      </c>
      <c r="C294" s="164">
        <f t="shared" si="53"/>
        <v>53036</v>
      </c>
      <c r="D294" s="42">
        <f t="shared" ca="1" si="48"/>
        <v>1233.8322188676061</v>
      </c>
      <c r="E294" s="42">
        <f t="shared" ca="1" si="59"/>
        <v>1021.4532345191407</v>
      </c>
      <c r="F294" s="42">
        <f ca="1">IF(B294&lt;=$D$16,F293*(1+$D$13)^((C294-C293)/_xlfn.DAYS(EDATE(C293,1),C293)),F293-D294)+IF(B294&lt;=$D$16,F293*Resumo!$F$12,0)+IF(B294&lt;=$D$16,$D$15*Resumo!$F$13,0)+IF(B294&lt;=$D$16,25,0)-IF(AND($D$16&gt;3,B294&lt;=$D$16),J294,0)</f>
        <v>148979.87873982955</v>
      </c>
      <c r="G294" s="42">
        <f ca="1">IF(AND(B294&lt;&gt;"",K294&lt;&gt;$D$17,$D$16&gt;3),F294*Resumo!$F$12,IF(AND(B294&lt;&gt;"",K294&lt;&gt;$D$17,B294&gt;$D$16),F294*Resumo!$F$12,0))</f>
        <v>31.285774535364208</v>
      </c>
      <c r="H294" s="42">
        <f>IF(AND(B294&lt;&gt;"",K294&lt;&gt;$D$17,$D$16&gt;3,$B294&lt;=$D$16),$D$15*Resumo!$F$13,IF(AND(B294&lt;&gt;"",K294&lt;&gt;$D$17,B294&gt;$D$16),$D$15*Resumo!$F$13,0))</f>
        <v>34.369999999999997</v>
      </c>
      <c r="I294" s="42">
        <f>IF(AND(B294&lt;&gt;"",K294&lt;&gt;$D$17,$D$16&gt;3,$B294&lt;=$D$16),Resumo!$F$11,IF(AND(B294&lt;&gt;"",K294&lt;&gt;$D$17,B294&gt;$D$16),Resumo!$F$11,0))</f>
        <v>25</v>
      </c>
      <c r="J294" s="42">
        <f t="shared" ca="1" si="54"/>
        <v>2345.9412279221106</v>
      </c>
      <c r="K294" s="39" t="str">
        <f>IF(B294&lt;&gt;"",VLOOKUP(MONTH(C294),Sheet2!$F$1:$G$12,2,0),"")</f>
        <v>Março</v>
      </c>
      <c r="L294" s="200">
        <f t="shared" ca="1" si="55"/>
        <v>0</v>
      </c>
      <c r="M294" s="40">
        <f t="shared" ca="1" si="56"/>
        <v>2255.2854533867467</v>
      </c>
      <c r="N294" s="40">
        <f t="shared" ca="1" si="57"/>
        <v>2345.9412279221106</v>
      </c>
      <c r="O294" s="40"/>
      <c r="P294" s="20">
        <f t="shared" ca="1" si="49"/>
        <v>834.89136490250701</v>
      </c>
      <c r="Q294" s="1">
        <f t="shared" si="50"/>
        <v>8289</v>
      </c>
      <c r="R294" s="171">
        <f>IF(AND($J$2&gt;=DATEVALUE("03/04/2020"),$J$2&lt;=DATEVALUE("25/11/2020")),0,IF(Resumo!$C$19="PF",IF(Q294&lt;360,0.0082%*Q294,3%),IF(Q294&lt;360,0.0041%*Q294,1.5%)))</f>
        <v>1.4999999999999999E-2</v>
      </c>
      <c r="S294" s="172">
        <f t="shared" ca="1" si="51"/>
        <v>12.523370473537605</v>
      </c>
      <c r="W294" s="216">
        <f t="shared" ca="1" si="58"/>
        <v>2255.2854533867467</v>
      </c>
    </row>
    <row r="295" spans="2:23">
      <c r="B295" s="37">
        <f t="shared" si="52"/>
        <v>273</v>
      </c>
      <c r="C295" s="163">
        <f t="shared" si="53"/>
        <v>53067</v>
      </c>
      <c r="D295" s="38">
        <f t="shared" ca="1" si="48"/>
        <v>1242.2222779559056</v>
      </c>
      <c r="E295" s="38">
        <f t="shared" ca="1" si="59"/>
        <v>1013.0631754308409</v>
      </c>
      <c r="F295" s="38">
        <f ca="1">IF(B295&lt;=$D$16,F294*(1+$D$13)^((C295-C294)/_xlfn.DAYS(EDATE(C294,1),C294)),F294-D295)+IF(B295&lt;=$D$16,F294*Resumo!$F$12,0)+IF(B295&lt;=$D$16,$D$15*Resumo!$F$13,0)+IF(B295&lt;=$D$16,25,0)-IF(AND($D$16&gt;3,B295&lt;=$D$16),J295,0)</f>
        <v>147737.65646187364</v>
      </c>
      <c r="G295" s="38">
        <f ca="1">IF(AND(B295&lt;&gt;"",K295&lt;&gt;$D$17,$D$16&gt;3),F295*Resumo!$F$12,IF(AND(B295&lt;&gt;"",K295&lt;&gt;$D$17,B295&gt;$D$16),F295*Resumo!$F$12,0))</f>
        <v>31.024907856993465</v>
      </c>
      <c r="H295" s="38">
        <f>IF(AND(B295&lt;&gt;"",K295&lt;&gt;$D$17,$D$16&gt;3,$B295&lt;=$D$16),$D$15*Resumo!$F$13,IF(AND(B295&lt;&gt;"",K295&lt;&gt;$D$17,B295&gt;$D$16),$D$15*Resumo!$F$13,0))</f>
        <v>34.369999999999997</v>
      </c>
      <c r="I295" s="38">
        <f>IF(AND(B295&lt;&gt;"",K295&lt;&gt;$D$17,$D$16&gt;3,$B295&lt;=$D$16),Resumo!$F$11,IF(AND(B295&lt;&gt;"",K295&lt;&gt;$D$17,B295&gt;$D$16),Resumo!$F$11,0))</f>
        <v>25</v>
      </c>
      <c r="J295" s="38">
        <f t="shared" ca="1" si="54"/>
        <v>2345.6803612437402</v>
      </c>
      <c r="K295" s="39" t="str">
        <f>IF(B295&lt;&gt;"",VLOOKUP(MONTH(C295),Sheet2!$F$1:$G$12,2,0),"")</f>
        <v>Abril</v>
      </c>
      <c r="L295" s="200">
        <f t="shared" ca="1" si="55"/>
        <v>0</v>
      </c>
      <c r="M295" s="40">
        <f t="shared" ca="1" si="56"/>
        <v>2255.2854533867467</v>
      </c>
      <c r="N295" s="40">
        <f t="shared" ca="1" si="57"/>
        <v>2345.6803612437402</v>
      </c>
      <c r="O295" s="40"/>
      <c r="P295" s="20">
        <f t="shared" ca="1" si="49"/>
        <v>834.89136490250701</v>
      </c>
      <c r="Q295" s="1">
        <f t="shared" si="50"/>
        <v>8320</v>
      </c>
      <c r="R295" s="171">
        <f>IF(AND($J$2&gt;=DATEVALUE("03/04/2020"),$J$2&lt;=DATEVALUE("25/11/2020")),0,IF(Resumo!$C$19="PF",IF(Q295&lt;360,0.0082%*Q295,3%),IF(Q295&lt;360,0.0041%*Q295,1.5%)))</f>
        <v>1.4999999999999999E-2</v>
      </c>
      <c r="S295" s="172">
        <f t="shared" ca="1" si="51"/>
        <v>12.523370473537605</v>
      </c>
      <c r="W295" s="216">
        <f t="shared" ca="1" si="58"/>
        <v>2255.2854533867467</v>
      </c>
    </row>
    <row r="296" spans="2:23">
      <c r="B296" s="41">
        <f t="shared" si="52"/>
        <v>274</v>
      </c>
      <c r="C296" s="164">
        <f t="shared" si="53"/>
        <v>53097</v>
      </c>
      <c r="D296" s="42">
        <f t="shared" ca="1" si="48"/>
        <v>1250.6693894460059</v>
      </c>
      <c r="E296" s="42">
        <f t="shared" ca="1" si="59"/>
        <v>1004.6160639407407</v>
      </c>
      <c r="F296" s="42">
        <f ca="1">IF(B296&lt;=$D$16,F295*(1+$D$13)^((C296-C295)/_xlfn.DAYS(EDATE(C295,1),C295)),F295-D296)+IF(B296&lt;=$D$16,F295*Resumo!$F$12,0)+IF(B296&lt;=$D$16,$D$15*Resumo!$F$13,0)+IF(B296&lt;=$D$16,25,0)-IF(AND($D$16&gt;3,B296&lt;=$D$16),J296,0)</f>
        <v>146486.98707242764</v>
      </c>
      <c r="G296" s="42">
        <f ca="1">IF(AND(B296&lt;&gt;"",K296&lt;&gt;$D$17,$D$16&gt;3),F296*Resumo!$F$12,IF(AND(B296&lt;&gt;"",K296&lt;&gt;$D$17,B296&gt;$D$16),F296*Resumo!$F$12,0))</f>
        <v>30.762267285209806</v>
      </c>
      <c r="H296" s="42">
        <f>IF(AND(B296&lt;&gt;"",K296&lt;&gt;$D$17,$D$16&gt;3,$B296&lt;=$D$16),$D$15*Resumo!$F$13,IF(AND(B296&lt;&gt;"",K296&lt;&gt;$D$17,B296&gt;$D$16),$D$15*Resumo!$F$13,0))</f>
        <v>34.369999999999997</v>
      </c>
      <c r="I296" s="42">
        <f>IF(AND(B296&lt;&gt;"",K296&lt;&gt;$D$17,$D$16&gt;3,$B296&lt;=$D$16),Resumo!$F$11,IF(AND(B296&lt;&gt;"",K296&lt;&gt;$D$17,B296&gt;$D$16),Resumo!$F$11,0))</f>
        <v>25</v>
      </c>
      <c r="J296" s="42">
        <f t="shared" ca="1" si="54"/>
        <v>2345.4177206719564</v>
      </c>
      <c r="K296" s="39" t="str">
        <f>IF(B296&lt;&gt;"",VLOOKUP(MONTH(C296),Sheet2!$F$1:$G$12,2,0),"")</f>
        <v>Maio</v>
      </c>
      <c r="L296" s="200">
        <f t="shared" ca="1" si="55"/>
        <v>0</v>
      </c>
      <c r="M296" s="40">
        <f t="shared" ca="1" si="56"/>
        <v>2255.2854533867467</v>
      </c>
      <c r="N296" s="40">
        <f t="shared" ca="1" si="57"/>
        <v>2345.4177206719564</v>
      </c>
      <c r="O296" s="40"/>
      <c r="P296" s="20">
        <f t="shared" ca="1" si="49"/>
        <v>834.89136490250701</v>
      </c>
      <c r="Q296" s="1">
        <f t="shared" si="50"/>
        <v>8350</v>
      </c>
      <c r="R296" s="171">
        <f>IF(AND($J$2&gt;=DATEVALUE("03/04/2020"),$J$2&lt;=DATEVALUE("25/11/2020")),0,IF(Resumo!$C$19="PF",IF(Q296&lt;360,0.0082%*Q296,3%),IF(Q296&lt;360,0.0041%*Q296,1.5%)))</f>
        <v>1.4999999999999999E-2</v>
      </c>
      <c r="S296" s="172">
        <f t="shared" ca="1" si="51"/>
        <v>12.523370473537605</v>
      </c>
      <c r="W296" s="216">
        <f t="shared" ca="1" si="58"/>
        <v>2255.2854533867467</v>
      </c>
    </row>
    <row r="297" spans="2:23">
      <c r="B297" s="37">
        <f t="shared" si="52"/>
        <v>275</v>
      </c>
      <c r="C297" s="163">
        <f t="shared" si="53"/>
        <v>53128</v>
      </c>
      <c r="D297" s="38">
        <f t="shared" ca="1" si="48"/>
        <v>1259.1739412942388</v>
      </c>
      <c r="E297" s="38">
        <f t="shared" ca="1" si="59"/>
        <v>996.11151209250795</v>
      </c>
      <c r="F297" s="38">
        <f ca="1">IF(B297&lt;=$D$16,F296*(1+$D$13)^((C297-C296)/_xlfn.DAYS(EDATE(C296,1),C296)),F296-D297)+IF(B297&lt;=$D$16,F296*Resumo!$F$12,0)+IF(B297&lt;=$D$16,$D$15*Resumo!$F$13,0)+IF(B297&lt;=$D$16,25,0)-IF(AND($D$16&gt;3,B297&lt;=$D$16),J297,0)</f>
        <v>145227.81313113341</v>
      </c>
      <c r="G297" s="38">
        <f ca="1">IF(AND(B297&lt;&gt;"",K297&lt;&gt;$D$17,$D$16&gt;3),F297*Resumo!$F$12,IF(AND(B297&lt;&gt;"",K297&lt;&gt;$D$17,B297&gt;$D$16),F297*Resumo!$F$12,0))</f>
        <v>30.497840757538018</v>
      </c>
      <c r="H297" s="38">
        <f>IF(AND(B297&lt;&gt;"",K297&lt;&gt;$D$17,$D$16&gt;3,$B297&lt;=$D$16),$D$15*Resumo!$F$13,IF(AND(B297&lt;&gt;"",K297&lt;&gt;$D$17,B297&gt;$D$16),$D$15*Resumo!$F$13,0))</f>
        <v>34.369999999999997</v>
      </c>
      <c r="I297" s="38">
        <f>IF(AND(B297&lt;&gt;"",K297&lt;&gt;$D$17,$D$16&gt;3,$B297&lt;=$D$16),Resumo!$F$11,IF(AND(B297&lt;&gt;"",K297&lt;&gt;$D$17,B297&gt;$D$16),Resumo!$F$11,0))</f>
        <v>25</v>
      </c>
      <c r="J297" s="38">
        <f t="shared" ca="1" si="54"/>
        <v>2345.1532941442847</v>
      </c>
      <c r="K297" s="39" t="str">
        <f>IF(B297&lt;&gt;"",VLOOKUP(MONTH(C297),Sheet2!$F$1:$G$12,2,0),"")</f>
        <v>Junho</v>
      </c>
      <c r="L297" s="200">
        <f t="shared" ca="1" si="55"/>
        <v>0</v>
      </c>
      <c r="M297" s="40">
        <f t="shared" ca="1" si="56"/>
        <v>2255.2854533867467</v>
      </c>
      <c r="N297" s="40">
        <f t="shared" ca="1" si="57"/>
        <v>2345.1532941442847</v>
      </c>
      <c r="O297" s="40"/>
      <c r="P297" s="20">
        <f t="shared" ca="1" si="49"/>
        <v>834.89136490250701</v>
      </c>
      <c r="Q297" s="1">
        <f t="shared" si="50"/>
        <v>8381</v>
      </c>
      <c r="R297" s="171">
        <f>IF(AND($J$2&gt;=DATEVALUE("03/04/2020"),$J$2&lt;=DATEVALUE("25/11/2020")),0,IF(Resumo!$C$19="PF",IF(Q297&lt;360,0.0082%*Q297,3%),IF(Q297&lt;360,0.0041%*Q297,1.5%)))</f>
        <v>1.4999999999999999E-2</v>
      </c>
      <c r="S297" s="172">
        <f t="shared" ca="1" si="51"/>
        <v>12.523370473537605</v>
      </c>
      <c r="W297" s="216">
        <f t="shared" ca="1" si="58"/>
        <v>2255.2854533867467</v>
      </c>
    </row>
    <row r="298" spans="2:23">
      <c r="B298" s="41">
        <f t="shared" si="52"/>
        <v>276</v>
      </c>
      <c r="C298" s="164">
        <f t="shared" si="53"/>
        <v>53158</v>
      </c>
      <c r="D298" s="42">
        <f t="shared" ca="1" si="48"/>
        <v>1267.7363240950394</v>
      </c>
      <c r="E298" s="42">
        <f t="shared" ca="1" si="59"/>
        <v>987.54912929170712</v>
      </c>
      <c r="F298" s="42">
        <f ca="1">IF(B298&lt;=$D$16,F297*(1+$D$13)^((C298-C297)/_xlfn.DAYS(EDATE(C297,1),C297)),F297-D298)+IF(B298&lt;=$D$16,F297*Resumo!$F$12,0)+IF(B298&lt;=$D$16,$D$15*Resumo!$F$13,0)+IF(B298&lt;=$D$16,25,0)-IF(AND($D$16&gt;3,B298&lt;=$D$16),J298,0)</f>
        <v>143960.07680703836</v>
      </c>
      <c r="G298" s="42">
        <f ca="1">IF(AND(B298&lt;&gt;"",K298&lt;&gt;$D$17,$D$16&gt;3),F298*Resumo!$F$12,IF(AND(B298&lt;&gt;"",K298&lt;&gt;$D$17,B298&gt;$D$16),F298*Resumo!$F$12,0))</f>
        <v>30.231616129478059</v>
      </c>
      <c r="H298" s="42">
        <f>IF(AND(B298&lt;&gt;"",K298&lt;&gt;$D$17,$D$16&gt;3,$B298&lt;=$D$16),$D$15*Resumo!$F$13,IF(AND(B298&lt;&gt;"",K298&lt;&gt;$D$17,B298&gt;$D$16),$D$15*Resumo!$F$13,0))</f>
        <v>34.369999999999997</v>
      </c>
      <c r="I298" s="42">
        <f>IF(AND(B298&lt;&gt;"",K298&lt;&gt;$D$17,$D$16&gt;3,$B298&lt;=$D$16),Resumo!$F$11,IF(AND(B298&lt;&gt;"",K298&lt;&gt;$D$17,B298&gt;$D$16),Resumo!$F$11,0))</f>
        <v>25</v>
      </c>
      <c r="J298" s="42">
        <f t="shared" ca="1" si="54"/>
        <v>2344.8870695162245</v>
      </c>
      <c r="K298" s="39" t="str">
        <f>IF(B298&lt;&gt;"",VLOOKUP(MONTH(C298),Sheet2!$F$1:$G$12,2,0),"")</f>
        <v>Julho</v>
      </c>
      <c r="L298" s="200">
        <f t="shared" ca="1" si="55"/>
        <v>0</v>
      </c>
      <c r="M298" s="40">
        <f t="shared" ca="1" si="56"/>
        <v>2255.2854533867467</v>
      </c>
      <c r="N298" s="40">
        <f t="shared" ca="1" si="57"/>
        <v>2344.8870695162245</v>
      </c>
      <c r="O298" s="40"/>
      <c r="P298" s="20">
        <f t="shared" ca="1" si="49"/>
        <v>834.89136490250701</v>
      </c>
      <c r="Q298" s="1">
        <f t="shared" si="50"/>
        <v>8411</v>
      </c>
      <c r="R298" s="171">
        <f>IF(AND($J$2&gt;=DATEVALUE("03/04/2020"),$J$2&lt;=DATEVALUE("25/11/2020")),0,IF(Resumo!$C$19="PF",IF(Q298&lt;360,0.0082%*Q298,3%),IF(Q298&lt;360,0.0041%*Q298,1.5%)))</f>
        <v>1.4999999999999999E-2</v>
      </c>
      <c r="S298" s="172">
        <f t="shared" ca="1" si="51"/>
        <v>12.523370473537605</v>
      </c>
      <c r="W298" s="216">
        <f t="shared" ca="1" si="58"/>
        <v>2255.2854533867467</v>
      </c>
    </row>
    <row r="299" spans="2:23">
      <c r="B299" s="37">
        <f t="shared" si="52"/>
        <v>277</v>
      </c>
      <c r="C299" s="163">
        <f t="shared" si="53"/>
        <v>53189</v>
      </c>
      <c r="D299" s="38">
        <f t="shared" ca="1" si="48"/>
        <v>1276.356931098886</v>
      </c>
      <c r="E299" s="38">
        <f t="shared" ca="1" si="59"/>
        <v>978.9285222878608</v>
      </c>
      <c r="F299" s="38">
        <f ca="1">IF(B299&lt;=$D$16,F298*(1+$D$13)^((C299-C298)/_xlfn.DAYS(EDATE(C298,1),C298)),F298-D299)+IF(B299&lt;=$D$16,F298*Resumo!$F$12,0)+IF(B299&lt;=$D$16,$D$15*Resumo!$F$13,0)+IF(B299&lt;=$D$16,25,0)-IF(AND($D$16&gt;3,B299&lt;=$D$16),J299,0)</f>
        <v>142683.71987593948</v>
      </c>
      <c r="G299" s="38">
        <f ca="1">IF(AND(B299&lt;&gt;"",K299&lt;&gt;$D$17,$D$16&gt;3),F299*Resumo!$F$12,IF(AND(B299&lt;&gt;"",K299&lt;&gt;$D$17,B299&gt;$D$16),F299*Resumo!$F$12,0))</f>
        <v>29.963581173947293</v>
      </c>
      <c r="H299" s="38">
        <f>IF(AND(B299&lt;&gt;"",K299&lt;&gt;$D$17,$D$16&gt;3,$B299&lt;=$D$16),$D$15*Resumo!$F$13,IF(AND(B299&lt;&gt;"",K299&lt;&gt;$D$17,B299&gt;$D$16),$D$15*Resumo!$F$13,0))</f>
        <v>34.369999999999997</v>
      </c>
      <c r="I299" s="38">
        <f>IF(AND(B299&lt;&gt;"",K299&lt;&gt;$D$17,$D$16&gt;3,$B299&lt;=$D$16),Resumo!$F$11,IF(AND(B299&lt;&gt;"",K299&lt;&gt;$D$17,B299&gt;$D$16),Resumo!$F$11,0))</f>
        <v>25</v>
      </c>
      <c r="J299" s="38">
        <f t="shared" ca="1" si="54"/>
        <v>2344.6190345606938</v>
      </c>
      <c r="K299" s="39" t="str">
        <f>IF(B299&lt;&gt;"",VLOOKUP(MONTH(C299),Sheet2!$F$1:$G$12,2,0),"")</f>
        <v>Agosto</v>
      </c>
      <c r="L299" s="200">
        <f t="shared" ca="1" si="55"/>
        <v>0</v>
      </c>
      <c r="M299" s="40">
        <f t="shared" ca="1" si="56"/>
        <v>2255.2854533867467</v>
      </c>
      <c r="N299" s="40">
        <f t="shared" ca="1" si="57"/>
        <v>2344.6190345606938</v>
      </c>
      <c r="O299" s="40"/>
      <c r="P299" s="20">
        <f t="shared" ca="1" si="49"/>
        <v>834.89136490250701</v>
      </c>
      <c r="Q299" s="1">
        <f t="shared" si="50"/>
        <v>8442</v>
      </c>
      <c r="R299" s="171">
        <f>IF(AND($J$2&gt;=DATEVALUE("03/04/2020"),$J$2&lt;=DATEVALUE("25/11/2020")),0,IF(Resumo!$C$19="PF",IF(Q299&lt;360,0.0082%*Q299,3%),IF(Q299&lt;360,0.0041%*Q299,1.5%)))</f>
        <v>1.4999999999999999E-2</v>
      </c>
      <c r="S299" s="172">
        <f t="shared" ca="1" si="51"/>
        <v>12.523370473537605</v>
      </c>
      <c r="W299" s="216">
        <f t="shared" ca="1" si="58"/>
        <v>2255.2854533867467</v>
      </c>
    </row>
    <row r="300" spans="2:23">
      <c r="B300" s="41">
        <f t="shared" si="52"/>
        <v>278</v>
      </c>
      <c r="C300" s="164">
        <f t="shared" si="53"/>
        <v>53220</v>
      </c>
      <c r="D300" s="42">
        <f t="shared" ca="1" si="48"/>
        <v>1285.0361582303583</v>
      </c>
      <c r="E300" s="42">
        <f t="shared" ca="1" si="59"/>
        <v>970.24929515638837</v>
      </c>
      <c r="F300" s="42">
        <f ca="1">IF(B300&lt;=$D$16,F299*(1+$D$13)^((C300-C299)/_xlfn.DAYS(EDATE(C299,1),C299)),F299-D300)+IF(B300&lt;=$D$16,F299*Resumo!$F$12,0)+IF(B300&lt;=$D$16,$D$15*Resumo!$F$13,0)+IF(B300&lt;=$D$16,25,0)-IF(AND($D$16&gt;3,B300&lt;=$D$16),J300,0)</f>
        <v>141398.68371770912</v>
      </c>
      <c r="G300" s="42">
        <f ca="1">IF(AND(B300&lt;&gt;"",K300&lt;&gt;$D$17,$D$16&gt;3),F300*Resumo!$F$12,IF(AND(B300&lt;&gt;"",K300&lt;&gt;$D$17,B300&gt;$D$16),F300*Resumo!$F$12,0))</f>
        <v>29.693723580718917</v>
      </c>
      <c r="H300" s="42">
        <f>IF(AND(B300&lt;&gt;"",K300&lt;&gt;$D$17,$D$16&gt;3,$B300&lt;=$D$16),$D$15*Resumo!$F$13,IF(AND(B300&lt;&gt;"",K300&lt;&gt;$D$17,B300&gt;$D$16),$D$15*Resumo!$F$13,0))</f>
        <v>34.369999999999997</v>
      </c>
      <c r="I300" s="42">
        <f>IF(AND(B300&lt;&gt;"",K300&lt;&gt;$D$17,$D$16&gt;3,$B300&lt;=$D$16),Resumo!$F$11,IF(AND(B300&lt;&gt;"",K300&lt;&gt;$D$17,B300&gt;$D$16),Resumo!$F$11,0))</f>
        <v>25</v>
      </c>
      <c r="J300" s="42">
        <f t="shared" ca="1" si="54"/>
        <v>2344.3491769674656</v>
      </c>
      <c r="K300" s="39" t="str">
        <f>IF(B300&lt;&gt;"",VLOOKUP(MONTH(C300),Sheet2!$F$1:$G$12,2,0),"")</f>
        <v>Setembro</v>
      </c>
      <c r="L300" s="200">
        <f t="shared" ca="1" si="55"/>
        <v>0</v>
      </c>
      <c r="M300" s="40">
        <f t="shared" ca="1" si="56"/>
        <v>2255.2854533867467</v>
      </c>
      <c r="N300" s="40">
        <f t="shared" ca="1" si="57"/>
        <v>2344.3491769674656</v>
      </c>
      <c r="O300" s="40"/>
      <c r="P300" s="20">
        <f t="shared" ca="1" si="49"/>
        <v>834.89136490250701</v>
      </c>
      <c r="Q300" s="1">
        <f t="shared" si="50"/>
        <v>8473</v>
      </c>
      <c r="R300" s="171">
        <f>IF(AND($J$2&gt;=DATEVALUE("03/04/2020"),$J$2&lt;=DATEVALUE("25/11/2020")),0,IF(Resumo!$C$19="PF",IF(Q300&lt;360,0.0082%*Q300,3%),IF(Q300&lt;360,0.0041%*Q300,1.5%)))</f>
        <v>1.4999999999999999E-2</v>
      </c>
      <c r="S300" s="172">
        <f t="shared" ca="1" si="51"/>
        <v>12.523370473537605</v>
      </c>
      <c r="W300" s="216">
        <f t="shared" ca="1" si="58"/>
        <v>2255.2854533867467</v>
      </c>
    </row>
    <row r="301" spans="2:23">
      <c r="B301" s="37">
        <f t="shared" si="52"/>
        <v>279</v>
      </c>
      <c r="C301" s="163">
        <f t="shared" si="53"/>
        <v>53250</v>
      </c>
      <c r="D301" s="38">
        <f t="shared" ca="1" si="48"/>
        <v>1293.7744041063247</v>
      </c>
      <c r="E301" s="38">
        <f t="shared" ca="1" si="59"/>
        <v>961.51104928042196</v>
      </c>
      <c r="F301" s="38">
        <f ca="1">IF(B301&lt;=$D$16,F300*(1+$D$13)^((C301-C300)/_xlfn.DAYS(EDATE(C300,1),C300)),F300-D301)+IF(B301&lt;=$D$16,F300*Resumo!$F$12,0)+IF(B301&lt;=$D$16,$D$15*Resumo!$F$13,0)+IF(B301&lt;=$D$16,25,0)-IF(AND($D$16&gt;3,B301&lt;=$D$16),J301,0)</f>
        <v>140104.90931360281</v>
      </c>
      <c r="G301" s="38">
        <f ca="1">IF(AND(B301&lt;&gt;"",K301&lt;&gt;$D$17,$D$16&gt;3),F301*Resumo!$F$12,IF(AND(B301&lt;&gt;"",K301&lt;&gt;$D$17,B301&gt;$D$16),F301*Resumo!$F$12,0))</f>
        <v>29.422030955856592</v>
      </c>
      <c r="H301" s="38">
        <f>IF(AND(B301&lt;&gt;"",K301&lt;&gt;$D$17,$D$16&gt;3,$B301&lt;=$D$16),$D$15*Resumo!$F$13,IF(AND(B301&lt;&gt;"",K301&lt;&gt;$D$17,B301&gt;$D$16),$D$15*Resumo!$F$13,0))</f>
        <v>34.369999999999997</v>
      </c>
      <c r="I301" s="38">
        <f>IF(AND(B301&lt;&gt;"",K301&lt;&gt;$D$17,$D$16&gt;3,$B301&lt;=$D$16),Resumo!$F$11,IF(AND(B301&lt;&gt;"",K301&lt;&gt;$D$17,B301&gt;$D$16),Resumo!$F$11,0))</f>
        <v>25</v>
      </c>
      <c r="J301" s="38">
        <f t="shared" ca="1" si="54"/>
        <v>2344.0774843426029</v>
      </c>
      <c r="K301" s="39" t="str">
        <f>IF(B301&lt;&gt;"",VLOOKUP(MONTH(C301),Sheet2!$F$1:$G$12,2,0),"")</f>
        <v>Outubro</v>
      </c>
      <c r="L301" s="200">
        <f t="shared" ca="1" si="55"/>
        <v>0</v>
      </c>
      <c r="M301" s="40">
        <f t="shared" ca="1" si="56"/>
        <v>2255.2854533867467</v>
      </c>
      <c r="N301" s="40">
        <f t="shared" ca="1" si="57"/>
        <v>2344.0774843426029</v>
      </c>
      <c r="O301" s="40"/>
      <c r="P301" s="20">
        <f t="shared" ca="1" si="49"/>
        <v>834.89136490250701</v>
      </c>
      <c r="Q301" s="1">
        <f t="shared" si="50"/>
        <v>8503</v>
      </c>
      <c r="R301" s="171">
        <f>IF(AND($J$2&gt;=DATEVALUE("03/04/2020"),$J$2&lt;=DATEVALUE("25/11/2020")),0,IF(Resumo!$C$19="PF",IF(Q301&lt;360,0.0082%*Q301,3%),IF(Q301&lt;360,0.0041%*Q301,1.5%)))</f>
        <v>1.4999999999999999E-2</v>
      </c>
      <c r="S301" s="172">
        <f t="shared" ca="1" si="51"/>
        <v>12.523370473537605</v>
      </c>
      <c r="W301" s="216">
        <f t="shared" ca="1" si="58"/>
        <v>2255.2854533867467</v>
      </c>
    </row>
    <row r="302" spans="2:23">
      <c r="B302" s="41">
        <f t="shared" si="52"/>
        <v>280</v>
      </c>
      <c r="C302" s="164">
        <f t="shared" si="53"/>
        <v>53281</v>
      </c>
      <c r="D302" s="42">
        <f t="shared" ca="1" si="48"/>
        <v>1302.5720700542477</v>
      </c>
      <c r="E302" s="42">
        <f t="shared" ca="1" si="59"/>
        <v>952.71338333249901</v>
      </c>
      <c r="F302" s="42">
        <f ca="1">IF(B302&lt;=$D$16,F301*(1+$D$13)^((C302-C301)/_xlfn.DAYS(EDATE(C301,1),C301)),F301-D302)+IF(B302&lt;=$D$16,F301*Resumo!$F$12,0)+IF(B302&lt;=$D$16,$D$15*Resumo!$F$13,0)+IF(B302&lt;=$D$16,25,0)-IF(AND($D$16&gt;3,B302&lt;=$D$16),J302,0)</f>
        <v>138802.33724354857</v>
      </c>
      <c r="G302" s="42">
        <f ca="1">IF(AND(B302&lt;&gt;"",K302&lt;&gt;$D$17,$D$16&gt;3),F302*Resumo!$F$12,IF(AND(B302&lt;&gt;"",K302&lt;&gt;$D$17,B302&gt;$D$16),F302*Resumo!$F$12,0))</f>
        <v>29.148490821145199</v>
      </c>
      <c r="H302" s="42">
        <f>IF(AND(B302&lt;&gt;"",K302&lt;&gt;$D$17,$D$16&gt;3,$B302&lt;=$D$16),$D$15*Resumo!$F$13,IF(AND(B302&lt;&gt;"",K302&lt;&gt;$D$17,B302&gt;$D$16),$D$15*Resumo!$F$13,0))</f>
        <v>34.369999999999997</v>
      </c>
      <c r="I302" s="42">
        <f>IF(AND(B302&lt;&gt;"",K302&lt;&gt;$D$17,$D$16&gt;3,$B302&lt;=$D$16),Resumo!$F$11,IF(AND(B302&lt;&gt;"",K302&lt;&gt;$D$17,B302&gt;$D$16),Resumo!$F$11,0))</f>
        <v>25</v>
      </c>
      <c r="J302" s="42">
        <f t="shared" ca="1" si="54"/>
        <v>2343.8039442078916</v>
      </c>
      <c r="K302" s="39" t="str">
        <f>IF(B302&lt;&gt;"",VLOOKUP(MONTH(C302),Sheet2!$F$1:$G$12,2,0),"")</f>
        <v>Novembro</v>
      </c>
      <c r="L302" s="200">
        <f t="shared" ca="1" si="55"/>
        <v>0</v>
      </c>
      <c r="M302" s="40">
        <f t="shared" ca="1" si="56"/>
        <v>2255.2854533867467</v>
      </c>
      <c r="N302" s="40">
        <f t="shared" ca="1" si="57"/>
        <v>2343.8039442078916</v>
      </c>
      <c r="O302" s="40"/>
      <c r="P302" s="20">
        <f t="shared" ca="1" si="49"/>
        <v>834.89136490250701</v>
      </c>
      <c r="Q302" s="1">
        <f t="shared" si="50"/>
        <v>8534</v>
      </c>
      <c r="R302" s="171">
        <f>IF(AND($J$2&gt;=DATEVALUE("03/04/2020"),$J$2&lt;=DATEVALUE("25/11/2020")),0,IF(Resumo!$C$19="PF",IF(Q302&lt;360,0.0082%*Q302,3%),IF(Q302&lt;360,0.0041%*Q302,1.5%)))</f>
        <v>1.4999999999999999E-2</v>
      </c>
      <c r="S302" s="172">
        <f t="shared" ca="1" si="51"/>
        <v>12.523370473537605</v>
      </c>
      <c r="W302" s="216">
        <f t="shared" ca="1" si="58"/>
        <v>2255.2854533867467</v>
      </c>
    </row>
    <row r="303" spans="2:23">
      <c r="B303" s="37">
        <f t="shared" si="52"/>
        <v>281</v>
      </c>
      <c r="C303" s="163">
        <f t="shared" si="53"/>
        <v>53311</v>
      </c>
      <c r="D303" s="38">
        <f t="shared" ca="1" si="48"/>
        <v>1311.4295601306164</v>
      </c>
      <c r="E303" s="38">
        <f t="shared" ca="1" si="59"/>
        <v>943.85589325613023</v>
      </c>
      <c r="F303" s="38">
        <f ca="1">IF(B303&lt;=$D$16,F302*(1+$D$13)^((C303-C302)/_xlfn.DAYS(EDATE(C302,1),C302)),F302-D303)+IF(B303&lt;=$D$16,F302*Resumo!$F$12,0)+IF(B303&lt;=$D$16,$D$15*Resumo!$F$13,0)+IF(B303&lt;=$D$16,25,0)-IF(AND($D$16&gt;3,B303&lt;=$D$16),J303,0)</f>
        <v>137490.90768341796</v>
      </c>
      <c r="G303" s="38">
        <f ca="1">IF(AND(B303&lt;&gt;"",K303&lt;&gt;$D$17,$D$16&gt;3),F303*Resumo!$F$12,IF(AND(B303&lt;&gt;"",K303&lt;&gt;$D$17,B303&gt;$D$16),F303*Resumo!$F$12,0))</f>
        <v>28.873090613517771</v>
      </c>
      <c r="H303" s="38">
        <f>IF(AND(B303&lt;&gt;"",K303&lt;&gt;$D$17,$D$16&gt;3,$B303&lt;=$D$16),$D$15*Resumo!$F$13,IF(AND(B303&lt;&gt;"",K303&lt;&gt;$D$17,B303&gt;$D$16),$D$15*Resumo!$F$13,0))</f>
        <v>34.369999999999997</v>
      </c>
      <c r="I303" s="38">
        <f>IF(AND(B303&lt;&gt;"",K303&lt;&gt;$D$17,$D$16&gt;3,$B303&lt;=$D$16),Resumo!$F$11,IF(AND(B303&lt;&gt;"",K303&lt;&gt;$D$17,B303&gt;$D$16),Resumo!$F$11,0))</f>
        <v>25</v>
      </c>
      <c r="J303" s="38">
        <f t="shared" ca="1" si="54"/>
        <v>2343.5285440002644</v>
      </c>
      <c r="K303" s="39" t="str">
        <f>IF(B303&lt;&gt;"",VLOOKUP(MONTH(C303),Sheet2!$F$1:$G$12,2,0),"")</f>
        <v>Dezembro</v>
      </c>
      <c r="L303" s="200">
        <f t="shared" ca="1" si="55"/>
        <v>0</v>
      </c>
      <c r="M303" s="40">
        <f t="shared" ca="1" si="56"/>
        <v>2255.2854533867467</v>
      </c>
      <c r="N303" s="40">
        <f t="shared" ca="1" si="57"/>
        <v>2343.5285440002644</v>
      </c>
      <c r="O303" s="40"/>
      <c r="P303" s="20">
        <f t="shared" ca="1" si="49"/>
        <v>834.89136490250701</v>
      </c>
      <c r="Q303" s="1">
        <f t="shared" si="50"/>
        <v>8564</v>
      </c>
      <c r="R303" s="171">
        <f>IF(AND($J$2&gt;=DATEVALUE("03/04/2020"),$J$2&lt;=DATEVALUE("25/11/2020")),0,IF(Resumo!$C$19="PF",IF(Q303&lt;360,0.0082%*Q303,3%),IF(Q303&lt;360,0.0041%*Q303,1.5%)))</f>
        <v>1.4999999999999999E-2</v>
      </c>
      <c r="S303" s="172">
        <f t="shared" ca="1" si="51"/>
        <v>12.523370473537605</v>
      </c>
      <c r="W303" s="216">
        <f t="shared" ca="1" si="58"/>
        <v>2255.2854533867467</v>
      </c>
    </row>
    <row r="304" spans="2:23">
      <c r="B304" s="41">
        <f t="shared" si="52"/>
        <v>282</v>
      </c>
      <c r="C304" s="164">
        <f t="shared" si="53"/>
        <v>53342</v>
      </c>
      <c r="D304" s="42">
        <f t="shared" ca="1" si="48"/>
        <v>1320.3472811395045</v>
      </c>
      <c r="E304" s="42">
        <f t="shared" ca="1" si="59"/>
        <v>934.93817224724205</v>
      </c>
      <c r="F304" s="42">
        <f ca="1">IF(B304&lt;=$D$16,F303*(1+$D$13)^((C304-C303)/_xlfn.DAYS(EDATE(C303,1),C303)),F303-D304)+IF(B304&lt;=$D$16,F303*Resumo!$F$12,0)+IF(B304&lt;=$D$16,$D$15*Resumo!$F$13,0)+IF(B304&lt;=$D$16,25,0)-IF(AND($D$16&gt;3,B304&lt;=$D$16),J304,0)</f>
        <v>136170.56040227844</v>
      </c>
      <c r="G304" s="42">
        <f ca="1">IF(AND(B304&lt;&gt;"",K304&lt;&gt;$D$17,$D$16&gt;3),F304*Resumo!$F$12,IF(AND(B304&lt;&gt;"",K304&lt;&gt;$D$17,B304&gt;$D$16),F304*Resumo!$F$12,0))</f>
        <v>28.595817684478472</v>
      </c>
      <c r="H304" s="42">
        <f>IF(AND(B304&lt;&gt;"",K304&lt;&gt;$D$17,$D$16&gt;3,$B304&lt;=$D$16),$D$15*Resumo!$F$13,IF(AND(B304&lt;&gt;"",K304&lt;&gt;$D$17,B304&gt;$D$16),$D$15*Resumo!$F$13,0))</f>
        <v>34.369999999999997</v>
      </c>
      <c r="I304" s="42">
        <f>IF(AND(B304&lt;&gt;"",K304&lt;&gt;$D$17,$D$16&gt;3,$B304&lt;=$D$16),Resumo!$F$11,IF(AND(B304&lt;&gt;"",K304&lt;&gt;$D$17,B304&gt;$D$16),Resumo!$F$11,0))</f>
        <v>25</v>
      </c>
      <c r="J304" s="42">
        <f t="shared" ca="1" si="54"/>
        <v>2343.2512710712249</v>
      </c>
      <c r="K304" s="39" t="str">
        <f>IF(B304&lt;&gt;"",VLOOKUP(MONTH(C304),Sheet2!$F$1:$G$12,2,0),"")</f>
        <v>Janeiro</v>
      </c>
      <c r="L304" s="200">
        <f t="shared" ca="1" si="55"/>
        <v>0</v>
      </c>
      <c r="M304" s="40">
        <f t="shared" ca="1" si="56"/>
        <v>2255.2854533867467</v>
      </c>
      <c r="N304" s="40">
        <f t="shared" ca="1" si="57"/>
        <v>2343.2512710712249</v>
      </c>
      <c r="O304" s="40"/>
      <c r="P304" s="20">
        <f t="shared" ca="1" si="49"/>
        <v>834.89136490250701</v>
      </c>
      <c r="Q304" s="1">
        <f t="shared" si="50"/>
        <v>8595</v>
      </c>
      <c r="R304" s="171">
        <f>IF(AND($J$2&gt;=DATEVALUE("03/04/2020"),$J$2&lt;=DATEVALUE("25/11/2020")),0,IF(Resumo!$C$19="PF",IF(Q304&lt;360,0.0082%*Q304,3%),IF(Q304&lt;360,0.0041%*Q304,1.5%)))</f>
        <v>1.4999999999999999E-2</v>
      </c>
      <c r="S304" s="172">
        <f t="shared" ca="1" si="51"/>
        <v>12.523370473537605</v>
      </c>
      <c r="W304" s="216">
        <f t="shared" ca="1" si="58"/>
        <v>2255.2854533867467</v>
      </c>
    </row>
    <row r="305" spans="2:23">
      <c r="B305" s="37">
        <f t="shared" si="52"/>
        <v>283</v>
      </c>
      <c r="C305" s="163">
        <f t="shared" si="53"/>
        <v>53373</v>
      </c>
      <c r="D305" s="38">
        <f t="shared" ca="1" si="48"/>
        <v>1329.3256426512535</v>
      </c>
      <c r="E305" s="38">
        <f t="shared" ca="1" si="59"/>
        <v>925.95981073549331</v>
      </c>
      <c r="F305" s="38">
        <f ca="1">IF(B305&lt;=$D$16,F304*(1+$D$13)^((C305-C304)/_xlfn.DAYS(EDATE(C304,1),C304)),F304-D305)+IF(B305&lt;=$D$16,F304*Resumo!$F$12,0)+IF(B305&lt;=$D$16,$D$15*Resumo!$F$13,0)+IF(B305&lt;=$D$16,25,0)-IF(AND($D$16&gt;3,B305&lt;=$D$16),J305,0)</f>
        <v>134841.23475962717</v>
      </c>
      <c r="G305" s="38">
        <f ca="1">IF(AND(B305&lt;&gt;"",K305&lt;&gt;$D$17,$D$16&gt;3),F305*Resumo!$F$12,IF(AND(B305&lt;&gt;"",K305&lt;&gt;$D$17,B305&gt;$D$16),F305*Resumo!$F$12,0))</f>
        <v>28.316659299521707</v>
      </c>
      <c r="H305" s="38">
        <f>IF(AND(B305&lt;&gt;"",K305&lt;&gt;$D$17,$D$16&gt;3,$B305&lt;=$D$16),$D$15*Resumo!$F$13,IF(AND(B305&lt;&gt;"",K305&lt;&gt;$D$17,B305&gt;$D$16),$D$15*Resumo!$F$13,0))</f>
        <v>34.369999999999997</v>
      </c>
      <c r="I305" s="38">
        <f>IF(AND(B305&lt;&gt;"",K305&lt;&gt;$D$17,$D$16&gt;3,$B305&lt;=$D$16),Resumo!$F$11,IF(AND(B305&lt;&gt;"",K305&lt;&gt;$D$17,B305&gt;$D$16),Resumo!$F$11,0))</f>
        <v>25</v>
      </c>
      <c r="J305" s="38">
        <f t="shared" ca="1" si="54"/>
        <v>2342.9721126862682</v>
      </c>
      <c r="K305" s="39" t="str">
        <f>IF(B305&lt;&gt;"",VLOOKUP(MONTH(C305),Sheet2!$F$1:$G$12,2,0),"")</f>
        <v>Fevereiro</v>
      </c>
      <c r="L305" s="200">
        <f t="shared" ca="1" si="55"/>
        <v>0</v>
      </c>
      <c r="M305" s="40">
        <f t="shared" ca="1" si="56"/>
        <v>2255.2854533867467</v>
      </c>
      <c r="N305" s="40">
        <f t="shared" ca="1" si="57"/>
        <v>2342.9721126862682</v>
      </c>
      <c r="O305" s="40"/>
      <c r="P305" s="20">
        <f t="shared" ca="1" si="49"/>
        <v>834.89136490250701</v>
      </c>
      <c r="Q305" s="1">
        <f t="shared" si="50"/>
        <v>8626</v>
      </c>
      <c r="R305" s="171">
        <f>IF(AND($J$2&gt;=DATEVALUE("03/04/2020"),$J$2&lt;=DATEVALUE("25/11/2020")),0,IF(Resumo!$C$19="PF",IF(Q305&lt;360,0.0082%*Q305,3%),IF(Q305&lt;360,0.0041%*Q305,1.5%)))</f>
        <v>1.4999999999999999E-2</v>
      </c>
      <c r="S305" s="172">
        <f t="shared" ca="1" si="51"/>
        <v>12.523370473537605</v>
      </c>
      <c r="W305" s="216">
        <f t="shared" ca="1" si="58"/>
        <v>2255.2854533867467</v>
      </c>
    </row>
    <row r="306" spans="2:23">
      <c r="B306" s="41">
        <f t="shared" si="52"/>
        <v>284</v>
      </c>
      <c r="C306" s="164">
        <f t="shared" si="53"/>
        <v>53401</v>
      </c>
      <c r="D306" s="42">
        <f t="shared" ca="1" si="48"/>
        <v>1338.3650570212819</v>
      </c>
      <c r="E306" s="42">
        <f t="shared" ca="1" si="59"/>
        <v>916.92039636546474</v>
      </c>
      <c r="F306" s="42">
        <f ca="1">IF(B306&lt;=$D$16,F305*(1+$D$13)^((C306-C305)/_xlfn.DAYS(EDATE(C305,1),C305)),F305-D306)+IF(B306&lt;=$D$16,F305*Resumo!$F$12,0)+IF(B306&lt;=$D$16,$D$15*Resumo!$F$13,0)+IF(B306&lt;=$D$16,25,0)-IF(AND($D$16&gt;3,B306&lt;=$D$16),J306,0)</f>
        <v>133502.86970260588</v>
      </c>
      <c r="G306" s="42">
        <f ca="1">IF(AND(B306&lt;&gt;"",K306&lt;&gt;$D$17,$D$16&gt;3),F306*Resumo!$F$12,IF(AND(B306&lt;&gt;"",K306&lt;&gt;$D$17,B306&gt;$D$16),F306*Resumo!$F$12,0))</f>
        <v>28.035602637547235</v>
      </c>
      <c r="H306" s="42">
        <f>IF(AND(B306&lt;&gt;"",K306&lt;&gt;$D$17,$D$16&gt;3,$B306&lt;=$D$16),$D$15*Resumo!$F$13,IF(AND(B306&lt;&gt;"",K306&lt;&gt;$D$17,B306&gt;$D$16),$D$15*Resumo!$F$13,0))</f>
        <v>34.369999999999997</v>
      </c>
      <c r="I306" s="42">
        <f>IF(AND(B306&lt;&gt;"",K306&lt;&gt;$D$17,$D$16&gt;3,$B306&lt;=$D$16),Resumo!$F$11,IF(AND(B306&lt;&gt;"",K306&lt;&gt;$D$17,B306&gt;$D$16),Resumo!$F$11,0))</f>
        <v>25</v>
      </c>
      <c r="J306" s="42">
        <f t="shared" ca="1" si="54"/>
        <v>2342.6910560242936</v>
      </c>
      <c r="K306" s="39" t="str">
        <f>IF(B306&lt;&gt;"",VLOOKUP(MONTH(C306),Sheet2!$F$1:$G$12,2,0),"")</f>
        <v>Março</v>
      </c>
      <c r="L306" s="200">
        <f t="shared" ca="1" si="55"/>
        <v>0</v>
      </c>
      <c r="M306" s="40">
        <f t="shared" ca="1" si="56"/>
        <v>2255.2854533867467</v>
      </c>
      <c r="N306" s="40">
        <f t="shared" ca="1" si="57"/>
        <v>2342.6910560242936</v>
      </c>
      <c r="O306" s="40"/>
      <c r="P306" s="20">
        <f t="shared" ca="1" si="49"/>
        <v>834.89136490250701</v>
      </c>
      <c r="Q306" s="1">
        <f t="shared" si="50"/>
        <v>8654</v>
      </c>
      <c r="R306" s="171">
        <f>IF(AND($J$2&gt;=DATEVALUE("03/04/2020"),$J$2&lt;=DATEVALUE("25/11/2020")),0,IF(Resumo!$C$19="PF",IF(Q306&lt;360,0.0082%*Q306,3%),IF(Q306&lt;360,0.0041%*Q306,1.5%)))</f>
        <v>1.4999999999999999E-2</v>
      </c>
      <c r="S306" s="172">
        <f t="shared" ca="1" si="51"/>
        <v>12.523370473537605</v>
      </c>
      <c r="W306" s="216">
        <f t="shared" ca="1" si="58"/>
        <v>2255.2854533867467</v>
      </c>
    </row>
    <row r="307" spans="2:23">
      <c r="B307" s="37">
        <f t="shared" si="52"/>
        <v>285</v>
      </c>
      <c r="C307" s="163">
        <f t="shared" si="53"/>
        <v>53432</v>
      </c>
      <c r="D307" s="38">
        <f t="shared" ca="1" si="48"/>
        <v>1347.4659394090268</v>
      </c>
      <c r="E307" s="38">
        <f t="shared" ca="1" si="59"/>
        <v>907.81951397771991</v>
      </c>
      <c r="F307" s="38">
        <f ca="1">IF(B307&lt;=$D$16,F306*(1+$D$13)^((C307-C306)/_xlfn.DAYS(EDATE(C306,1),C306)),F306-D307)+IF(B307&lt;=$D$16,F306*Resumo!$F$12,0)+IF(B307&lt;=$D$16,$D$15*Resumo!$F$13,0)+IF(B307&lt;=$D$16,25,0)-IF(AND($D$16&gt;3,B307&lt;=$D$16),J307,0)</f>
        <v>132155.40376319684</v>
      </c>
      <c r="G307" s="38">
        <f ca="1">IF(AND(B307&lt;&gt;"",K307&lt;&gt;$D$17,$D$16&gt;3),F307*Resumo!$F$12,IF(AND(B307&lt;&gt;"",K307&lt;&gt;$D$17,B307&gt;$D$16),F307*Resumo!$F$12,0))</f>
        <v>27.752634790271337</v>
      </c>
      <c r="H307" s="38">
        <f>IF(AND(B307&lt;&gt;"",K307&lt;&gt;$D$17,$D$16&gt;3,$B307&lt;=$D$16),$D$15*Resumo!$F$13,IF(AND(B307&lt;&gt;"",K307&lt;&gt;$D$17,B307&gt;$D$16),$D$15*Resumo!$F$13,0))</f>
        <v>34.369999999999997</v>
      </c>
      <c r="I307" s="38">
        <f>IF(AND(B307&lt;&gt;"",K307&lt;&gt;$D$17,$D$16&gt;3,$B307&lt;=$D$16),Resumo!$F$11,IF(AND(B307&lt;&gt;"",K307&lt;&gt;$D$17,B307&gt;$D$16),Resumo!$F$11,0))</f>
        <v>25</v>
      </c>
      <c r="J307" s="38">
        <f t="shared" ca="1" si="54"/>
        <v>2342.4080881770178</v>
      </c>
      <c r="K307" s="39" t="str">
        <f>IF(B307&lt;&gt;"",VLOOKUP(MONTH(C307),Sheet2!$F$1:$G$12,2,0),"")</f>
        <v>Abril</v>
      </c>
      <c r="L307" s="200">
        <f t="shared" ca="1" si="55"/>
        <v>0</v>
      </c>
      <c r="M307" s="40">
        <f t="shared" ca="1" si="56"/>
        <v>2255.2854533867467</v>
      </c>
      <c r="N307" s="40">
        <f t="shared" ca="1" si="57"/>
        <v>2342.4080881770178</v>
      </c>
      <c r="O307" s="40"/>
      <c r="P307" s="20">
        <f t="shared" ca="1" si="49"/>
        <v>834.89136490250701</v>
      </c>
      <c r="Q307" s="1">
        <f t="shared" si="50"/>
        <v>8685</v>
      </c>
      <c r="R307" s="171">
        <f>IF(AND($J$2&gt;=DATEVALUE("03/04/2020"),$J$2&lt;=DATEVALUE("25/11/2020")),0,IF(Resumo!$C$19="PF",IF(Q307&lt;360,0.0082%*Q307,3%),IF(Q307&lt;360,0.0041%*Q307,1.5%)))</f>
        <v>1.4999999999999999E-2</v>
      </c>
      <c r="S307" s="172">
        <f t="shared" ca="1" si="51"/>
        <v>12.523370473537605</v>
      </c>
      <c r="W307" s="216">
        <f t="shared" ca="1" si="58"/>
        <v>2255.2854533867467</v>
      </c>
    </row>
    <row r="308" spans="2:23">
      <c r="B308" s="41">
        <f t="shared" si="52"/>
        <v>286</v>
      </c>
      <c r="C308" s="164">
        <f t="shared" si="53"/>
        <v>53462</v>
      </c>
      <c r="D308" s="42">
        <f t="shared" ca="1" si="48"/>
        <v>1356.6287077970082</v>
      </c>
      <c r="E308" s="42">
        <f t="shared" ca="1" si="59"/>
        <v>898.65674558973842</v>
      </c>
      <c r="F308" s="42">
        <f ca="1">IF(B308&lt;=$D$16,F307*(1+$D$13)^((C308-C307)/_xlfn.DAYS(EDATE(C307,1),C307)),F307-D308)+IF(B308&lt;=$D$16,F307*Resumo!$F$12,0)+IF(B308&lt;=$D$16,$D$15*Resumo!$F$13,0)+IF(B308&lt;=$D$16,25,0)-IF(AND($D$16&gt;3,B308&lt;=$D$16),J308,0)</f>
        <v>130798.77505539983</v>
      </c>
      <c r="G308" s="42">
        <f ca="1">IF(AND(B308&lt;&gt;"",K308&lt;&gt;$D$17,$D$16&gt;3),F308*Resumo!$F$12,IF(AND(B308&lt;&gt;"",K308&lt;&gt;$D$17,B308&gt;$D$16),F308*Resumo!$F$12,0))</f>
        <v>27.467742761633968</v>
      </c>
      <c r="H308" s="42">
        <f>IF(AND(B308&lt;&gt;"",K308&lt;&gt;$D$17,$D$16&gt;3,$B308&lt;=$D$16),$D$15*Resumo!$F$13,IF(AND(B308&lt;&gt;"",K308&lt;&gt;$D$17,B308&gt;$D$16),$D$15*Resumo!$F$13,0))</f>
        <v>34.369999999999997</v>
      </c>
      <c r="I308" s="42">
        <f>IF(AND(B308&lt;&gt;"",K308&lt;&gt;$D$17,$D$16&gt;3,$B308&lt;=$D$16),Resumo!$F$11,IF(AND(B308&lt;&gt;"",K308&lt;&gt;$D$17,B308&gt;$D$16),Resumo!$F$11,0))</f>
        <v>25</v>
      </c>
      <c r="J308" s="42">
        <f t="shared" ca="1" si="54"/>
        <v>2342.1231961483804</v>
      </c>
      <c r="K308" s="39" t="str">
        <f>IF(B308&lt;&gt;"",VLOOKUP(MONTH(C308),Sheet2!$F$1:$G$12,2,0),"")</f>
        <v>Maio</v>
      </c>
      <c r="L308" s="200">
        <f t="shared" ca="1" si="55"/>
        <v>0</v>
      </c>
      <c r="M308" s="40">
        <f t="shared" ca="1" si="56"/>
        <v>2255.2854533867467</v>
      </c>
      <c r="N308" s="40">
        <f t="shared" ca="1" si="57"/>
        <v>2342.1231961483804</v>
      </c>
      <c r="O308" s="40"/>
      <c r="P308" s="20">
        <f t="shared" ca="1" si="49"/>
        <v>834.89136490250701</v>
      </c>
      <c r="Q308" s="1">
        <f t="shared" si="50"/>
        <v>8715</v>
      </c>
      <c r="R308" s="171">
        <f>IF(AND($J$2&gt;=DATEVALUE("03/04/2020"),$J$2&lt;=DATEVALUE("25/11/2020")),0,IF(Resumo!$C$19="PF",IF(Q308&lt;360,0.0082%*Q308,3%),IF(Q308&lt;360,0.0041%*Q308,1.5%)))</f>
        <v>1.4999999999999999E-2</v>
      </c>
      <c r="S308" s="172">
        <f t="shared" ca="1" si="51"/>
        <v>12.523370473537605</v>
      </c>
      <c r="W308" s="216">
        <f t="shared" ca="1" si="58"/>
        <v>2255.2854533867467</v>
      </c>
    </row>
    <row r="309" spans="2:23">
      <c r="B309" s="37">
        <f t="shared" si="52"/>
        <v>287</v>
      </c>
      <c r="C309" s="163">
        <f t="shared" si="53"/>
        <v>53493</v>
      </c>
      <c r="D309" s="38">
        <f t="shared" ca="1" si="48"/>
        <v>1365.8537830100279</v>
      </c>
      <c r="E309" s="38">
        <f t="shared" ca="1" si="59"/>
        <v>889.43167037671878</v>
      </c>
      <c r="F309" s="38">
        <f ca="1">IF(B309&lt;=$D$16,F308*(1+$D$13)^((C309-C308)/_xlfn.DAYS(EDATE(C308,1),C308)),F308-D309)+IF(B309&lt;=$D$16,F308*Resumo!$F$12,0)+IF(B309&lt;=$D$16,$D$15*Resumo!$F$13,0)+IF(B309&lt;=$D$16,25,0)-IF(AND($D$16&gt;3,B309&lt;=$D$16),J309,0)</f>
        <v>129432.92127238981</v>
      </c>
      <c r="G309" s="38">
        <f ca="1">IF(AND(B309&lt;&gt;"",K309&lt;&gt;$D$17,$D$16&gt;3),F309*Resumo!$F$12,IF(AND(B309&lt;&gt;"",K309&lt;&gt;$D$17,B309&gt;$D$16),F309*Resumo!$F$12,0))</f>
        <v>27.180913467201862</v>
      </c>
      <c r="H309" s="38">
        <f>IF(AND(B309&lt;&gt;"",K309&lt;&gt;$D$17,$D$16&gt;3,$B309&lt;=$D$16),$D$15*Resumo!$F$13,IF(AND(B309&lt;&gt;"",K309&lt;&gt;$D$17,B309&gt;$D$16),$D$15*Resumo!$F$13,0))</f>
        <v>34.369999999999997</v>
      </c>
      <c r="I309" s="38">
        <f>IF(AND(B309&lt;&gt;"",K309&lt;&gt;$D$17,$D$16&gt;3,$B309&lt;=$D$16),Resumo!$F$11,IF(AND(B309&lt;&gt;"",K309&lt;&gt;$D$17,B309&gt;$D$16),Resumo!$F$11,0))</f>
        <v>25</v>
      </c>
      <c r="J309" s="38">
        <f t="shared" ca="1" si="54"/>
        <v>2341.8363668539482</v>
      </c>
      <c r="K309" s="39" t="str">
        <f>IF(B309&lt;&gt;"",VLOOKUP(MONTH(C309),Sheet2!$F$1:$G$12,2,0),"")</f>
        <v>Junho</v>
      </c>
      <c r="L309" s="200">
        <f t="shared" ca="1" si="55"/>
        <v>0</v>
      </c>
      <c r="M309" s="40">
        <f t="shared" ca="1" si="56"/>
        <v>2255.2854533867467</v>
      </c>
      <c r="N309" s="40">
        <f t="shared" ca="1" si="57"/>
        <v>2341.8363668539482</v>
      </c>
      <c r="O309" s="40"/>
      <c r="P309" s="20">
        <f t="shared" ca="1" si="49"/>
        <v>834.89136490250701</v>
      </c>
      <c r="Q309" s="1">
        <f t="shared" si="50"/>
        <v>8746</v>
      </c>
      <c r="R309" s="171">
        <f>IF(AND($J$2&gt;=DATEVALUE("03/04/2020"),$J$2&lt;=DATEVALUE("25/11/2020")),0,IF(Resumo!$C$19="PF",IF(Q309&lt;360,0.0082%*Q309,3%),IF(Q309&lt;360,0.0041%*Q309,1.5%)))</f>
        <v>1.4999999999999999E-2</v>
      </c>
      <c r="S309" s="172">
        <f t="shared" ca="1" si="51"/>
        <v>12.523370473537605</v>
      </c>
      <c r="W309" s="216">
        <f t="shared" ca="1" si="58"/>
        <v>2255.2854533867467</v>
      </c>
    </row>
    <row r="310" spans="2:23">
      <c r="B310" s="41">
        <f t="shared" si="52"/>
        <v>288</v>
      </c>
      <c r="C310" s="164">
        <f t="shared" si="53"/>
        <v>53523</v>
      </c>
      <c r="D310" s="42">
        <f t="shared" ca="1" si="48"/>
        <v>1375.1415887344961</v>
      </c>
      <c r="E310" s="42">
        <f t="shared" ca="1" si="59"/>
        <v>880.14386465225061</v>
      </c>
      <c r="F310" s="42">
        <f ca="1">IF(B310&lt;=$D$16,F309*(1+$D$13)^((C310-C309)/_xlfn.DAYS(EDATE(C309,1),C309)),F309-D310)+IF(B310&lt;=$D$16,F309*Resumo!$F$12,0)+IF(B310&lt;=$D$16,$D$15*Resumo!$F$13,0)+IF(B310&lt;=$D$16,25,0)-IF(AND($D$16&gt;3,B310&lt;=$D$16),J310,0)</f>
        <v>128057.77968365532</v>
      </c>
      <c r="G310" s="42">
        <f ca="1">IF(AND(B310&lt;&gt;"",K310&lt;&gt;$D$17,$D$16&gt;3),F310*Resumo!$F$12,IF(AND(B310&lt;&gt;"",K310&lt;&gt;$D$17,B310&gt;$D$16),F310*Resumo!$F$12,0))</f>
        <v>26.892133733567618</v>
      </c>
      <c r="H310" s="42">
        <f>IF(AND(B310&lt;&gt;"",K310&lt;&gt;$D$17,$D$16&gt;3,$B310&lt;=$D$16),$D$15*Resumo!$F$13,IF(AND(B310&lt;&gt;"",K310&lt;&gt;$D$17,B310&gt;$D$16),$D$15*Resumo!$F$13,0))</f>
        <v>34.369999999999997</v>
      </c>
      <c r="I310" s="42">
        <f>IF(AND(B310&lt;&gt;"",K310&lt;&gt;$D$17,$D$16&gt;3,$B310&lt;=$D$16),Resumo!$F$11,IF(AND(B310&lt;&gt;"",K310&lt;&gt;$D$17,B310&gt;$D$16),Resumo!$F$11,0))</f>
        <v>25</v>
      </c>
      <c r="J310" s="42">
        <f t="shared" ca="1" si="54"/>
        <v>2341.5475871203143</v>
      </c>
      <c r="K310" s="39" t="str">
        <f>IF(B310&lt;&gt;"",VLOOKUP(MONTH(C310),Sheet2!$F$1:$G$12,2,0),"")</f>
        <v>Julho</v>
      </c>
      <c r="L310" s="200">
        <f t="shared" ca="1" si="55"/>
        <v>0</v>
      </c>
      <c r="M310" s="40">
        <f t="shared" ca="1" si="56"/>
        <v>2255.2854533867467</v>
      </c>
      <c r="N310" s="40">
        <f t="shared" ca="1" si="57"/>
        <v>2341.5475871203143</v>
      </c>
      <c r="O310" s="40"/>
      <c r="P310" s="20">
        <f t="shared" ca="1" si="49"/>
        <v>834.89136490250701</v>
      </c>
      <c r="Q310" s="1">
        <f t="shared" si="50"/>
        <v>8776</v>
      </c>
      <c r="R310" s="171">
        <f>IF(AND($J$2&gt;=DATEVALUE("03/04/2020"),$J$2&lt;=DATEVALUE("25/11/2020")),0,IF(Resumo!$C$19="PF",IF(Q310&lt;360,0.0082%*Q310,3%),IF(Q310&lt;360,0.0041%*Q310,1.5%)))</f>
        <v>1.4999999999999999E-2</v>
      </c>
      <c r="S310" s="172">
        <f t="shared" ca="1" si="51"/>
        <v>12.523370473537605</v>
      </c>
      <c r="W310" s="216">
        <f t="shared" ca="1" si="58"/>
        <v>2255.2854533867467</v>
      </c>
    </row>
    <row r="311" spans="2:23">
      <c r="B311" s="37">
        <f t="shared" si="52"/>
        <v>289</v>
      </c>
      <c r="C311" s="163">
        <f t="shared" si="53"/>
        <v>53554</v>
      </c>
      <c r="D311" s="38">
        <f t="shared" ca="1" si="48"/>
        <v>1384.4925515378904</v>
      </c>
      <c r="E311" s="38">
        <f t="shared" ca="1" si="59"/>
        <v>870.7929018488561</v>
      </c>
      <c r="F311" s="38">
        <f ca="1">IF(B311&lt;=$D$16,F310*(1+$D$13)^((C311-C310)/_xlfn.DAYS(EDATE(C310,1),C310)),F310-D311)+IF(B311&lt;=$D$16,F310*Resumo!$F$12,0)+IF(B311&lt;=$D$16,$D$15*Resumo!$F$13,0)+IF(B311&lt;=$D$16,25,0)-IF(AND($D$16&gt;3,B311&lt;=$D$16),J311,0)</f>
        <v>126673.28713211743</v>
      </c>
      <c r="G311" s="38">
        <f ca="1">IF(AND(B311&lt;&gt;"",K311&lt;&gt;$D$17,$D$16&gt;3),F311*Resumo!$F$12,IF(AND(B311&lt;&gt;"",K311&lt;&gt;$D$17,B311&gt;$D$16),F311*Resumo!$F$12,0))</f>
        <v>26.601390297744661</v>
      </c>
      <c r="H311" s="38">
        <f>IF(AND(B311&lt;&gt;"",K311&lt;&gt;$D$17,$D$16&gt;3,$B311&lt;=$D$16),$D$15*Resumo!$F$13,IF(AND(B311&lt;&gt;"",K311&lt;&gt;$D$17,B311&gt;$D$16),$D$15*Resumo!$F$13,0))</f>
        <v>34.369999999999997</v>
      </c>
      <c r="I311" s="38">
        <f>IF(AND(B311&lt;&gt;"",K311&lt;&gt;$D$17,$D$16&gt;3,$B311&lt;=$D$16),Resumo!$F$11,IF(AND(B311&lt;&gt;"",K311&lt;&gt;$D$17,B311&gt;$D$16),Resumo!$F$11,0))</f>
        <v>25</v>
      </c>
      <c r="J311" s="38">
        <f t="shared" ca="1" si="54"/>
        <v>2341.2568436844913</v>
      </c>
      <c r="K311" s="39" t="str">
        <f>IF(B311&lt;&gt;"",VLOOKUP(MONTH(C311),Sheet2!$F$1:$G$12,2,0),"")</f>
        <v>Agosto</v>
      </c>
      <c r="L311" s="200">
        <f t="shared" ca="1" si="55"/>
        <v>0</v>
      </c>
      <c r="M311" s="40">
        <f t="shared" ca="1" si="56"/>
        <v>2255.2854533867467</v>
      </c>
      <c r="N311" s="40">
        <f t="shared" ca="1" si="57"/>
        <v>2341.2568436844913</v>
      </c>
      <c r="O311" s="40"/>
      <c r="P311" s="20">
        <f t="shared" ca="1" si="49"/>
        <v>834.89136490250701</v>
      </c>
      <c r="Q311" s="1">
        <f t="shared" si="50"/>
        <v>8807</v>
      </c>
      <c r="R311" s="171">
        <f>IF(AND($J$2&gt;=DATEVALUE("03/04/2020"),$J$2&lt;=DATEVALUE("25/11/2020")),0,IF(Resumo!$C$19="PF",IF(Q311&lt;360,0.0082%*Q311,3%),IF(Q311&lt;360,0.0041%*Q311,1.5%)))</f>
        <v>1.4999999999999999E-2</v>
      </c>
      <c r="S311" s="172">
        <f t="shared" ca="1" si="51"/>
        <v>12.523370473537605</v>
      </c>
      <c r="W311" s="216">
        <f t="shared" ca="1" si="58"/>
        <v>2255.2854533867467</v>
      </c>
    </row>
    <row r="312" spans="2:23">
      <c r="B312" s="41">
        <f t="shared" si="52"/>
        <v>290</v>
      </c>
      <c r="C312" s="164">
        <f t="shared" si="53"/>
        <v>53585</v>
      </c>
      <c r="D312" s="42">
        <f t="shared" ca="1" si="48"/>
        <v>1393.9071008883482</v>
      </c>
      <c r="E312" s="42">
        <f t="shared" ca="1" si="59"/>
        <v>861.3783524983985</v>
      </c>
      <c r="F312" s="42">
        <f ca="1">IF(B312&lt;=$D$16,F311*(1+$D$13)^((C312-C311)/_xlfn.DAYS(EDATE(C311,1),C311)),F311-D312)+IF(B312&lt;=$D$16,F311*Resumo!$F$12,0)+IF(B312&lt;=$D$16,$D$15*Resumo!$F$13,0)+IF(B312&lt;=$D$16,25,0)-IF(AND($D$16&gt;3,B312&lt;=$D$16),J312,0)</f>
        <v>125279.38003122908</v>
      </c>
      <c r="G312" s="42">
        <f ca="1">IF(AND(B312&lt;&gt;"",K312&lt;&gt;$D$17,$D$16&gt;3),F312*Resumo!$F$12,IF(AND(B312&lt;&gt;"",K312&lt;&gt;$D$17,B312&gt;$D$16),F312*Resumo!$F$12,0))</f>
        <v>26.308669806558107</v>
      </c>
      <c r="H312" s="42">
        <f>IF(AND(B312&lt;&gt;"",K312&lt;&gt;$D$17,$D$16&gt;3,$B312&lt;=$D$16),$D$15*Resumo!$F$13,IF(AND(B312&lt;&gt;"",K312&lt;&gt;$D$17,B312&gt;$D$16),$D$15*Resumo!$F$13,0))</f>
        <v>34.369999999999997</v>
      </c>
      <c r="I312" s="42">
        <f>IF(AND(B312&lt;&gt;"",K312&lt;&gt;$D$17,$D$16&gt;3,$B312&lt;=$D$16),Resumo!$F$11,IF(AND(B312&lt;&gt;"",K312&lt;&gt;$D$17,B312&gt;$D$16),Resumo!$F$11,0))</f>
        <v>25</v>
      </c>
      <c r="J312" s="42">
        <f t="shared" ca="1" si="54"/>
        <v>2340.9641231933047</v>
      </c>
      <c r="K312" s="39" t="str">
        <f>IF(B312&lt;&gt;"",VLOOKUP(MONTH(C312),Sheet2!$F$1:$G$12,2,0),"")</f>
        <v>Setembro</v>
      </c>
      <c r="L312" s="200">
        <f t="shared" ca="1" si="55"/>
        <v>0</v>
      </c>
      <c r="M312" s="40">
        <f t="shared" ca="1" si="56"/>
        <v>2255.2854533867467</v>
      </c>
      <c r="N312" s="40">
        <f t="shared" ca="1" si="57"/>
        <v>2340.9641231933047</v>
      </c>
      <c r="O312" s="40"/>
      <c r="P312" s="20">
        <f t="shared" ca="1" si="49"/>
        <v>834.89136490250701</v>
      </c>
      <c r="Q312" s="1">
        <f t="shared" si="50"/>
        <v>8838</v>
      </c>
      <c r="R312" s="171">
        <f>IF(AND($J$2&gt;=DATEVALUE("03/04/2020"),$J$2&lt;=DATEVALUE("25/11/2020")),0,IF(Resumo!$C$19="PF",IF(Q312&lt;360,0.0082%*Q312,3%),IF(Q312&lt;360,0.0041%*Q312,1.5%)))</f>
        <v>1.4999999999999999E-2</v>
      </c>
      <c r="S312" s="172">
        <f t="shared" ca="1" si="51"/>
        <v>12.523370473537605</v>
      </c>
      <c r="W312" s="216">
        <f t="shared" ca="1" si="58"/>
        <v>2255.2854533867467</v>
      </c>
    </row>
    <row r="313" spans="2:23">
      <c r="B313" s="37">
        <f t="shared" si="52"/>
        <v>291</v>
      </c>
      <c r="C313" s="163">
        <f t="shared" si="53"/>
        <v>53615</v>
      </c>
      <c r="D313" s="38">
        <f t="shared" ca="1" si="48"/>
        <v>1403.385669174389</v>
      </c>
      <c r="E313" s="38">
        <f t="shared" ca="1" si="59"/>
        <v>851.89978421235776</v>
      </c>
      <c r="F313" s="38">
        <f ca="1">IF(B313&lt;=$D$16,F312*(1+$D$13)^((C313-C312)/_xlfn.DAYS(EDATE(C312,1),C312)),F312-D313)+IF(B313&lt;=$D$16,F312*Resumo!$F$12,0)+IF(B313&lt;=$D$16,$D$15*Resumo!$F$13,0)+IF(B313&lt;=$D$16,25,0)-IF(AND($D$16&gt;3,B313&lt;=$D$16),J313,0)</f>
        <v>123875.9943620547</v>
      </c>
      <c r="G313" s="38">
        <f ca="1">IF(AND(B313&lt;&gt;"",K313&lt;&gt;$D$17,$D$16&gt;3),F313*Resumo!$F$12,IF(AND(B313&lt;&gt;"",K313&lt;&gt;$D$17,B313&gt;$D$16),F313*Resumo!$F$12,0))</f>
        <v>26.013958816031487</v>
      </c>
      <c r="H313" s="38">
        <f>IF(AND(B313&lt;&gt;"",K313&lt;&gt;$D$17,$D$16&gt;3,$B313&lt;=$D$16),$D$15*Resumo!$F$13,IF(AND(B313&lt;&gt;"",K313&lt;&gt;$D$17,B313&gt;$D$16),$D$15*Resumo!$F$13,0))</f>
        <v>34.369999999999997</v>
      </c>
      <c r="I313" s="38">
        <f>IF(AND(B313&lt;&gt;"",K313&lt;&gt;$D$17,$D$16&gt;3,$B313&lt;=$D$16),Resumo!$F$11,IF(AND(B313&lt;&gt;"",K313&lt;&gt;$D$17,B313&gt;$D$16),Resumo!$F$11,0))</f>
        <v>25</v>
      </c>
      <c r="J313" s="38">
        <f t="shared" ca="1" si="54"/>
        <v>2340.6694122027779</v>
      </c>
      <c r="K313" s="39" t="str">
        <f>IF(B313&lt;&gt;"",VLOOKUP(MONTH(C313),Sheet2!$F$1:$G$12,2,0),"")</f>
        <v>Outubro</v>
      </c>
      <c r="L313" s="200">
        <f t="shared" ca="1" si="55"/>
        <v>0</v>
      </c>
      <c r="M313" s="40">
        <f t="shared" ca="1" si="56"/>
        <v>2255.2854533867467</v>
      </c>
      <c r="N313" s="40">
        <f t="shared" ca="1" si="57"/>
        <v>2340.6694122027779</v>
      </c>
      <c r="O313" s="40"/>
      <c r="P313" s="20">
        <f t="shared" ca="1" si="49"/>
        <v>834.89136490250701</v>
      </c>
      <c r="Q313" s="1">
        <f t="shared" si="50"/>
        <v>8868</v>
      </c>
      <c r="R313" s="171">
        <f>IF(AND($J$2&gt;=DATEVALUE("03/04/2020"),$J$2&lt;=DATEVALUE("25/11/2020")),0,IF(Resumo!$C$19="PF",IF(Q313&lt;360,0.0082%*Q313,3%),IF(Q313&lt;360,0.0041%*Q313,1.5%)))</f>
        <v>1.4999999999999999E-2</v>
      </c>
      <c r="S313" s="172">
        <f t="shared" ca="1" si="51"/>
        <v>12.523370473537605</v>
      </c>
      <c r="W313" s="216">
        <f t="shared" ca="1" si="58"/>
        <v>2255.2854533867467</v>
      </c>
    </row>
    <row r="314" spans="2:23">
      <c r="B314" s="41">
        <f t="shared" si="52"/>
        <v>292</v>
      </c>
      <c r="C314" s="164">
        <f t="shared" si="53"/>
        <v>53646</v>
      </c>
      <c r="D314" s="42">
        <f t="shared" ca="1" si="48"/>
        <v>1412.9286917247748</v>
      </c>
      <c r="E314" s="42">
        <f t="shared" ca="1" si="59"/>
        <v>842.35676166197186</v>
      </c>
      <c r="F314" s="42">
        <f ca="1">IF(B314&lt;=$D$16,F313*(1+$D$13)^((C314-C313)/_xlfn.DAYS(EDATE(C313,1),C313)),F313-D314)+IF(B314&lt;=$D$16,F313*Resumo!$F$12,0)+IF(B314&lt;=$D$16,$D$15*Resumo!$F$13,0)+IF(B314&lt;=$D$16,25,0)-IF(AND($D$16&gt;3,B314&lt;=$D$16),J314,0)</f>
        <v>122463.06567032992</v>
      </c>
      <c r="G314" s="42">
        <f ca="1">IF(AND(B314&lt;&gt;"",K314&lt;&gt;$D$17,$D$16&gt;3),F314*Resumo!$F$12,IF(AND(B314&lt;&gt;"",K314&lt;&gt;$D$17,B314&gt;$D$16),F314*Resumo!$F$12,0))</f>
        <v>25.717243790769285</v>
      </c>
      <c r="H314" s="42">
        <f>IF(AND(B314&lt;&gt;"",K314&lt;&gt;$D$17,$D$16&gt;3,$B314&lt;=$D$16),$D$15*Resumo!$F$13,IF(AND(B314&lt;&gt;"",K314&lt;&gt;$D$17,B314&gt;$D$16),$D$15*Resumo!$F$13,0))</f>
        <v>34.369999999999997</v>
      </c>
      <c r="I314" s="42">
        <f>IF(AND(B314&lt;&gt;"",K314&lt;&gt;$D$17,$D$16&gt;3,$B314&lt;=$D$16),Resumo!$F$11,IF(AND(B314&lt;&gt;"",K314&lt;&gt;$D$17,B314&gt;$D$16),Resumo!$F$11,0))</f>
        <v>25</v>
      </c>
      <c r="J314" s="42">
        <f t="shared" ca="1" si="54"/>
        <v>2340.3726971775159</v>
      </c>
      <c r="K314" s="39" t="str">
        <f>IF(B314&lt;&gt;"",VLOOKUP(MONTH(C314),Sheet2!$F$1:$G$12,2,0),"")</f>
        <v>Novembro</v>
      </c>
      <c r="L314" s="200">
        <f t="shared" ca="1" si="55"/>
        <v>0</v>
      </c>
      <c r="M314" s="40">
        <f t="shared" ca="1" si="56"/>
        <v>2255.2854533867467</v>
      </c>
      <c r="N314" s="40">
        <f t="shared" ca="1" si="57"/>
        <v>2340.3726971775159</v>
      </c>
      <c r="O314" s="40"/>
      <c r="P314" s="20">
        <f t="shared" ca="1" si="49"/>
        <v>834.89136490250701</v>
      </c>
      <c r="Q314" s="1">
        <f t="shared" si="50"/>
        <v>8899</v>
      </c>
      <c r="R314" s="171">
        <f>IF(AND($J$2&gt;=DATEVALUE("03/04/2020"),$J$2&lt;=DATEVALUE("25/11/2020")),0,IF(Resumo!$C$19="PF",IF(Q314&lt;360,0.0082%*Q314,3%),IF(Q314&lt;360,0.0041%*Q314,1.5%)))</f>
        <v>1.4999999999999999E-2</v>
      </c>
      <c r="S314" s="172">
        <f t="shared" ca="1" si="51"/>
        <v>12.523370473537605</v>
      </c>
      <c r="W314" s="216">
        <f t="shared" ca="1" si="58"/>
        <v>2255.2854533867467</v>
      </c>
    </row>
    <row r="315" spans="2:23">
      <c r="B315" s="37">
        <f t="shared" si="52"/>
        <v>293</v>
      </c>
      <c r="C315" s="163">
        <f t="shared" si="53"/>
        <v>53676</v>
      </c>
      <c r="D315" s="38">
        <f t="shared" ca="1" si="48"/>
        <v>1422.5366068285034</v>
      </c>
      <c r="E315" s="38">
        <f t="shared" ca="1" si="59"/>
        <v>832.74884655824337</v>
      </c>
      <c r="F315" s="38">
        <f ca="1">IF(B315&lt;=$D$16,F314*(1+$D$13)^((C315-C314)/_xlfn.DAYS(EDATE(C314,1),C314)),F314-D315)+IF(B315&lt;=$D$16,F314*Resumo!$F$12,0)+IF(B315&lt;=$D$16,$D$15*Resumo!$F$13,0)+IF(B315&lt;=$D$16,25,0)-IF(AND($D$16&gt;3,B315&lt;=$D$16),J315,0)</f>
        <v>121040.52906350141</v>
      </c>
      <c r="G315" s="38">
        <f ca="1">IF(AND(B315&lt;&gt;"",K315&lt;&gt;$D$17,$D$16&gt;3),F315*Resumo!$F$12,IF(AND(B315&lt;&gt;"",K315&lt;&gt;$D$17,B315&gt;$D$16),F315*Resumo!$F$12,0))</f>
        <v>25.418511103335298</v>
      </c>
      <c r="H315" s="38">
        <f>IF(AND(B315&lt;&gt;"",K315&lt;&gt;$D$17,$D$16&gt;3,$B315&lt;=$D$16),$D$15*Resumo!$F$13,IF(AND(B315&lt;&gt;"",K315&lt;&gt;$D$17,B315&gt;$D$16),$D$15*Resumo!$F$13,0))</f>
        <v>34.369999999999997</v>
      </c>
      <c r="I315" s="38">
        <f>IF(AND(B315&lt;&gt;"",K315&lt;&gt;$D$17,$D$16&gt;3,$B315&lt;=$D$16),Resumo!$F$11,IF(AND(B315&lt;&gt;"",K315&lt;&gt;$D$17,B315&gt;$D$16),Resumo!$F$11,0))</f>
        <v>25</v>
      </c>
      <c r="J315" s="38">
        <f t="shared" ca="1" si="54"/>
        <v>2340.0739644900818</v>
      </c>
      <c r="K315" s="39" t="str">
        <f>IF(B315&lt;&gt;"",VLOOKUP(MONTH(C315),Sheet2!$F$1:$G$12,2,0),"")</f>
        <v>Dezembro</v>
      </c>
      <c r="L315" s="200">
        <f t="shared" ca="1" si="55"/>
        <v>0</v>
      </c>
      <c r="M315" s="40">
        <f t="shared" ca="1" si="56"/>
        <v>2255.2854533867467</v>
      </c>
      <c r="N315" s="40">
        <f t="shared" ca="1" si="57"/>
        <v>2340.0739644900818</v>
      </c>
      <c r="O315" s="40"/>
      <c r="P315" s="20">
        <f t="shared" ca="1" si="49"/>
        <v>834.89136490250701</v>
      </c>
      <c r="Q315" s="1">
        <f t="shared" si="50"/>
        <v>8929</v>
      </c>
      <c r="R315" s="171">
        <f>IF(AND($J$2&gt;=DATEVALUE("03/04/2020"),$J$2&lt;=DATEVALUE("25/11/2020")),0,IF(Resumo!$C$19="PF",IF(Q315&lt;360,0.0082%*Q315,3%),IF(Q315&lt;360,0.0041%*Q315,1.5%)))</f>
        <v>1.4999999999999999E-2</v>
      </c>
      <c r="S315" s="172">
        <f t="shared" ca="1" si="51"/>
        <v>12.523370473537605</v>
      </c>
      <c r="W315" s="216">
        <f t="shared" ca="1" si="58"/>
        <v>2255.2854533867467</v>
      </c>
    </row>
    <row r="316" spans="2:23">
      <c r="B316" s="41">
        <f t="shared" si="52"/>
        <v>294</v>
      </c>
      <c r="C316" s="164">
        <f t="shared" si="53"/>
        <v>53707</v>
      </c>
      <c r="D316" s="42">
        <f t="shared" ca="1" si="48"/>
        <v>1432.2098557549371</v>
      </c>
      <c r="E316" s="42">
        <f t="shared" ca="1" si="59"/>
        <v>823.0755976318095</v>
      </c>
      <c r="F316" s="42">
        <f ca="1">IF(B316&lt;=$D$16,F315*(1+$D$13)^((C316-C315)/_xlfn.DAYS(EDATE(C315,1),C315)),F315-D316)+IF(B316&lt;=$D$16,F315*Resumo!$F$12,0)+IF(B316&lt;=$D$16,$D$15*Resumo!$F$13,0)+IF(B316&lt;=$D$16,25,0)-IF(AND($D$16&gt;3,B316&lt;=$D$16),J316,0)</f>
        <v>119608.31920774648</v>
      </c>
      <c r="G316" s="42">
        <f ca="1">IF(AND(B316&lt;&gt;"",K316&lt;&gt;$D$17,$D$16&gt;3),F316*Resumo!$F$12,IF(AND(B316&lt;&gt;"",K316&lt;&gt;$D$17,B316&gt;$D$16),F316*Resumo!$F$12,0))</f>
        <v>25.11774703362676</v>
      </c>
      <c r="H316" s="42">
        <f>IF(AND(B316&lt;&gt;"",K316&lt;&gt;$D$17,$D$16&gt;3,$B316&lt;=$D$16),$D$15*Resumo!$F$13,IF(AND(B316&lt;&gt;"",K316&lt;&gt;$D$17,B316&gt;$D$16),$D$15*Resumo!$F$13,0))</f>
        <v>34.369999999999997</v>
      </c>
      <c r="I316" s="42">
        <f>IF(AND(B316&lt;&gt;"",K316&lt;&gt;$D$17,$D$16&gt;3,$B316&lt;=$D$16),Resumo!$F$11,IF(AND(B316&lt;&gt;"",K316&lt;&gt;$D$17,B316&gt;$D$16),Resumo!$F$11,0))</f>
        <v>25</v>
      </c>
      <c r="J316" s="42">
        <f t="shared" ca="1" si="54"/>
        <v>2339.7732004203735</v>
      </c>
      <c r="K316" s="39" t="str">
        <f>IF(B316&lt;&gt;"",VLOOKUP(MONTH(C316),Sheet2!$F$1:$G$12,2,0),"")</f>
        <v>Janeiro</v>
      </c>
      <c r="L316" s="200">
        <f t="shared" ca="1" si="55"/>
        <v>0</v>
      </c>
      <c r="M316" s="40">
        <f t="shared" ca="1" si="56"/>
        <v>2255.2854533867467</v>
      </c>
      <c r="N316" s="40">
        <f t="shared" ca="1" si="57"/>
        <v>2339.7732004203735</v>
      </c>
      <c r="O316" s="40"/>
      <c r="P316" s="20">
        <f t="shared" ca="1" si="49"/>
        <v>834.89136490250701</v>
      </c>
      <c r="Q316" s="1">
        <f t="shared" si="50"/>
        <v>8960</v>
      </c>
      <c r="R316" s="171">
        <f>IF(AND($J$2&gt;=DATEVALUE("03/04/2020"),$J$2&lt;=DATEVALUE("25/11/2020")),0,IF(Resumo!$C$19="PF",IF(Q316&lt;360,0.0082%*Q316,3%),IF(Q316&lt;360,0.0041%*Q316,1.5%)))</f>
        <v>1.4999999999999999E-2</v>
      </c>
      <c r="S316" s="172">
        <f t="shared" ca="1" si="51"/>
        <v>12.523370473537605</v>
      </c>
      <c r="W316" s="216">
        <f t="shared" ca="1" si="58"/>
        <v>2255.2854533867467</v>
      </c>
    </row>
    <row r="317" spans="2:23">
      <c r="B317" s="37">
        <f t="shared" si="52"/>
        <v>295</v>
      </c>
      <c r="C317" s="163">
        <f t="shared" si="53"/>
        <v>53738</v>
      </c>
      <c r="D317" s="38">
        <f t="shared" ca="1" si="48"/>
        <v>1441.9488827740706</v>
      </c>
      <c r="E317" s="38">
        <f t="shared" ca="1" si="59"/>
        <v>813.33657061267604</v>
      </c>
      <c r="F317" s="38">
        <f ca="1">IF(B317&lt;=$D$16,F316*(1+$D$13)^((C317-C316)/_xlfn.DAYS(EDATE(C316,1),C316)),F316-D317)+IF(B317&lt;=$D$16,F316*Resumo!$F$12,0)+IF(B317&lt;=$D$16,$D$15*Resumo!$F$13,0)+IF(B317&lt;=$D$16,25,0)-IF(AND($D$16&gt;3,B317&lt;=$D$16),J317,0)</f>
        <v>118166.37032497241</v>
      </c>
      <c r="G317" s="38">
        <f ca="1">IF(AND(B317&lt;&gt;"",K317&lt;&gt;$D$17,$D$16&gt;3),F317*Resumo!$F$12,IF(AND(B317&lt;&gt;"",K317&lt;&gt;$D$17,B317&gt;$D$16),F317*Resumo!$F$12,0))</f>
        <v>24.814937768244206</v>
      </c>
      <c r="H317" s="38">
        <f>IF(AND(B317&lt;&gt;"",K317&lt;&gt;$D$17,$D$16&gt;3,$B317&lt;=$D$16),$D$15*Resumo!$F$13,IF(AND(B317&lt;&gt;"",K317&lt;&gt;$D$17,B317&gt;$D$16),$D$15*Resumo!$F$13,0))</f>
        <v>34.369999999999997</v>
      </c>
      <c r="I317" s="38">
        <f>IF(AND(B317&lt;&gt;"",K317&lt;&gt;$D$17,$D$16&gt;3,$B317&lt;=$D$16),Resumo!$F$11,IF(AND(B317&lt;&gt;"",K317&lt;&gt;$D$17,B317&gt;$D$16),Resumo!$F$11,0))</f>
        <v>25</v>
      </c>
      <c r="J317" s="38">
        <f t="shared" ca="1" si="54"/>
        <v>2339.4703911549909</v>
      </c>
      <c r="K317" s="39" t="str">
        <f>IF(B317&lt;&gt;"",VLOOKUP(MONTH(C317),Sheet2!$F$1:$G$12,2,0),"")</f>
        <v>Fevereiro</v>
      </c>
      <c r="L317" s="200">
        <f t="shared" ca="1" si="55"/>
        <v>0</v>
      </c>
      <c r="M317" s="40">
        <f t="shared" ca="1" si="56"/>
        <v>2255.2854533867467</v>
      </c>
      <c r="N317" s="40">
        <f t="shared" ca="1" si="57"/>
        <v>2339.4703911549909</v>
      </c>
      <c r="O317" s="40"/>
      <c r="P317" s="20">
        <f t="shared" ca="1" si="49"/>
        <v>834.89136490250701</v>
      </c>
      <c r="Q317" s="1">
        <f t="shared" si="50"/>
        <v>8991</v>
      </c>
      <c r="R317" s="171">
        <f>IF(AND($J$2&gt;=DATEVALUE("03/04/2020"),$J$2&lt;=DATEVALUE("25/11/2020")),0,IF(Resumo!$C$19="PF",IF(Q317&lt;360,0.0082%*Q317,3%),IF(Q317&lt;360,0.0041%*Q317,1.5%)))</f>
        <v>1.4999999999999999E-2</v>
      </c>
      <c r="S317" s="172">
        <f t="shared" ca="1" si="51"/>
        <v>12.523370473537605</v>
      </c>
      <c r="W317" s="216">
        <f t="shared" ca="1" si="58"/>
        <v>2255.2854533867467</v>
      </c>
    </row>
    <row r="318" spans="2:23">
      <c r="B318" s="41">
        <f t="shared" si="52"/>
        <v>296</v>
      </c>
      <c r="C318" s="164">
        <f t="shared" si="53"/>
        <v>53766</v>
      </c>
      <c r="D318" s="42">
        <f t="shared" ca="1" si="48"/>
        <v>1451.7541351769344</v>
      </c>
      <c r="E318" s="42">
        <f t="shared" ca="1" si="59"/>
        <v>803.5313182098123</v>
      </c>
      <c r="F318" s="42">
        <f ca="1">IF(B318&lt;=$D$16,F317*(1+$D$13)^((C318-C317)/_xlfn.DAYS(EDATE(C317,1),C317)),F317-D318)+IF(B318&lt;=$D$16,F317*Resumo!$F$12,0)+IF(B318&lt;=$D$16,$D$15*Resumo!$F$13,0)+IF(B318&lt;=$D$16,25,0)-IF(AND($D$16&gt;3,B318&lt;=$D$16),J318,0)</f>
        <v>116714.61618979547</v>
      </c>
      <c r="G318" s="42">
        <f ca="1">IF(AND(B318&lt;&gt;"",K318&lt;&gt;$D$17,$D$16&gt;3),F318*Resumo!$F$12,IF(AND(B318&lt;&gt;"",K318&lt;&gt;$D$17,B318&gt;$D$16),F318*Resumo!$F$12,0))</f>
        <v>24.510069399857052</v>
      </c>
      <c r="H318" s="42">
        <f>IF(AND(B318&lt;&gt;"",K318&lt;&gt;$D$17,$D$16&gt;3,$B318&lt;=$D$16),$D$15*Resumo!$F$13,IF(AND(B318&lt;&gt;"",K318&lt;&gt;$D$17,B318&gt;$D$16),$D$15*Resumo!$F$13,0))</f>
        <v>34.369999999999997</v>
      </c>
      <c r="I318" s="42">
        <f>IF(AND(B318&lt;&gt;"",K318&lt;&gt;$D$17,$D$16&gt;3,$B318&lt;=$D$16),Resumo!$F$11,IF(AND(B318&lt;&gt;"",K318&lt;&gt;$D$17,B318&gt;$D$16),Resumo!$F$11,0))</f>
        <v>25</v>
      </c>
      <c r="J318" s="42">
        <f t="shared" ca="1" si="54"/>
        <v>2339.1655227866036</v>
      </c>
      <c r="K318" s="39" t="str">
        <f>IF(B318&lt;&gt;"",VLOOKUP(MONTH(C318),Sheet2!$F$1:$G$12,2,0),"")</f>
        <v>Março</v>
      </c>
      <c r="L318" s="200">
        <f t="shared" ca="1" si="55"/>
        <v>0</v>
      </c>
      <c r="M318" s="40">
        <f t="shared" ca="1" si="56"/>
        <v>2255.2854533867467</v>
      </c>
      <c r="N318" s="40">
        <f t="shared" ca="1" si="57"/>
        <v>2339.1655227866036</v>
      </c>
      <c r="O318" s="40"/>
      <c r="P318" s="20">
        <f t="shared" ca="1" si="49"/>
        <v>834.89136490250701</v>
      </c>
      <c r="Q318" s="1">
        <f t="shared" si="50"/>
        <v>9019</v>
      </c>
      <c r="R318" s="171">
        <f>IF(AND($J$2&gt;=DATEVALUE("03/04/2020"),$J$2&lt;=DATEVALUE("25/11/2020")),0,IF(Resumo!$C$19="PF",IF(Q318&lt;360,0.0082%*Q318,3%),IF(Q318&lt;360,0.0041%*Q318,1.5%)))</f>
        <v>1.4999999999999999E-2</v>
      </c>
      <c r="S318" s="172">
        <f t="shared" ca="1" si="51"/>
        <v>12.523370473537605</v>
      </c>
      <c r="W318" s="216">
        <f t="shared" ca="1" si="58"/>
        <v>2255.2854533867467</v>
      </c>
    </row>
    <row r="319" spans="2:23">
      <c r="B319" s="37">
        <f t="shared" si="52"/>
        <v>297</v>
      </c>
      <c r="C319" s="163">
        <f t="shared" si="53"/>
        <v>53797</v>
      </c>
      <c r="D319" s="38">
        <f t="shared" ca="1" si="48"/>
        <v>1461.6260632961375</v>
      </c>
      <c r="E319" s="38">
        <f t="shared" ca="1" si="59"/>
        <v>793.65939009060912</v>
      </c>
      <c r="F319" s="38">
        <f ca="1">IF(B319&lt;=$D$16,F318*(1+$D$13)^((C319-C318)/_xlfn.DAYS(EDATE(C318,1),C318)),F318-D319)+IF(B319&lt;=$D$16,F318*Resumo!$F$12,0)+IF(B319&lt;=$D$16,$D$15*Resumo!$F$13,0)+IF(B319&lt;=$D$16,25,0)-IF(AND($D$16&gt;3,B319&lt;=$D$16),J319,0)</f>
        <v>115252.99012649934</v>
      </c>
      <c r="G319" s="38">
        <f ca="1">IF(AND(B319&lt;&gt;"",K319&lt;&gt;$D$17,$D$16&gt;3),F319*Resumo!$F$12,IF(AND(B319&lt;&gt;"",K319&lt;&gt;$D$17,B319&gt;$D$16),F319*Resumo!$F$12,0))</f>
        <v>24.203127926564861</v>
      </c>
      <c r="H319" s="38">
        <f>IF(AND(B319&lt;&gt;"",K319&lt;&gt;$D$17,$D$16&gt;3,$B319&lt;=$D$16),$D$15*Resumo!$F$13,IF(AND(B319&lt;&gt;"",K319&lt;&gt;$D$17,B319&gt;$D$16),$D$15*Resumo!$F$13,0))</f>
        <v>34.369999999999997</v>
      </c>
      <c r="I319" s="38">
        <f>IF(AND(B319&lt;&gt;"",K319&lt;&gt;$D$17,$D$16&gt;3,$B319&lt;=$D$16),Resumo!$F$11,IF(AND(B319&lt;&gt;"",K319&lt;&gt;$D$17,B319&gt;$D$16),Resumo!$F$11,0))</f>
        <v>25</v>
      </c>
      <c r="J319" s="38">
        <f t="shared" ca="1" si="54"/>
        <v>2338.8585813133113</v>
      </c>
      <c r="K319" s="39" t="str">
        <f>IF(B319&lt;&gt;"",VLOOKUP(MONTH(C319),Sheet2!$F$1:$G$12,2,0),"")</f>
        <v>Abril</v>
      </c>
      <c r="L319" s="200">
        <f t="shared" ca="1" si="55"/>
        <v>0</v>
      </c>
      <c r="M319" s="40">
        <f t="shared" ca="1" si="56"/>
        <v>2255.2854533867467</v>
      </c>
      <c r="N319" s="40">
        <f t="shared" ca="1" si="57"/>
        <v>2338.8585813133113</v>
      </c>
      <c r="O319" s="40"/>
      <c r="P319" s="20">
        <f t="shared" ca="1" si="49"/>
        <v>834.89136490250701</v>
      </c>
      <c r="Q319" s="1">
        <f t="shared" si="50"/>
        <v>9050</v>
      </c>
      <c r="R319" s="171">
        <f>IF(AND($J$2&gt;=DATEVALUE("03/04/2020"),$J$2&lt;=DATEVALUE("25/11/2020")),0,IF(Resumo!$C$19="PF",IF(Q319&lt;360,0.0082%*Q319,3%),IF(Q319&lt;360,0.0041%*Q319,1.5%)))</f>
        <v>1.4999999999999999E-2</v>
      </c>
      <c r="S319" s="172">
        <f t="shared" ca="1" si="51"/>
        <v>12.523370473537605</v>
      </c>
      <c r="W319" s="216">
        <f t="shared" ca="1" si="58"/>
        <v>2255.2854533867467</v>
      </c>
    </row>
    <row r="320" spans="2:23">
      <c r="B320" s="41">
        <f t="shared" si="52"/>
        <v>298</v>
      </c>
      <c r="C320" s="164">
        <f t="shared" si="53"/>
        <v>53827</v>
      </c>
      <c r="D320" s="42">
        <f t="shared" ca="1" si="48"/>
        <v>1471.5651205265513</v>
      </c>
      <c r="E320" s="42">
        <f t="shared" ca="1" si="59"/>
        <v>783.72033286019541</v>
      </c>
      <c r="F320" s="42">
        <f ca="1">IF(B320&lt;=$D$16,F319*(1+$D$13)^((C320-C319)/_xlfn.DAYS(EDATE(C319,1),C319)),F319-D320)+IF(B320&lt;=$D$16,F319*Resumo!$F$12,0)+IF(B320&lt;=$D$16,$D$15*Resumo!$F$13,0)+IF(B320&lt;=$D$16,25,0)-IF(AND($D$16&gt;3,B320&lt;=$D$16),J320,0)</f>
        <v>113781.42500597279</v>
      </c>
      <c r="G320" s="42">
        <f ca="1">IF(AND(B320&lt;&gt;"",K320&lt;&gt;$D$17,$D$16&gt;3),F320*Resumo!$F$12,IF(AND(B320&lt;&gt;"",K320&lt;&gt;$D$17,B320&gt;$D$16),F320*Resumo!$F$12,0))</f>
        <v>23.894099251254289</v>
      </c>
      <c r="H320" s="42">
        <f>IF(AND(B320&lt;&gt;"",K320&lt;&gt;$D$17,$D$16&gt;3,$B320&lt;=$D$16),$D$15*Resumo!$F$13,IF(AND(B320&lt;&gt;"",K320&lt;&gt;$D$17,B320&gt;$D$16),$D$15*Resumo!$F$13,0))</f>
        <v>34.369999999999997</v>
      </c>
      <c r="I320" s="42">
        <f>IF(AND(B320&lt;&gt;"",K320&lt;&gt;$D$17,$D$16&gt;3,$B320&lt;=$D$16),Resumo!$F$11,IF(AND(B320&lt;&gt;"",K320&lt;&gt;$D$17,B320&gt;$D$16),Resumo!$F$11,0))</f>
        <v>25</v>
      </c>
      <c r="J320" s="42">
        <f t="shared" ca="1" si="54"/>
        <v>2338.5495526380009</v>
      </c>
      <c r="K320" s="39" t="str">
        <f>IF(B320&lt;&gt;"",VLOOKUP(MONTH(C320),Sheet2!$F$1:$G$12,2,0),"")</f>
        <v>Maio</v>
      </c>
      <c r="L320" s="200">
        <f t="shared" ca="1" si="55"/>
        <v>0</v>
      </c>
      <c r="M320" s="40">
        <f t="shared" ca="1" si="56"/>
        <v>2255.2854533867467</v>
      </c>
      <c r="N320" s="40">
        <f t="shared" ca="1" si="57"/>
        <v>2338.5495526380009</v>
      </c>
      <c r="O320" s="40"/>
      <c r="P320" s="20">
        <f t="shared" ca="1" si="49"/>
        <v>834.89136490250701</v>
      </c>
      <c r="Q320" s="1">
        <f t="shared" si="50"/>
        <v>9080</v>
      </c>
      <c r="R320" s="171">
        <f>IF(AND($J$2&gt;=DATEVALUE("03/04/2020"),$J$2&lt;=DATEVALUE("25/11/2020")),0,IF(Resumo!$C$19="PF",IF(Q320&lt;360,0.0082%*Q320,3%),IF(Q320&lt;360,0.0041%*Q320,1.5%)))</f>
        <v>1.4999999999999999E-2</v>
      </c>
      <c r="S320" s="172">
        <f t="shared" ca="1" si="51"/>
        <v>12.523370473537605</v>
      </c>
      <c r="W320" s="216">
        <f t="shared" ca="1" si="58"/>
        <v>2255.2854533867467</v>
      </c>
    </row>
    <row r="321" spans="2:23">
      <c r="B321" s="37">
        <f t="shared" si="52"/>
        <v>299</v>
      </c>
      <c r="C321" s="163">
        <f t="shared" si="53"/>
        <v>53858</v>
      </c>
      <c r="D321" s="38">
        <f t="shared" ca="1" si="48"/>
        <v>1481.5717633461318</v>
      </c>
      <c r="E321" s="38">
        <f t="shared" ca="1" si="59"/>
        <v>773.71369004061489</v>
      </c>
      <c r="F321" s="38">
        <f ca="1">IF(B321&lt;=$D$16,F320*(1+$D$13)^((C321-C320)/_xlfn.DAYS(EDATE(C320,1),C320)),F320-D321)+IF(B321&lt;=$D$16,F320*Resumo!$F$12,0)+IF(B321&lt;=$D$16,$D$15*Resumo!$F$13,0)+IF(B321&lt;=$D$16,25,0)-IF(AND($D$16&gt;3,B321&lt;=$D$16),J321,0)</f>
        <v>112299.85324262666</v>
      </c>
      <c r="G321" s="38">
        <f ca="1">IF(AND(B321&lt;&gt;"",K321&lt;&gt;$D$17,$D$16&gt;3),F321*Resumo!$F$12,IF(AND(B321&lt;&gt;"",K321&lt;&gt;$D$17,B321&gt;$D$16),F321*Resumo!$F$12,0))</f>
        <v>23.582969180951601</v>
      </c>
      <c r="H321" s="38">
        <f>IF(AND(B321&lt;&gt;"",K321&lt;&gt;$D$17,$D$16&gt;3,$B321&lt;=$D$16),$D$15*Resumo!$F$13,IF(AND(B321&lt;&gt;"",K321&lt;&gt;$D$17,B321&gt;$D$16),$D$15*Resumo!$F$13,0))</f>
        <v>34.369999999999997</v>
      </c>
      <c r="I321" s="38">
        <f>IF(AND(B321&lt;&gt;"",K321&lt;&gt;$D$17,$D$16&gt;3,$B321&lt;=$D$16),Resumo!$F$11,IF(AND(B321&lt;&gt;"",K321&lt;&gt;$D$17,B321&gt;$D$16),Resumo!$F$11,0))</f>
        <v>25</v>
      </c>
      <c r="J321" s="38">
        <f t="shared" ca="1" si="54"/>
        <v>2338.2384225676983</v>
      </c>
      <c r="K321" s="39" t="str">
        <f>IF(B321&lt;&gt;"",VLOOKUP(MONTH(C321),Sheet2!$F$1:$G$12,2,0),"")</f>
        <v>Junho</v>
      </c>
      <c r="L321" s="200">
        <f t="shared" ca="1" si="55"/>
        <v>0</v>
      </c>
      <c r="M321" s="40">
        <f t="shared" ca="1" si="56"/>
        <v>2255.2854533867467</v>
      </c>
      <c r="N321" s="40">
        <f t="shared" ca="1" si="57"/>
        <v>2338.2384225676983</v>
      </c>
      <c r="O321" s="40"/>
      <c r="P321" s="20">
        <f t="shared" ca="1" si="49"/>
        <v>834.89136490250701</v>
      </c>
      <c r="Q321" s="1">
        <f t="shared" si="50"/>
        <v>9111</v>
      </c>
      <c r="R321" s="171">
        <f>IF(AND($J$2&gt;=DATEVALUE("03/04/2020"),$J$2&lt;=DATEVALUE("25/11/2020")),0,IF(Resumo!$C$19="PF",IF(Q321&lt;360,0.0082%*Q321,3%),IF(Q321&lt;360,0.0041%*Q321,1.5%)))</f>
        <v>1.4999999999999999E-2</v>
      </c>
      <c r="S321" s="172">
        <f t="shared" ca="1" si="51"/>
        <v>12.523370473537605</v>
      </c>
      <c r="W321" s="216">
        <f t="shared" ca="1" si="58"/>
        <v>2255.2854533867467</v>
      </c>
    </row>
    <row r="322" spans="2:23">
      <c r="B322" s="41">
        <f t="shared" si="52"/>
        <v>300</v>
      </c>
      <c r="C322" s="164">
        <f t="shared" si="53"/>
        <v>53888</v>
      </c>
      <c r="D322" s="42">
        <f t="shared" ca="1" si="48"/>
        <v>1491.6464513368855</v>
      </c>
      <c r="E322" s="42">
        <f t="shared" ca="1" si="59"/>
        <v>763.63900204986123</v>
      </c>
      <c r="F322" s="42">
        <f ca="1">IF(B322&lt;=$D$16,F321*(1+$D$13)^((C322-C321)/_xlfn.DAYS(EDATE(C321,1),C321)),F321-D322)+IF(B322&lt;=$D$16,F321*Resumo!$F$12,0)+IF(B322&lt;=$D$16,$D$15*Resumo!$F$13,0)+IF(B322&lt;=$D$16,25,0)-IF(AND($D$16&gt;3,B322&lt;=$D$16),J322,0)</f>
        <v>110808.20679128978</v>
      </c>
      <c r="G322" s="42">
        <f ca="1">IF(AND(B322&lt;&gt;"",K322&lt;&gt;$D$17,$D$16&gt;3),F322*Resumo!$F$12,IF(AND(B322&lt;&gt;"",K322&lt;&gt;$D$17,B322&gt;$D$16),F322*Resumo!$F$12,0))</f>
        <v>23.269723426170852</v>
      </c>
      <c r="H322" s="42">
        <f>IF(AND(B322&lt;&gt;"",K322&lt;&gt;$D$17,$D$16&gt;3,$B322&lt;=$D$16),$D$15*Resumo!$F$13,IF(AND(B322&lt;&gt;"",K322&lt;&gt;$D$17,B322&gt;$D$16),$D$15*Resumo!$F$13,0))</f>
        <v>34.369999999999997</v>
      </c>
      <c r="I322" s="42">
        <f>IF(AND(B322&lt;&gt;"",K322&lt;&gt;$D$17,$D$16&gt;3,$B322&lt;=$D$16),Resumo!$F$11,IF(AND(B322&lt;&gt;"",K322&lt;&gt;$D$17,B322&gt;$D$16),Resumo!$F$11,0))</f>
        <v>25</v>
      </c>
      <c r="J322" s="42">
        <f t="shared" ca="1" si="54"/>
        <v>2337.9251768129175</v>
      </c>
      <c r="K322" s="39" t="str">
        <f>IF(B322&lt;&gt;"",VLOOKUP(MONTH(C322),Sheet2!$F$1:$G$12,2,0),"")</f>
        <v>Julho</v>
      </c>
      <c r="L322" s="200">
        <f t="shared" ca="1" si="55"/>
        <v>0</v>
      </c>
      <c r="M322" s="40">
        <f t="shared" ca="1" si="56"/>
        <v>2255.2854533867467</v>
      </c>
      <c r="N322" s="40">
        <f t="shared" ca="1" si="57"/>
        <v>2337.9251768129175</v>
      </c>
      <c r="O322" s="40"/>
      <c r="P322" s="20">
        <f t="shared" ca="1" si="49"/>
        <v>834.89136490250701</v>
      </c>
      <c r="Q322" s="1">
        <f t="shared" si="50"/>
        <v>9141</v>
      </c>
      <c r="R322" s="171">
        <f>IF(AND($J$2&gt;=DATEVALUE("03/04/2020"),$J$2&lt;=DATEVALUE("25/11/2020")),0,IF(Resumo!$C$19="PF",IF(Q322&lt;360,0.0082%*Q322,3%),IF(Q322&lt;360,0.0041%*Q322,1.5%)))</f>
        <v>1.4999999999999999E-2</v>
      </c>
      <c r="S322" s="172">
        <f t="shared" ca="1" si="51"/>
        <v>12.523370473537605</v>
      </c>
      <c r="W322" s="216">
        <f t="shared" ca="1" si="58"/>
        <v>2255.2854533867467</v>
      </c>
    </row>
    <row r="323" spans="2:23">
      <c r="B323" s="37">
        <f t="shared" si="52"/>
        <v>301</v>
      </c>
      <c r="C323" s="163">
        <f t="shared" si="53"/>
        <v>53919</v>
      </c>
      <c r="D323" s="38">
        <f t="shared" ca="1" si="48"/>
        <v>1501.7896472059763</v>
      </c>
      <c r="E323" s="38">
        <f t="shared" ca="1" si="59"/>
        <v>753.49580618077039</v>
      </c>
      <c r="F323" s="38">
        <f ca="1">IF(B323&lt;=$D$16,F322*(1+$D$13)^((C323-C322)/_xlfn.DAYS(EDATE(C322,1),C322)),F322-D323)+IF(B323&lt;=$D$16,F322*Resumo!$F$12,0)+IF(B323&lt;=$D$16,$D$15*Resumo!$F$13,0)+IF(B323&lt;=$D$16,25,0)-IF(AND($D$16&gt;3,B323&lt;=$D$16),J323,0)</f>
        <v>109306.4171440838</v>
      </c>
      <c r="G323" s="38">
        <f ca="1">IF(AND(B323&lt;&gt;"",K323&lt;&gt;$D$17,$D$16&gt;3),F323*Resumo!$F$12,IF(AND(B323&lt;&gt;"",K323&lt;&gt;$D$17,B323&gt;$D$16),F323*Resumo!$F$12,0))</f>
        <v>22.954347600257599</v>
      </c>
      <c r="H323" s="38">
        <f>IF(AND(B323&lt;&gt;"",K323&lt;&gt;$D$17,$D$16&gt;3,$B323&lt;=$D$16),$D$15*Resumo!$F$13,IF(AND(B323&lt;&gt;"",K323&lt;&gt;$D$17,B323&gt;$D$16),$D$15*Resumo!$F$13,0))</f>
        <v>34.369999999999997</v>
      </c>
      <c r="I323" s="38">
        <f>IF(AND(B323&lt;&gt;"",K323&lt;&gt;$D$17,$D$16&gt;3,$B323&lt;=$D$16),Resumo!$F$11,IF(AND(B323&lt;&gt;"",K323&lt;&gt;$D$17,B323&gt;$D$16),Resumo!$F$11,0))</f>
        <v>25</v>
      </c>
      <c r="J323" s="38">
        <f t="shared" ca="1" si="54"/>
        <v>2337.6098009870043</v>
      </c>
      <c r="K323" s="39" t="str">
        <f>IF(B323&lt;&gt;"",VLOOKUP(MONTH(C323),Sheet2!$F$1:$G$12,2,0),"")</f>
        <v>Agosto</v>
      </c>
      <c r="L323" s="200">
        <f t="shared" ca="1" si="55"/>
        <v>0</v>
      </c>
      <c r="M323" s="40">
        <f t="shared" ca="1" si="56"/>
        <v>2255.2854533867467</v>
      </c>
      <c r="N323" s="40">
        <f t="shared" ca="1" si="57"/>
        <v>2337.6098009870043</v>
      </c>
      <c r="O323" s="40"/>
      <c r="P323" s="20">
        <f t="shared" ca="1" si="49"/>
        <v>834.89136490250701</v>
      </c>
      <c r="Q323" s="1">
        <f t="shared" si="50"/>
        <v>9172</v>
      </c>
      <c r="R323" s="171">
        <f>IF(AND($J$2&gt;=DATEVALUE("03/04/2020"),$J$2&lt;=DATEVALUE("25/11/2020")),0,IF(Resumo!$C$19="PF",IF(Q323&lt;360,0.0082%*Q323,3%),IF(Q323&lt;360,0.0041%*Q323,1.5%)))</f>
        <v>1.4999999999999999E-2</v>
      </c>
      <c r="S323" s="172">
        <f t="shared" ca="1" si="51"/>
        <v>12.523370473537605</v>
      </c>
      <c r="W323" s="216">
        <f t="shared" ca="1" si="58"/>
        <v>2255.2854533867467</v>
      </c>
    </row>
    <row r="324" spans="2:23">
      <c r="B324" s="41">
        <f t="shared" si="52"/>
        <v>302</v>
      </c>
      <c r="C324" s="164">
        <f t="shared" si="53"/>
        <v>53950</v>
      </c>
      <c r="D324" s="42">
        <f t="shared" ca="1" si="48"/>
        <v>1512.0018168069769</v>
      </c>
      <c r="E324" s="42">
        <f t="shared" ca="1" si="59"/>
        <v>743.28363657976979</v>
      </c>
      <c r="F324" s="42">
        <f ca="1">IF(B324&lt;=$D$16,F323*(1+$D$13)^((C324-C323)/_xlfn.DAYS(EDATE(C323,1),C323)),F323-D324)+IF(B324&lt;=$D$16,F323*Resumo!$F$12,0)+IF(B324&lt;=$D$16,$D$15*Resumo!$F$13,0)+IF(B324&lt;=$D$16,25,0)-IF(AND($D$16&gt;3,B324&lt;=$D$16),J324,0)</f>
        <v>107794.41532727682</v>
      </c>
      <c r="G324" s="42">
        <f ca="1">IF(AND(B324&lt;&gt;"",K324&lt;&gt;$D$17,$D$16&gt;3),F324*Resumo!$F$12,IF(AND(B324&lt;&gt;"",K324&lt;&gt;$D$17,B324&gt;$D$16),F324*Resumo!$F$12,0))</f>
        <v>22.636827218728133</v>
      </c>
      <c r="H324" s="42">
        <f>IF(AND(B324&lt;&gt;"",K324&lt;&gt;$D$17,$D$16&gt;3,$B324&lt;=$D$16),$D$15*Resumo!$F$13,IF(AND(B324&lt;&gt;"",K324&lt;&gt;$D$17,B324&gt;$D$16),$D$15*Resumo!$F$13,0))</f>
        <v>34.369999999999997</v>
      </c>
      <c r="I324" s="42">
        <f>IF(AND(B324&lt;&gt;"",K324&lt;&gt;$D$17,$D$16&gt;3,$B324&lt;=$D$16),Resumo!$F$11,IF(AND(B324&lt;&gt;"",K324&lt;&gt;$D$17,B324&gt;$D$16),Resumo!$F$11,0))</f>
        <v>25</v>
      </c>
      <c r="J324" s="42">
        <f t="shared" ca="1" si="54"/>
        <v>2337.2922806054748</v>
      </c>
      <c r="K324" s="39" t="str">
        <f>IF(B324&lt;&gt;"",VLOOKUP(MONTH(C324),Sheet2!$F$1:$G$12,2,0),"")</f>
        <v>Setembro</v>
      </c>
      <c r="L324" s="200">
        <f t="shared" ca="1" si="55"/>
        <v>0</v>
      </c>
      <c r="M324" s="40">
        <f t="shared" ca="1" si="56"/>
        <v>2255.2854533867467</v>
      </c>
      <c r="N324" s="40">
        <f t="shared" ca="1" si="57"/>
        <v>2337.2922806054748</v>
      </c>
      <c r="O324" s="40"/>
      <c r="P324" s="20">
        <f t="shared" ca="1" si="49"/>
        <v>834.89136490250701</v>
      </c>
      <c r="Q324" s="1">
        <f t="shared" si="50"/>
        <v>9203</v>
      </c>
      <c r="R324" s="171">
        <f>IF(AND($J$2&gt;=DATEVALUE("03/04/2020"),$J$2&lt;=DATEVALUE("25/11/2020")),0,IF(Resumo!$C$19="PF",IF(Q324&lt;360,0.0082%*Q324,3%),IF(Q324&lt;360,0.0041%*Q324,1.5%)))</f>
        <v>1.4999999999999999E-2</v>
      </c>
      <c r="S324" s="172">
        <f t="shared" ca="1" si="51"/>
        <v>12.523370473537605</v>
      </c>
      <c r="W324" s="216">
        <f t="shared" ca="1" si="58"/>
        <v>2255.2854533867467</v>
      </c>
    </row>
    <row r="325" spans="2:23">
      <c r="B325" s="37">
        <f t="shared" si="52"/>
        <v>303</v>
      </c>
      <c r="C325" s="163">
        <f t="shared" si="53"/>
        <v>53980</v>
      </c>
      <c r="D325" s="38">
        <f t="shared" ca="1" si="48"/>
        <v>1522.2834291612644</v>
      </c>
      <c r="E325" s="38">
        <f t="shared" ca="1" si="59"/>
        <v>733.00202422548227</v>
      </c>
      <c r="F325" s="38">
        <f ca="1">IF(B325&lt;=$D$16,F324*(1+$D$13)^((C325-C324)/_xlfn.DAYS(EDATE(C324,1),C324)),F324-D325)+IF(B325&lt;=$D$16,F324*Resumo!$F$12,0)+IF(B325&lt;=$D$16,$D$15*Resumo!$F$13,0)+IF(B325&lt;=$D$16,25,0)-IF(AND($D$16&gt;3,B325&lt;=$D$16),J325,0)</f>
        <v>106272.13189811555</v>
      </c>
      <c r="G325" s="38">
        <f ca="1">IF(AND(B325&lt;&gt;"",K325&lt;&gt;$D$17,$D$16&gt;3),F325*Resumo!$F$12,IF(AND(B325&lt;&gt;"",K325&lt;&gt;$D$17,B325&gt;$D$16),F325*Resumo!$F$12,0))</f>
        <v>22.317147698604266</v>
      </c>
      <c r="H325" s="38">
        <f>IF(AND(B325&lt;&gt;"",K325&lt;&gt;$D$17,$D$16&gt;3,$B325&lt;=$D$16),$D$15*Resumo!$F$13,IF(AND(B325&lt;&gt;"",K325&lt;&gt;$D$17,B325&gt;$D$16),$D$15*Resumo!$F$13,0))</f>
        <v>34.369999999999997</v>
      </c>
      <c r="I325" s="38">
        <f>IF(AND(B325&lt;&gt;"",K325&lt;&gt;$D$17,$D$16&gt;3,$B325&lt;=$D$16),Resumo!$F$11,IF(AND(B325&lt;&gt;"",K325&lt;&gt;$D$17,B325&gt;$D$16),Resumo!$F$11,0))</f>
        <v>25</v>
      </c>
      <c r="J325" s="38">
        <f t="shared" ca="1" si="54"/>
        <v>2336.972601085351</v>
      </c>
      <c r="K325" s="39" t="str">
        <f>IF(B325&lt;&gt;"",VLOOKUP(MONTH(C325),Sheet2!$F$1:$G$12,2,0),"")</f>
        <v>Outubro</v>
      </c>
      <c r="L325" s="200">
        <f t="shared" ca="1" si="55"/>
        <v>0</v>
      </c>
      <c r="M325" s="40">
        <f t="shared" ca="1" si="56"/>
        <v>2255.2854533867467</v>
      </c>
      <c r="N325" s="40">
        <f t="shared" ca="1" si="57"/>
        <v>2336.972601085351</v>
      </c>
      <c r="O325" s="40"/>
      <c r="P325" s="20">
        <f t="shared" ca="1" si="49"/>
        <v>834.89136490250701</v>
      </c>
      <c r="Q325" s="1">
        <f t="shared" si="50"/>
        <v>9233</v>
      </c>
      <c r="R325" s="171">
        <f>IF(AND($J$2&gt;=DATEVALUE("03/04/2020"),$J$2&lt;=DATEVALUE("25/11/2020")),0,IF(Resumo!$C$19="PF",IF(Q325&lt;360,0.0082%*Q325,3%),IF(Q325&lt;360,0.0041%*Q325,1.5%)))</f>
        <v>1.4999999999999999E-2</v>
      </c>
      <c r="S325" s="172">
        <f t="shared" ca="1" si="51"/>
        <v>12.523370473537605</v>
      </c>
      <c r="W325" s="216">
        <f t="shared" ca="1" si="58"/>
        <v>2255.2854533867467</v>
      </c>
    </row>
    <row r="326" spans="2:23">
      <c r="B326" s="41">
        <f t="shared" si="52"/>
        <v>304</v>
      </c>
      <c r="C326" s="164">
        <f t="shared" si="53"/>
        <v>54011</v>
      </c>
      <c r="D326" s="42">
        <f t="shared" ca="1" si="48"/>
        <v>1532.634956479561</v>
      </c>
      <c r="E326" s="42">
        <f t="shared" ca="1" si="59"/>
        <v>722.6504969071857</v>
      </c>
      <c r="F326" s="42">
        <f ca="1">IF(B326&lt;=$D$16,F325*(1+$D$13)^((C326-C325)/_xlfn.DAYS(EDATE(C325,1),C325)),F325-D326)+IF(B326&lt;=$D$16,F325*Resumo!$F$12,0)+IF(B326&lt;=$D$16,$D$15*Resumo!$F$13,0)+IF(B326&lt;=$D$16,25,0)-IF(AND($D$16&gt;3,B326&lt;=$D$16),J326,0)</f>
        <v>104739.49694163598</v>
      </c>
      <c r="G326" s="42">
        <f ca="1">IF(AND(B326&lt;&gt;"",K326&lt;&gt;$D$17,$D$16&gt;3),F326*Resumo!$F$12,IF(AND(B326&lt;&gt;"",K326&lt;&gt;$D$17,B326&gt;$D$16),F326*Resumo!$F$12,0))</f>
        <v>21.995294357743557</v>
      </c>
      <c r="H326" s="42">
        <f>IF(AND(B326&lt;&gt;"",K326&lt;&gt;$D$17,$D$16&gt;3,$B326&lt;=$D$16),$D$15*Resumo!$F$13,IF(AND(B326&lt;&gt;"",K326&lt;&gt;$D$17,B326&gt;$D$16),$D$15*Resumo!$F$13,0))</f>
        <v>34.369999999999997</v>
      </c>
      <c r="I326" s="42">
        <f>IF(AND(B326&lt;&gt;"",K326&lt;&gt;$D$17,$D$16&gt;3,$B326&lt;=$D$16),Resumo!$F$11,IF(AND(B326&lt;&gt;"",K326&lt;&gt;$D$17,B326&gt;$D$16),Resumo!$F$11,0))</f>
        <v>25</v>
      </c>
      <c r="J326" s="42">
        <f t="shared" ca="1" si="54"/>
        <v>2336.6507477444902</v>
      </c>
      <c r="K326" s="39" t="str">
        <f>IF(B326&lt;&gt;"",VLOOKUP(MONTH(C326),Sheet2!$F$1:$G$12,2,0),"")</f>
        <v>Novembro</v>
      </c>
      <c r="L326" s="200">
        <f t="shared" ca="1" si="55"/>
        <v>0</v>
      </c>
      <c r="M326" s="40">
        <f t="shared" ca="1" si="56"/>
        <v>2255.2854533867467</v>
      </c>
      <c r="N326" s="40">
        <f t="shared" ca="1" si="57"/>
        <v>2336.6507477444902</v>
      </c>
      <c r="O326" s="40"/>
      <c r="P326" s="20">
        <f t="shared" ca="1" si="49"/>
        <v>834.89136490250701</v>
      </c>
      <c r="Q326" s="1">
        <f t="shared" si="50"/>
        <v>9264</v>
      </c>
      <c r="R326" s="171">
        <f>IF(AND($J$2&gt;=DATEVALUE("03/04/2020"),$J$2&lt;=DATEVALUE("25/11/2020")),0,IF(Resumo!$C$19="PF",IF(Q326&lt;360,0.0082%*Q326,3%),IF(Q326&lt;360,0.0041%*Q326,1.5%)))</f>
        <v>1.4999999999999999E-2</v>
      </c>
      <c r="S326" s="172">
        <f t="shared" ca="1" si="51"/>
        <v>12.523370473537605</v>
      </c>
      <c r="W326" s="216">
        <f t="shared" ca="1" si="58"/>
        <v>2255.2854533867467</v>
      </c>
    </row>
    <row r="327" spans="2:23">
      <c r="B327" s="37">
        <f t="shared" si="52"/>
        <v>305</v>
      </c>
      <c r="C327" s="163">
        <f t="shared" si="53"/>
        <v>54041</v>
      </c>
      <c r="D327" s="38">
        <f t="shared" ca="1" si="48"/>
        <v>1543.0568741836221</v>
      </c>
      <c r="E327" s="38">
        <f t="shared" ca="1" si="59"/>
        <v>712.22857920312458</v>
      </c>
      <c r="F327" s="38">
        <f ca="1">IF(B327&lt;=$D$16,F326*(1+$D$13)^((C327-C326)/_xlfn.DAYS(EDATE(C326,1),C326)),F326-D327)+IF(B327&lt;=$D$16,F326*Resumo!$F$12,0)+IF(B327&lt;=$D$16,$D$15*Resumo!$F$13,0)+IF(B327&lt;=$D$16,25,0)-IF(AND($D$16&gt;3,B327&lt;=$D$16),J327,0)</f>
        <v>103196.44006745236</v>
      </c>
      <c r="G327" s="38">
        <f ca="1">IF(AND(B327&lt;&gt;"",K327&lt;&gt;$D$17,$D$16&gt;3),F327*Resumo!$F$12,IF(AND(B327&lt;&gt;"",K327&lt;&gt;$D$17,B327&gt;$D$16),F327*Resumo!$F$12,0))</f>
        <v>21.671252414164996</v>
      </c>
      <c r="H327" s="38">
        <f>IF(AND(B327&lt;&gt;"",K327&lt;&gt;$D$17,$D$16&gt;3,$B327&lt;=$D$16),$D$15*Resumo!$F$13,IF(AND(B327&lt;&gt;"",K327&lt;&gt;$D$17,B327&gt;$D$16),$D$15*Resumo!$F$13,0))</f>
        <v>34.369999999999997</v>
      </c>
      <c r="I327" s="38">
        <f>IF(AND(B327&lt;&gt;"",K327&lt;&gt;$D$17,$D$16&gt;3,$B327&lt;=$D$16),Resumo!$F$11,IF(AND(B327&lt;&gt;"",K327&lt;&gt;$D$17,B327&gt;$D$16),Resumo!$F$11,0))</f>
        <v>25</v>
      </c>
      <c r="J327" s="38">
        <f t="shared" ca="1" si="54"/>
        <v>2336.3267058009114</v>
      </c>
      <c r="K327" s="39" t="str">
        <f>IF(B327&lt;&gt;"",VLOOKUP(MONTH(C327),Sheet2!$F$1:$G$12,2,0),"")</f>
        <v>Dezembro</v>
      </c>
      <c r="L327" s="200">
        <f t="shared" ca="1" si="55"/>
        <v>0</v>
      </c>
      <c r="M327" s="40">
        <f t="shared" ca="1" si="56"/>
        <v>2255.2854533867467</v>
      </c>
      <c r="N327" s="40">
        <f t="shared" ca="1" si="57"/>
        <v>2336.3267058009114</v>
      </c>
      <c r="O327" s="40"/>
      <c r="P327" s="20">
        <f t="shared" ca="1" si="49"/>
        <v>834.89136490250701</v>
      </c>
      <c r="Q327" s="1">
        <f t="shared" si="50"/>
        <v>9294</v>
      </c>
      <c r="R327" s="171">
        <f>IF(AND($J$2&gt;=DATEVALUE("03/04/2020"),$J$2&lt;=DATEVALUE("25/11/2020")),0,IF(Resumo!$C$19="PF",IF(Q327&lt;360,0.0082%*Q327,3%),IF(Q327&lt;360,0.0041%*Q327,1.5%)))</f>
        <v>1.4999999999999999E-2</v>
      </c>
      <c r="S327" s="172">
        <f t="shared" ca="1" si="51"/>
        <v>12.523370473537605</v>
      </c>
      <c r="W327" s="216">
        <f t="shared" ca="1" si="58"/>
        <v>2255.2854533867467</v>
      </c>
    </row>
    <row r="328" spans="2:23">
      <c r="B328" s="41">
        <f t="shared" si="52"/>
        <v>306</v>
      </c>
      <c r="C328" s="164">
        <f t="shared" si="53"/>
        <v>54072</v>
      </c>
      <c r="D328" s="42">
        <f t="shared" ref="D328:D342" ca="1" si="60">IF(AND(J328&lt;&gt;"",B328&gt;$D$16),$U$20-E328,0)</f>
        <v>1553.5496609280706</v>
      </c>
      <c r="E328" s="42">
        <f t="shared" ca="1" si="59"/>
        <v>701.73579245867609</v>
      </c>
      <c r="F328" s="42">
        <f ca="1">IF(B328&lt;=$D$16,F327*(1+$D$13)^((C328-C327)/_xlfn.DAYS(EDATE(C327,1),C327)),F327-D328)+IF(B328&lt;=$D$16,F327*Resumo!$F$12,0)+IF(B328&lt;=$D$16,$D$15*Resumo!$F$13,0)+IF(B328&lt;=$D$16,25,0)-IF(AND($D$16&gt;3,B328&lt;=$D$16),J328,0)</f>
        <v>101642.8904065243</v>
      </c>
      <c r="G328" s="42">
        <f ca="1">IF(AND(B328&lt;&gt;"",K328&lt;&gt;$D$17,$D$16&gt;3),F328*Resumo!$F$12,IF(AND(B328&lt;&gt;"",K328&lt;&gt;$D$17,B328&gt;$D$16),F328*Resumo!$F$12,0))</f>
        <v>21.345006985370102</v>
      </c>
      <c r="H328" s="42">
        <f>IF(AND(B328&lt;&gt;"",K328&lt;&gt;$D$17,$D$16&gt;3,$B328&lt;=$D$16),$D$15*Resumo!$F$13,IF(AND(B328&lt;&gt;"",K328&lt;&gt;$D$17,B328&gt;$D$16),$D$15*Resumo!$F$13,0))</f>
        <v>34.369999999999997</v>
      </c>
      <c r="I328" s="42">
        <f>IF(AND(B328&lt;&gt;"",K328&lt;&gt;$D$17,$D$16&gt;3,$B328&lt;=$D$16),Resumo!$F$11,IF(AND(B328&lt;&gt;"",K328&lt;&gt;$D$17,B328&gt;$D$16),Resumo!$F$11,0))</f>
        <v>25</v>
      </c>
      <c r="J328" s="42">
        <f t="shared" ca="1" si="54"/>
        <v>2336.0004603721168</v>
      </c>
      <c r="K328" s="39" t="str">
        <f>IF(B328&lt;&gt;"",VLOOKUP(MONTH(C328),Sheet2!$F$1:$G$12,2,0),"")</f>
        <v>Janeiro</v>
      </c>
      <c r="L328" s="200">
        <f t="shared" ca="1" si="55"/>
        <v>0</v>
      </c>
      <c r="M328" s="40">
        <f t="shared" ca="1" si="56"/>
        <v>2255.2854533867467</v>
      </c>
      <c r="N328" s="40">
        <f t="shared" ca="1" si="57"/>
        <v>2336.0004603721168</v>
      </c>
      <c r="O328" s="40"/>
      <c r="P328" s="20">
        <f t="shared" ca="1" si="49"/>
        <v>834.89136490250701</v>
      </c>
      <c r="Q328" s="1">
        <f t="shared" si="50"/>
        <v>9325</v>
      </c>
      <c r="R328" s="171">
        <f>IF(AND($J$2&gt;=DATEVALUE("03/04/2020"),$J$2&lt;=DATEVALUE("25/11/2020")),0,IF(Resumo!$C$19="PF",IF(Q328&lt;360,0.0082%*Q328,3%),IF(Q328&lt;360,0.0041%*Q328,1.5%)))</f>
        <v>1.4999999999999999E-2</v>
      </c>
      <c r="S328" s="172">
        <f t="shared" ca="1" si="51"/>
        <v>12.523370473537605</v>
      </c>
      <c r="W328" s="216">
        <f t="shared" ca="1" si="58"/>
        <v>2255.2854533867467</v>
      </c>
    </row>
    <row r="329" spans="2:23">
      <c r="B329" s="37">
        <f t="shared" si="52"/>
        <v>307</v>
      </c>
      <c r="C329" s="163">
        <f t="shared" si="53"/>
        <v>54103</v>
      </c>
      <c r="D329" s="38">
        <f t="shared" ca="1" si="60"/>
        <v>1564.1137986223816</v>
      </c>
      <c r="E329" s="38">
        <f t="shared" ca="1" si="59"/>
        <v>691.17165476436514</v>
      </c>
      <c r="F329" s="38">
        <f ca="1">IF(B329&lt;=$D$16,F328*(1+$D$13)^((C329-C328)/_xlfn.DAYS(EDATE(C328,1),C328)),F328-D329)+IF(B329&lt;=$D$16,F328*Resumo!$F$12,0)+IF(B329&lt;=$D$16,$D$15*Resumo!$F$13,0)+IF(B329&lt;=$D$16,25,0)-IF(AND($D$16&gt;3,B329&lt;=$D$16),J329,0)</f>
        <v>100078.77660790192</v>
      </c>
      <c r="G329" s="38">
        <f ca="1">IF(AND(B329&lt;&gt;"",K329&lt;&gt;$D$17,$D$16&gt;3),F329*Resumo!$F$12,IF(AND(B329&lt;&gt;"",K329&lt;&gt;$D$17,B329&gt;$D$16),F329*Resumo!$F$12,0))</f>
        <v>21.016543087659404</v>
      </c>
      <c r="H329" s="38">
        <f>IF(AND(B329&lt;&gt;"",K329&lt;&gt;$D$17,$D$16&gt;3,$B329&lt;=$D$16),$D$15*Resumo!$F$13,IF(AND(B329&lt;&gt;"",K329&lt;&gt;$D$17,B329&gt;$D$16),$D$15*Resumo!$F$13,0))</f>
        <v>34.369999999999997</v>
      </c>
      <c r="I329" s="38">
        <f>IF(AND(B329&lt;&gt;"",K329&lt;&gt;$D$17,$D$16&gt;3,$B329&lt;=$D$16),Resumo!$F$11,IF(AND(B329&lt;&gt;"",K329&lt;&gt;$D$17,B329&gt;$D$16),Resumo!$F$11,0))</f>
        <v>25</v>
      </c>
      <c r="J329" s="38">
        <f t="shared" ca="1" si="54"/>
        <v>2335.6719964744061</v>
      </c>
      <c r="K329" s="39" t="str">
        <f>IF(B329&lt;&gt;"",VLOOKUP(MONTH(C329),Sheet2!$F$1:$G$12,2,0),"")</f>
        <v>Fevereiro</v>
      </c>
      <c r="L329" s="200">
        <f t="shared" ca="1" si="55"/>
        <v>0</v>
      </c>
      <c r="M329" s="40">
        <f t="shared" ca="1" si="56"/>
        <v>2255.2854533867467</v>
      </c>
      <c r="N329" s="40">
        <f t="shared" ca="1" si="57"/>
        <v>2335.6719964744061</v>
      </c>
      <c r="O329" s="40"/>
      <c r="P329" s="20">
        <f t="shared" ca="1" si="49"/>
        <v>834.89136490250701</v>
      </c>
      <c r="Q329" s="1">
        <f t="shared" si="50"/>
        <v>9356</v>
      </c>
      <c r="R329" s="171">
        <f>IF(AND($J$2&gt;=DATEVALUE("03/04/2020"),$J$2&lt;=DATEVALUE("25/11/2020")),0,IF(Resumo!$C$19="PF",IF(Q329&lt;360,0.0082%*Q329,3%),IF(Q329&lt;360,0.0041%*Q329,1.5%)))</f>
        <v>1.4999999999999999E-2</v>
      </c>
      <c r="S329" s="172">
        <f t="shared" ca="1" si="51"/>
        <v>12.523370473537605</v>
      </c>
      <c r="W329" s="216">
        <f t="shared" ca="1" si="58"/>
        <v>2255.2854533867467</v>
      </c>
    </row>
    <row r="330" spans="2:23">
      <c r="B330" s="41">
        <f t="shared" si="52"/>
        <v>308</v>
      </c>
      <c r="C330" s="164">
        <f t="shared" si="53"/>
        <v>54132</v>
      </c>
      <c r="D330" s="42">
        <f t="shared" ca="1" si="60"/>
        <v>1574.7497724530135</v>
      </c>
      <c r="E330" s="42">
        <f t="shared" ca="1" si="59"/>
        <v>680.53568093373303</v>
      </c>
      <c r="F330" s="42">
        <f ca="1">IF(B330&lt;=$D$16,F329*(1+$D$13)^((C330-C329)/_xlfn.DAYS(EDATE(C329,1),C329)),F329-D330)+IF(B330&lt;=$D$16,F329*Resumo!$F$12,0)+IF(B330&lt;=$D$16,$D$15*Resumo!$F$13,0)+IF(B330&lt;=$D$16,25,0)-IF(AND($D$16&gt;3,B330&lt;=$D$16),J330,0)</f>
        <v>98504.026835448909</v>
      </c>
      <c r="G330" s="42">
        <f ca="1">IF(AND(B330&lt;&gt;"",K330&lt;&gt;$D$17,$D$16&gt;3),F330*Resumo!$F$12,IF(AND(B330&lt;&gt;"",K330&lt;&gt;$D$17,B330&gt;$D$16),F330*Resumo!$F$12,0))</f>
        <v>20.68584563544427</v>
      </c>
      <c r="H330" s="42">
        <f>IF(AND(B330&lt;&gt;"",K330&lt;&gt;$D$17,$D$16&gt;3,$B330&lt;=$D$16),$D$15*Resumo!$F$13,IF(AND(B330&lt;&gt;"",K330&lt;&gt;$D$17,B330&gt;$D$16),$D$15*Resumo!$F$13,0))</f>
        <v>34.369999999999997</v>
      </c>
      <c r="I330" s="42">
        <f>IF(AND(B330&lt;&gt;"",K330&lt;&gt;$D$17,$D$16&gt;3,$B330&lt;=$D$16),Resumo!$F$11,IF(AND(B330&lt;&gt;"",K330&lt;&gt;$D$17,B330&gt;$D$16),Resumo!$F$11,0))</f>
        <v>25</v>
      </c>
      <c r="J330" s="42">
        <f t="shared" ca="1" si="54"/>
        <v>2335.3412990221909</v>
      </c>
      <c r="K330" s="39" t="str">
        <f>IF(B330&lt;&gt;"",VLOOKUP(MONTH(C330),Sheet2!$F$1:$G$12,2,0),"")</f>
        <v>Março</v>
      </c>
      <c r="L330" s="200">
        <f t="shared" ca="1" si="55"/>
        <v>0</v>
      </c>
      <c r="M330" s="40">
        <f t="shared" ca="1" si="56"/>
        <v>2255.2854533867467</v>
      </c>
      <c r="N330" s="40">
        <f t="shared" ca="1" si="57"/>
        <v>2335.3412990221909</v>
      </c>
      <c r="O330" s="40"/>
      <c r="P330" s="20">
        <f t="shared" ca="1" si="49"/>
        <v>834.89136490250701</v>
      </c>
      <c r="Q330" s="1">
        <f t="shared" si="50"/>
        <v>9385</v>
      </c>
      <c r="R330" s="171">
        <f>IF(AND($J$2&gt;=DATEVALUE("03/04/2020"),$J$2&lt;=DATEVALUE("25/11/2020")),0,IF(Resumo!$C$19="PF",IF(Q330&lt;360,0.0082%*Q330,3%),IF(Q330&lt;360,0.0041%*Q330,1.5%)))</f>
        <v>1.4999999999999999E-2</v>
      </c>
      <c r="S330" s="172">
        <f t="shared" ca="1" si="51"/>
        <v>12.523370473537605</v>
      </c>
      <c r="W330" s="216">
        <f t="shared" ca="1" si="58"/>
        <v>2255.2854533867467</v>
      </c>
    </row>
    <row r="331" spans="2:23">
      <c r="B331" s="37">
        <f t="shared" si="52"/>
        <v>309</v>
      </c>
      <c r="C331" s="163">
        <f t="shared" si="53"/>
        <v>54163</v>
      </c>
      <c r="D331" s="38">
        <f t="shared" ca="1" si="60"/>
        <v>1585.4580709056941</v>
      </c>
      <c r="E331" s="38">
        <f t="shared" ca="1" si="59"/>
        <v>669.8273824810525</v>
      </c>
      <c r="F331" s="38">
        <f ca="1">IF(B331&lt;=$D$16,F330*(1+$D$13)^((C331-C330)/_xlfn.DAYS(EDATE(C330,1),C330)),F330-D331)+IF(B331&lt;=$D$16,F330*Resumo!$F$12,0)+IF(B331&lt;=$D$16,$D$15*Resumo!$F$13,0)+IF(B331&lt;=$D$16,25,0)-IF(AND($D$16&gt;3,B331&lt;=$D$16),J331,0)</f>
        <v>96918.568764543219</v>
      </c>
      <c r="G331" s="38">
        <f ca="1">IF(AND(B331&lt;&gt;"",K331&lt;&gt;$D$17,$D$16&gt;3),F331*Resumo!$F$12,IF(AND(B331&lt;&gt;"",K331&lt;&gt;$D$17,B331&gt;$D$16),F331*Resumo!$F$12,0))</f>
        <v>20.352899440554076</v>
      </c>
      <c r="H331" s="38">
        <f>IF(AND(B331&lt;&gt;"",K331&lt;&gt;$D$17,$D$16&gt;3,$B331&lt;=$D$16),$D$15*Resumo!$F$13,IF(AND(B331&lt;&gt;"",K331&lt;&gt;$D$17,B331&gt;$D$16),$D$15*Resumo!$F$13,0))</f>
        <v>34.369999999999997</v>
      </c>
      <c r="I331" s="38">
        <f>IF(AND(B331&lt;&gt;"",K331&lt;&gt;$D$17,$D$16&gt;3,$B331&lt;=$D$16),Resumo!$F$11,IF(AND(B331&lt;&gt;"",K331&lt;&gt;$D$17,B331&gt;$D$16),Resumo!$F$11,0))</f>
        <v>25</v>
      </c>
      <c r="J331" s="38">
        <f t="shared" ca="1" si="54"/>
        <v>2335.0083528273008</v>
      </c>
      <c r="K331" s="39" t="str">
        <f>IF(B331&lt;&gt;"",VLOOKUP(MONTH(C331),Sheet2!$F$1:$G$12,2,0),"")</f>
        <v>Abril</v>
      </c>
      <c r="L331" s="200">
        <f t="shared" ca="1" si="55"/>
        <v>0</v>
      </c>
      <c r="M331" s="40">
        <f t="shared" ca="1" si="56"/>
        <v>2255.2854533867467</v>
      </c>
      <c r="N331" s="40">
        <f t="shared" ca="1" si="57"/>
        <v>2335.0083528273008</v>
      </c>
      <c r="O331" s="40"/>
      <c r="P331" s="20">
        <f t="shared" ca="1" si="49"/>
        <v>834.89136490250701</v>
      </c>
      <c r="Q331" s="1">
        <f t="shared" si="50"/>
        <v>9416</v>
      </c>
      <c r="R331" s="171">
        <f>IF(AND($J$2&gt;=DATEVALUE("03/04/2020"),$J$2&lt;=DATEVALUE("25/11/2020")),0,IF(Resumo!$C$19="PF",IF(Q331&lt;360,0.0082%*Q331,3%),IF(Q331&lt;360,0.0041%*Q331,1.5%)))</f>
        <v>1.4999999999999999E-2</v>
      </c>
      <c r="S331" s="172">
        <f t="shared" ca="1" si="51"/>
        <v>12.523370473537605</v>
      </c>
      <c r="W331" s="216">
        <f t="shared" ca="1" si="58"/>
        <v>2255.2854533867467</v>
      </c>
    </row>
    <row r="332" spans="2:23">
      <c r="B332" s="41">
        <f t="shared" si="52"/>
        <v>310</v>
      </c>
      <c r="C332" s="164">
        <f t="shared" si="53"/>
        <v>54193</v>
      </c>
      <c r="D332" s="42">
        <f t="shared" ca="1" si="60"/>
        <v>1596.2391857878529</v>
      </c>
      <c r="E332" s="42">
        <f t="shared" ca="1" si="59"/>
        <v>659.04626759889391</v>
      </c>
      <c r="F332" s="42">
        <f ca="1">IF(B332&lt;=$D$16,F331*(1+$D$13)^((C332-C331)/_xlfn.DAYS(EDATE(C331,1),C331)),F331-D332)+IF(B332&lt;=$D$16,F331*Resumo!$F$12,0)+IF(B332&lt;=$D$16,$D$15*Resumo!$F$13,0)+IF(B332&lt;=$D$16,25,0)-IF(AND($D$16&gt;3,B332&lt;=$D$16),J332,0)</f>
        <v>95322.329578755365</v>
      </c>
      <c r="G332" s="42">
        <f ca="1">IF(AND(B332&lt;&gt;"",K332&lt;&gt;$D$17,$D$16&gt;3),F332*Resumo!$F$12,IF(AND(B332&lt;&gt;"",K332&lt;&gt;$D$17,B332&gt;$D$16),F332*Resumo!$F$12,0))</f>
        <v>20.017689211538627</v>
      </c>
      <c r="H332" s="42">
        <f>IF(AND(B332&lt;&gt;"",K332&lt;&gt;$D$17,$D$16&gt;3,$B332&lt;=$D$16),$D$15*Resumo!$F$13,IF(AND(B332&lt;&gt;"",K332&lt;&gt;$D$17,B332&gt;$D$16),$D$15*Resumo!$F$13,0))</f>
        <v>34.369999999999997</v>
      </c>
      <c r="I332" s="42">
        <f>IF(AND(B332&lt;&gt;"",K332&lt;&gt;$D$17,$D$16&gt;3,$B332&lt;=$D$16),Resumo!$F$11,IF(AND(B332&lt;&gt;"",K332&lt;&gt;$D$17,B332&gt;$D$16),Resumo!$F$11,0))</f>
        <v>25</v>
      </c>
      <c r="J332" s="42">
        <f t="shared" ca="1" si="54"/>
        <v>2334.6731425982853</v>
      </c>
      <c r="K332" s="39" t="str">
        <f>IF(B332&lt;&gt;"",VLOOKUP(MONTH(C332),Sheet2!$F$1:$G$12,2,0),"")</f>
        <v>Maio</v>
      </c>
      <c r="L332" s="200">
        <f t="shared" ca="1" si="55"/>
        <v>0</v>
      </c>
      <c r="M332" s="40">
        <f t="shared" ca="1" si="56"/>
        <v>2255.2854533867467</v>
      </c>
      <c r="N332" s="40">
        <f t="shared" ca="1" si="57"/>
        <v>2334.6731425982853</v>
      </c>
      <c r="O332" s="40"/>
      <c r="P332" s="20">
        <f t="shared" ca="1" si="49"/>
        <v>834.89136490250701</v>
      </c>
      <c r="Q332" s="1">
        <f t="shared" si="50"/>
        <v>9446</v>
      </c>
      <c r="R332" s="171">
        <f>IF(AND($J$2&gt;=DATEVALUE("03/04/2020"),$J$2&lt;=DATEVALUE("25/11/2020")),0,IF(Resumo!$C$19="PF",IF(Q332&lt;360,0.0082%*Q332,3%),IF(Q332&lt;360,0.0041%*Q332,1.5%)))</f>
        <v>1.4999999999999999E-2</v>
      </c>
      <c r="S332" s="172">
        <f t="shared" ca="1" si="51"/>
        <v>12.523370473537605</v>
      </c>
      <c r="W332" s="216">
        <f t="shared" ca="1" si="58"/>
        <v>2255.2854533867467</v>
      </c>
    </row>
    <row r="333" spans="2:23">
      <c r="B333" s="37">
        <f t="shared" si="52"/>
        <v>311</v>
      </c>
      <c r="C333" s="163">
        <f t="shared" si="53"/>
        <v>54224</v>
      </c>
      <c r="D333" s="38">
        <f t="shared" ca="1" si="60"/>
        <v>1607.0936122512103</v>
      </c>
      <c r="E333" s="38">
        <f t="shared" ca="1" si="59"/>
        <v>648.19184113553649</v>
      </c>
      <c r="F333" s="38">
        <f ca="1">IF(B333&lt;=$D$16,F332*(1+$D$13)^((C333-C332)/_xlfn.DAYS(EDATE(C332,1),C332)),F332-D333)+IF(B333&lt;=$D$16,F332*Resumo!$F$12,0)+IF(B333&lt;=$D$16,$D$15*Resumo!$F$13,0)+IF(B333&lt;=$D$16,25,0)-IF(AND($D$16&gt;3,B333&lt;=$D$16),J333,0)</f>
        <v>93715.235966504159</v>
      </c>
      <c r="G333" s="38">
        <f ca="1">IF(AND(B333&lt;&gt;"",K333&lt;&gt;$D$17,$D$16&gt;3),F333*Resumo!$F$12,IF(AND(B333&lt;&gt;"",K333&lt;&gt;$D$17,B333&gt;$D$16),F333*Resumo!$F$12,0))</f>
        <v>19.680199552965874</v>
      </c>
      <c r="H333" s="38">
        <f>IF(AND(B333&lt;&gt;"",K333&lt;&gt;$D$17,$D$16&gt;3,$B333&lt;=$D$16),$D$15*Resumo!$F$13,IF(AND(B333&lt;&gt;"",K333&lt;&gt;$D$17,B333&gt;$D$16),$D$15*Resumo!$F$13,0))</f>
        <v>34.369999999999997</v>
      </c>
      <c r="I333" s="38">
        <f>IF(AND(B333&lt;&gt;"",K333&lt;&gt;$D$17,$D$16&gt;3,$B333&lt;=$D$16),Resumo!$F$11,IF(AND(B333&lt;&gt;"",K333&lt;&gt;$D$17,B333&gt;$D$16),Resumo!$F$11,0))</f>
        <v>25</v>
      </c>
      <c r="J333" s="38">
        <f t="shared" ca="1" si="54"/>
        <v>2334.3356529397124</v>
      </c>
      <c r="K333" s="39" t="str">
        <f>IF(B333&lt;&gt;"",VLOOKUP(MONTH(C333),Sheet2!$F$1:$G$12,2,0),"")</f>
        <v>Junho</v>
      </c>
      <c r="L333" s="200">
        <f t="shared" ca="1" si="55"/>
        <v>0</v>
      </c>
      <c r="M333" s="40">
        <f t="shared" ca="1" si="56"/>
        <v>2255.2854533867467</v>
      </c>
      <c r="N333" s="40">
        <f t="shared" ca="1" si="57"/>
        <v>2334.3356529397124</v>
      </c>
      <c r="O333" s="40"/>
      <c r="P333" s="20">
        <f t="shared" ca="1" si="49"/>
        <v>834.89136490250701</v>
      </c>
      <c r="Q333" s="1">
        <f t="shared" si="50"/>
        <v>9477</v>
      </c>
      <c r="R333" s="171">
        <f>IF(AND($J$2&gt;=DATEVALUE("03/04/2020"),$J$2&lt;=DATEVALUE("25/11/2020")),0,IF(Resumo!$C$19="PF",IF(Q333&lt;360,0.0082%*Q333,3%),IF(Q333&lt;360,0.0041%*Q333,1.5%)))</f>
        <v>1.4999999999999999E-2</v>
      </c>
      <c r="S333" s="172">
        <f t="shared" ca="1" si="51"/>
        <v>12.523370473537605</v>
      </c>
      <c r="W333" s="216">
        <f t="shared" ca="1" si="58"/>
        <v>2255.2854533867467</v>
      </c>
    </row>
    <row r="334" spans="2:23">
      <c r="B334" s="41">
        <f t="shared" si="52"/>
        <v>312</v>
      </c>
      <c r="C334" s="164">
        <f t="shared" si="53"/>
        <v>54254</v>
      </c>
      <c r="D334" s="42">
        <f t="shared" ca="1" si="60"/>
        <v>1618.0218488145183</v>
      </c>
      <c r="E334" s="42">
        <f t="shared" ca="1" si="59"/>
        <v>637.26360457222825</v>
      </c>
      <c r="F334" s="42">
        <f ca="1">IF(B334&lt;=$D$16,F333*(1+$D$13)^((C334-C333)/_xlfn.DAYS(EDATE(C333,1),C333)),F333-D334)+IF(B334&lt;=$D$16,F333*Resumo!$F$12,0)+IF(B334&lt;=$D$16,$D$15*Resumo!$F$13,0)+IF(B334&lt;=$D$16,25,0)-IF(AND($D$16&gt;3,B334&lt;=$D$16),J334,0)</f>
        <v>92097.21411768964</v>
      </c>
      <c r="G334" s="42">
        <f ca="1">IF(AND(B334&lt;&gt;"",K334&lt;&gt;$D$17,$D$16&gt;3),F334*Resumo!$F$12,IF(AND(B334&lt;&gt;"",K334&lt;&gt;$D$17,B334&gt;$D$16),F334*Resumo!$F$12,0))</f>
        <v>19.340414964714824</v>
      </c>
      <c r="H334" s="42">
        <f>IF(AND(B334&lt;&gt;"",K334&lt;&gt;$D$17,$D$16&gt;3,$B334&lt;=$D$16),$D$15*Resumo!$F$13,IF(AND(B334&lt;&gt;"",K334&lt;&gt;$D$17,B334&gt;$D$16),$D$15*Resumo!$F$13,0))</f>
        <v>34.369999999999997</v>
      </c>
      <c r="I334" s="42">
        <f>IF(AND(B334&lt;&gt;"",K334&lt;&gt;$D$17,$D$16&gt;3,$B334&lt;=$D$16),Resumo!$F$11,IF(AND(B334&lt;&gt;"",K334&lt;&gt;$D$17,B334&gt;$D$16),Resumo!$F$11,0))</f>
        <v>25</v>
      </c>
      <c r="J334" s="42">
        <f t="shared" ca="1" si="54"/>
        <v>2333.9958683514615</v>
      </c>
      <c r="K334" s="39" t="str">
        <f>IF(B334&lt;&gt;"",VLOOKUP(MONTH(C334),Sheet2!$F$1:$G$12,2,0),"")</f>
        <v>Julho</v>
      </c>
      <c r="L334" s="200">
        <f t="shared" ca="1" si="55"/>
        <v>0</v>
      </c>
      <c r="M334" s="40">
        <f t="shared" ca="1" si="56"/>
        <v>2255.2854533867467</v>
      </c>
      <c r="N334" s="40">
        <f t="shared" ca="1" si="57"/>
        <v>2333.9958683514615</v>
      </c>
      <c r="O334" s="40"/>
      <c r="P334" s="20">
        <f t="shared" ca="1" si="49"/>
        <v>834.89136490250701</v>
      </c>
      <c r="Q334" s="1">
        <f t="shared" si="50"/>
        <v>9507</v>
      </c>
      <c r="R334" s="171">
        <f>IF(AND($J$2&gt;=DATEVALUE("03/04/2020"),$J$2&lt;=DATEVALUE("25/11/2020")),0,IF(Resumo!$C$19="PF",IF(Q334&lt;360,0.0082%*Q334,3%),IF(Q334&lt;360,0.0041%*Q334,1.5%)))</f>
        <v>1.4999999999999999E-2</v>
      </c>
      <c r="S334" s="172">
        <f t="shared" ca="1" si="51"/>
        <v>12.523370473537605</v>
      </c>
      <c r="W334" s="216">
        <f t="shared" ca="1" si="58"/>
        <v>2255.2854533867467</v>
      </c>
    </row>
    <row r="335" spans="2:23">
      <c r="B335" s="37">
        <f t="shared" si="52"/>
        <v>313</v>
      </c>
      <c r="C335" s="163">
        <f t="shared" si="53"/>
        <v>54285</v>
      </c>
      <c r="D335" s="38">
        <f t="shared" ca="1" si="60"/>
        <v>1629.0243973864572</v>
      </c>
      <c r="E335" s="38">
        <f t="shared" ca="1" si="59"/>
        <v>626.2610560002895</v>
      </c>
      <c r="F335" s="38">
        <f ca="1">IF(B335&lt;=$D$16,F334*(1+$D$13)^((C335-C334)/_xlfn.DAYS(EDATE(C334,1),C334)),F334-D335)+IF(B335&lt;=$D$16,F334*Resumo!$F$12,0)+IF(B335&lt;=$D$16,$D$15*Resumo!$F$13,0)+IF(B335&lt;=$D$16,25,0)-IF(AND($D$16&gt;3,B335&lt;=$D$16),J335,0)</f>
        <v>90468.189720303184</v>
      </c>
      <c r="G335" s="38">
        <f ca="1">IF(AND(B335&lt;&gt;"",K335&lt;&gt;$D$17,$D$16&gt;3),F335*Resumo!$F$12,IF(AND(B335&lt;&gt;"",K335&lt;&gt;$D$17,B335&gt;$D$16),F335*Resumo!$F$12,0))</f>
        <v>18.998319841263669</v>
      </c>
      <c r="H335" s="38">
        <f>IF(AND(B335&lt;&gt;"",K335&lt;&gt;$D$17,$D$16&gt;3,$B335&lt;=$D$16),$D$15*Resumo!$F$13,IF(AND(B335&lt;&gt;"",K335&lt;&gt;$D$17,B335&gt;$D$16),$D$15*Resumo!$F$13,0))</f>
        <v>34.369999999999997</v>
      </c>
      <c r="I335" s="38">
        <f>IF(AND(B335&lt;&gt;"",K335&lt;&gt;$D$17,$D$16&gt;3,$B335&lt;=$D$16),Resumo!$F$11,IF(AND(B335&lt;&gt;"",K335&lt;&gt;$D$17,B335&gt;$D$16),Resumo!$F$11,0))</f>
        <v>25</v>
      </c>
      <c r="J335" s="38">
        <f t="shared" ca="1" si="54"/>
        <v>2333.6537732280103</v>
      </c>
      <c r="K335" s="39" t="str">
        <f>IF(B335&lt;&gt;"",VLOOKUP(MONTH(C335),Sheet2!$F$1:$G$12,2,0),"")</f>
        <v>Agosto</v>
      </c>
      <c r="L335" s="200">
        <f t="shared" ca="1" si="55"/>
        <v>0</v>
      </c>
      <c r="M335" s="40">
        <f t="shared" ca="1" si="56"/>
        <v>2255.2854533867467</v>
      </c>
      <c r="N335" s="40">
        <f t="shared" ca="1" si="57"/>
        <v>2333.6537732280103</v>
      </c>
      <c r="O335" s="40"/>
      <c r="P335" s="20">
        <f t="shared" ca="1" si="49"/>
        <v>834.89136490250701</v>
      </c>
      <c r="Q335" s="1">
        <f t="shared" si="50"/>
        <v>9538</v>
      </c>
      <c r="R335" s="171">
        <f>IF(AND($J$2&gt;=DATEVALUE("03/04/2020"),$J$2&lt;=DATEVALUE("25/11/2020")),0,IF(Resumo!$C$19="PF",IF(Q335&lt;360,0.0082%*Q335,3%),IF(Q335&lt;360,0.0041%*Q335,1.5%)))</f>
        <v>1.4999999999999999E-2</v>
      </c>
      <c r="S335" s="172">
        <f t="shared" ca="1" si="51"/>
        <v>12.523370473537605</v>
      </c>
      <c r="W335" s="216">
        <f t="shared" ca="1" si="58"/>
        <v>2255.2854533867467</v>
      </c>
    </row>
    <row r="336" spans="2:23">
      <c r="B336" s="41">
        <f t="shared" si="52"/>
        <v>314</v>
      </c>
      <c r="C336" s="164">
        <f t="shared" si="53"/>
        <v>54316</v>
      </c>
      <c r="D336" s="42">
        <f t="shared" ca="1" si="60"/>
        <v>1640.1017632886851</v>
      </c>
      <c r="E336" s="42">
        <f t="shared" ca="1" si="59"/>
        <v>615.18369009806156</v>
      </c>
      <c r="F336" s="42">
        <f ca="1">IF(B336&lt;=$D$16,F335*(1+$D$13)^((C336-C335)/_xlfn.DAYS(EDATE(C335,1),C335)),F335-D336)+IF(B336&lt;=$D$16,F335*Resumo!$F$12,0)+IF(B336&lt;=$D$16,$D$15*Resumo!$F$13,0)+IF(B336&lt;=$D$16,25,0)-IF(AND($D$16&gt;3,B336&lt;=$D$16),J336,0)</f>
        <v>88828.087957014504</v>
      </c>
      <c r="G336" s="42">
        <f ca="1">IF(AND(B336&lt;&gt;"",K336&lt;&gt;$D$17,$D$16&gt;3),F336*Resumo!$F$12,IF(AND(B336&lt;&gt;"",K336&lt;&gt;$D$17,B336&gt;$D$16),F336*Resumo!$F$12,0))</f>
        <v>18.653898470973047</v>
      </c>
      <c r="H336" s="42">
        <f>IF(AND(B336&lt;&gt;"",K336&lt;&gt;$D$17,$D$16&gt;3,$B336&lt;=$D$16),$D$15*Resumo!$F$13,IF(AND(B336&lt;&gt;"",K336&lt;&gt;$D$17,B336&gt;$D$16),$D$15*Resumo!$F$13,0))</f>
        <v>34.369999999999997</v>
      </c>
      <c r="I336" s="42">
        <f>IF(AND(B336&lt;&gt;"",K336&lt;&gt;$D$17,$D$16&gt;3,$B336&lt;=$D$16),Resumo!$F$11,IF(AND(B336&lt;&gt;"",K336&lt;&gt;$D$17,B336&gt;$D$16),Resumo!$F$11,0))</f>
        <v>25</v>
      </c>
      <c r="J336" s="42">
        <f t="shared" ca="1" si="54"/>
        <v>2333.3093518577198</v>
      </c>
      <c r="K336" s="39" t="str">
        <f>IF(B336&lt;&gt;"",VLOOKUP(MONTH(C336),Sheet2!$F$1:$G$12,2,0),"")</f>
        <v>Setembro</v>
      </c>
      <c r="L336" s="200">
        <f t="shared" ca="1" si="55"/>
        <v>0</v>
      </c>
      <c r="M336" s="40">
        <f t="shared" ca="1" si="56"/>
        <v>2255.2854533867467</v>
      </c>
      <c r="N336" s="40">
        <f t="shared" ca="1" si="57"/>
        <v>2333.3093518577198</v>
      </c>
      <c r="O336" s="40"/>
      <c r="P336" s="20">
        <f t="shared" ca="1" si="49"/>
        <v>834.89136490250701</v>
      </c>
      <c r="Q336" s="1">
        <f t="shared" si="50"/>
        <v>9569</v>
      </c>
      <c r="R336" s="171">
        <f>IF(AND($J$2&gt;=DATEVALUE("03/04/2020"),$J$2&lt;=DATEVALUE("25/11/2020")),0,IF(Resumo!$C$19="PF",IF(Q336&lt;360,0.0082%*Q336,3%),IF(Q336&lt;360,0.0041%*Q336,1.5%)))</f>
        <v>1.4999999999999999E-2</v>
      </c>
      <c r="S336" s="172">
        <f t="shared" ca="1" si="51"/>
        <v>12.523370473537605</v>
      </c>
      <c r="W336" s="216">
        <f t="shared" ca="1" si="58"/>
        <v>2255.2854533867467</v>
      </c>
    </row>
    <row r="337" spans="2:23">
      <c r="B337" s="37">
        <f t="shared" si="52"/>
        <v>315</v>
      </c>
      <c r="C337" s="163">
        <f t="shared" si="53"/>
        <v>54346</v>
      </c>
      <c r="D337" s="38">
        <f t="shared" ca="1" si="60"/>
        <v>1651.2544552790482</v>
      </c>
      <c r="E337" s="38">
        <f t="shared" ca="1" si="59"/>
        <v>604.03099810769857</v>
      </c>
      <c r="F337" s="38">
        <f ca="1">IF(B337&lt;=$D$16,F336*(1+$D$13)^((C337-C336)/_xlfn.DAYS(EDATE(C336,1),C336)),F336-D337)+IF(B337&lt;=$D$16,F336*Resumo!$F$12,0)+IF(B337&lt;=$D$16,$D$15*Resumo!$F$13,0)+IF(B337&lt;=$D$16,25,0)-IF(AND($D$16&gt;3,B337&lt;=$D$16),J337,0)</f>
        <v>87176.833501735455</v>
      </c>
      <c r="G337" s="38">
        <f ca="1">IF(AND(B337&lt;&gt;"",K337&lt;&gt;$D$17,$D$16&gt;3),F337*Resumo!$F$12,IF(AND(B337&lt;&gt;"",K337&lt;&gt;$D$17,B337&gt;$D$16),F337*Resumo!$F$12,0))</f>
        <v>18.307135035364446</v>
      </c>
      <c r="H337" s="38">
        <f>IF(AND(B337&lt;&gt;"",K337&lt;&gt;$D$17,$D$16&gt;3,$B337&lt;=$D$16),$D$15*Resumo!$F$13,IF(AND(B337&lt;&gt;"",K337&lt;&gt;$D$17,B337&gt;$D$16),$D$15*Resumo!$F$13,0))</f>
        <v>34.369999999999997</v>
      </c>
      <c r="I337" s="38">
        <f>IF(AND(B337&lt;&gt;"",K337&lt;&gt;$D$17,$D$16&gt;3,$B337&lt;=$D$16),Resumo!$F$11,IF(AND(B337&lt;&gt;"",K337&lt;&gt;$D$17,B337&gt;$D$16),Resumo!$F$11,0))</f>
        <v>25</v>
      </c>
      <c r="J337" s="38">
        <f t="shared" ca="1" si="54"/>
        <v>2332.9625884221109</v>
      </c>
      <c r="K337" s="39" t="str">
        <f>IF(B337&lt;&gt;"",VLOOKUP(MONTH(C337),Sheet2!$F$1:$G$12,2,0),"")</f>
        <v>Outubro</v>
      </c>
      <c r="L337" s="200">
        <f t="shared" ca="1" si="55"/>
        <v>0</v>
      </c>
      <c r="M337" s="40">
        <f t="shared" ca="1" si="56"/>
        <v>2255.2854533867467</v>
      </c>
      <c r="N337" s="40">
        <f t="shared" ca="1" si="57"/>
        <v>2332.9625884221109</v>
      </c>
      <c r="O337" s="40"/>
      <c r="P337" s="20">
        <f t="shared" ca="1" si="49"/>
        <v>834.89136490250701</v>
      </c>
      <c r="Q337" s="1">
        <f t="shared" si="50"/>
        <v>9599</v>
      </c>
      <c r="R337" s="171">
        <f>IF(AND($J$2&gt;=DATEVALUE("03/04/2020"),$J$2&lt;=DATEVALUE("25/11/2020")),0,IF(Resumo!$C$19="PF",IF(Q337&lt;360,0.0082%*Q337,3%),IF(Q337&lt;360,0.0041%*Q337,1.5%)))</f>
        <v>1.4999999999999999E-2</v>
      </c>
      <c r="S337" s="172">
        <f t="shared" ca="1" si="51"/>
        <v>12.523370473537605</v>
      </c>
      <c r="W337" s="216">
        <f t="shared" ca="1" si="58"/>
        <v>2255.2854533867467</v>
      </c>
    </row>
    <row r="338" spans="2:23">
      <c r="B338" s="41">
        <f t="shared" si="52"/>
        <v>316</v>
      </c>
      <c r="C338" s="164">
        <f t="shared" si="53"/>
        <v>54377</v>
      </c>
      <c r="D338" s="42">
        <f t="shared" ca="1" si="60"/>
        <v>1662.4829855749456</v>
      </c>
      <c r="E338" s="42">
        <f t="shared" ca="1" si="59"/>
        <v>592.80246781180108</v>
      </c>
      <c r="F338" s="42">
        <f ca="1">IF(B338&lt;=$D$16,F337*(1+$D$13)^((C338-C337)/_xlfn.DAYS(EDATE(C337,1),C337)),F337-D338)+IF(B338&lt;=$D$16,F337*Resumo!$F$12,0)+IF(B338&lt;=$D$16,$D$15*Resumo!$F$13,0)+IF(B338&lt;=$D$16,25,0)-IF(AND($D$16&gt;3,B338&lt;=$D$16),J338,0)</f>
        <v>85514.350516160514</v>
      </c>
      <c r="G338" s="42">
        <f ca="1">IF(AND(B338&lt;&gt;"",K338&lt;&gt;$D$17,$D$16&gt;3),F338*Resumo!$F$12,IF(AND(B338&lt;&gt;"",K338&lt;&gt;$D$17,B338&gt;$D$16),F338*Resumo!$F$12,0))</f>
        <v>17.95801360839371</v>
      </c>
      <c r="H338" s="42">
        <f>IF(AND(B338&lt;&gt;"",K338&lt;&gt;$D$17,$D$16&gt;3,$B338&lt;=$D$16),$D$15*Resumo!$F$13,IF(AND(B338&lt;&gt;"",K338&lt;&gt;$D$17,B338&gt;$D$16),$D$15*Resumo!$F$13,0))</f>
        <v>34.369999999999997</v>
      </c>
      <c r="I338" s="42">
        <f>IF(AND(B338&lt;&gt;"",K338&lt;&gt;$D$17,$D$16&gt;3,$B338&lt;=$D$16),Resumo!$F$11,IF(AND(B338&lt;&gt;"",K338&lt;&gt;$D$17,B338&gt;$D$16),Resumo!$F$11,0))</f>
        <v>25</v>
      </c>
      <c r="J338" s="42">
        <f t="shared" ca="1" si="54"/>
        <v>2332.6134669951402</v>
      </c>
      <c r="K338" s="39" t="str">
        <f>IF(B338&lt;&gt;"",VLOOKUP(MONTH(C338),Sheet2!$F$1:$G$12,2,0),"")</f>
        <v>Novembro</v>
      </c>
      <c r="L338" s="200">
        <f t="shared" ca="1" si="55"/>
        <v>0</v>
      </c>
      <c r="M338" s="40">
        <f t="shared" ca="1" si="56"/>
        <v>2255.2854533867467</v>
      </c>
      <c r="N338" s="40">
        <f t="shared" ca="1" si="57"/>
        <v>2332.6134669951402</v>
      </c>
      <c r="O338" s="40"/>
      <c r="P338" s="20">
        <f t="shared" ca="1" si="49"/>
        <v>834.89136490250701</v>
      </c>
      <c r="Q338" s="1">
        <f t="shared" si="50"/>
        <v>9630</v>
      </c>
      <c r="R338" s="171">
        <f>IF(AND($J$2&gt;=DATEVALUE("03/04/2020"),$J$2&lt;=DATEVALUE("25/11/2020")),0,IF(Resumo!$C$19="PF",IF(Q338&lt;360,0.0082%*Q338,3%),IF(Q338&lt;360,0.0041%*Q338,1.5%)))</f>
        <v>1.4999999999999999E-2</v>
      </c>
      <c r="S338" s="172">
        <f t="shared" ca="1" si="51"/>
        <v>12.523370473537605</v>
      </c>
      <c r="W338" s="216">
        <f t="shared" ca="1" si="58"/>
        <v>2255.2854533867467</v>
      </c>
    </row>
    <row r="339" spans="2:23">
      <c r="B339" s="37">
        <f t="shared" si="52"/>
        <v>317</v>
      </c>
      <c r="C339" s="163">
        <f t="shared" si="53"/>
        <v>54407</v>
      </c>
      <c r="D339" s="38">
        <f t="shared" ca="1" si="60"/>
        <v>1673.7878698768552</v>
      </c>
      <c r="E339" s="38">
        <f t="shared" ca="1" si="59"/>
        <v>581.49758350989146</v>
      </c>
      <c r="F339" s="38">
        <f ca="1">IF(B339&lt;=$D$16,F338*(1+$D$13)^((C339-C338)/_xlfn.DAYS(EDATE(C338,1),C338)),F338-D339)+IF(B339&lt;=$D$16,F338*Resumo!$F$12,0)+IF(B339&lt;=$D$16,$D$15*Resumo!$F$13,0)+IF(B339&lt;=$D$16,25,0)-IF(AND($D$16&gt;3,B339&lt;=$D$16),J339,0)</f>
        <v>83840.562646283652</v>
      </c>
      <c r="G339" s="38">
        <f ca="1">IF(AND(B339&lt;&gt;"",K339&lt;&gt;$D$17,$D$16&gt;3),F339*Resumo!$F$12,IF(AND(B339&lt;&gt;"",K339&lt;&gt;$D$17,B339&gt;$D$16),F339*Resumo!$F$12,0))</f>
        <v>17.606518155719566</v>
      </c>
      <c r="H339" s="38">
        <f>IF(AND(B339&lt;&gt;"",K339&lt;&gt;$D$17,$D$16&gt;3,$B339&lt;=$D$16),$D$15*Resumo!$F$13,IF(AND(B339&lt;&gt;"",K339&lt;&gt;$D$17,B339&gt;$D$16),$D$15*Resumo!$F$13,0))</f>
        <v>34.369999999999997</v>
      </c>
      <c r="I339" s="38">
        <f>IF(AND(B339&lt;&gt;"",K339&lt;&gt;$D$17,$D$16&gt;3,$B339&lt;=$D$16),Resumo!$F$11,IF(AND(B339&lt;&gt;"",K339&lt;&gt;$D$17,B339&gt;$D$16),Resumo!$F$11,0))</f>
        <v>25</v>
      </c>
      <c r="J339" s="38">
        <f t="shared" ca="1" si="54"/>
        <v>2332.2619715424662</v>
      </c>
      <c r="K339" s="39" t="str">
        <f>IF(B339&lt;&gt;"",VLOOKUP(MONTH(C339),Sheet2!$F$1:$G$12,2,0),"")</f>
        <v>Dezembro</v>
      </c>
      <c r="L339" s="200">
        <f t="shared" ca="1" si="55"/>
        <v>0</v>
      </c>
      <c r="M339" s="40">
        <f t="shared" ca="1" si="56"/>
        <v>2255.2854533867467</v>
      </c>
      <c r="N339" s="40">
        <f t="shared" ca="1" si="57"/>
        <v>2332.2619715424662</v>
      </c>
      <c r="O339" s="40"/>
      <c r="P339" s="20">
        <f t="shared" ca="1" si="49"/>
        <v>834.89136490250701</v>
      </c>
      <c r="Q339" s="1">
        <f t="shared" si="50"/>
        <v>9660</v>
      </c>
      <c r="R339" s="171">
        <f>IF(AND($J$2&gt;=DATEVALUE("03/04/2020"),$J$2&lt;=DATEVALUE("25/11/2020")),0,IF(Resumo!$C$19="PF",IF(Q339&lt;360,0.0082%*Q339,3%),IF(Q339&lt;360,0.0041%*Q339,1.5%)))</f>
        <v>1.4999999999999999E-2</v>
      </c>
      <c r="S339" s="172">
        <f t="shared" ca="1" si="51"/>
        <v>12.523370473537605</v>
      </c>
      <c r="W339" s="216">
        <f t="shared" ca="1" si="58"/>
        <v>2255.2854533867467</v>
      </c>
    </row>
    <row r="340" spans="2:23">
      <c r="B340" s="41">
        <f t="shared" si="52"/>
        <v>318</v>
      </c>
      <c r="C340" s="164">
        <f t="shared" si="53"/>
        <v>54438</v>
      </c>
      <c r="D340" s="42">
        <f t="shared" ca="1" si="60"/>
        <v>1685.1696273920179</v>
      </c>
      <c r="E340" s="42">
        <f t="shared" ca="1" si="59"/>
        <v>570.11582599472877</v>
      </c>
      <c r="F340" s="42">
        <f ca="1">IF(B340&lt;=$D$16,F339*(1+$D$13)^((C340-C339)/_xlfn.DAYS(EDATE(C339,1),C339)),F339-D340)+IF(B340&lt;=$D$16,F339*Resumo!$F$12,0)+IF(B340&lt;=$D$16,$D$15*Resumo!$F$13,0)+IF(B340&lt;=$D$16,25,0)-IF(AND($D$16&gt;3,B340&lt;=$D$16),J340,0)</f>
        <v>82155.393018891627</v>
      </c>
      <c r="G340" s="42">
        <f ca="1">IF(AND(B340&lt;&gt;"",K340&lt;&gt;$D$17,$D$16&gt;3),F340*Resumo!$F$12,IF(AND(B340&lt;&gt;"",K340&lt;&gt;$D$17,B340&gt;$D$16),F340*Resumo!$F$12,0))</f>
        <v>17.252632533967244</v>
      </c>
      <c r="H340" s="42">
        <f>IF(AND(B340&lt;&gt;"",K340&lt;&gt;$D$17,$D$16&gt;3,$B340&lt;=$D$16),$D$15*Resumo!$F$13,IF(AND(B340&lt;&gt;"",K340&lt;&gt;$D$17,B340&gt;$D$16),$D$15*Resumo!$F$13,0))</f>
        <v>34.369999999999997</v>
      </c>
      <c r="I340" s="42">
        <f>IF(AND(B340&lt;&gt;"",K340&lt;&gt;$D$17,$D$16&gt;3,$B340&lt;=$D$16),Resumo!$F$11,IF(AND(B340&lt;&gt;"",K340&lt;&gt;$D$17,B340&gt;$D$16),Resumo!$F$11,0))</f>
        <v>25</v>
      </c>
      <c r="J340" s="42">
        <f t="shared" ca="1" si="54"/>
        <v>2331.9080859207138</v>
      </c>
      <c r="K340" s="39" t="str">
        <f>IF(B340&lt;&gt;"",VLOOKUP(MONTH(C340),Sheet2!$F$1:$G$12,2,0),"")</f>
        <v>Janeiro</v>
      </c>
      <c r="L340" s="200">
        <f t="shared" ca="1" si="55"/>
        <v>0</v>
      </c>
      <c r="M340" s="40">
        <f t="shared" ca="1" si="56"/>
        <v>2255.2854533867467</v>
      </c>
      <c r="N340" s="40">
        <f t="shared" ca="1" si="57"/>
        <v>2331.9080859207138</v>
      </c>
      <c r="O340" s="40"/>
      <c r="P340" s="20">
        <f t="shared" ca="1" si="49"/>
        <v>834.89136490250701</v>
      </c>
      <c r="Q340" s="1">
        <f t="shared" si="50"/>
        <v>9691</v>
      </c>
      <c r="R340" s="171">
        <f>IF(AND($J$2&gt;=DATEVALUE("03/04/2020"),$J$2&lt;=DATEVALUE("25/11/2020")),0,IF(Resumo!$C$19="PF",IF(Q340&lt;360,0.0082%*Q340,3%),IF(Q340&lt;360,0.0041%*Q340,1.5%)))</f>
        <v>1.4999999999999999E-2</v>
      </c>
      <c r="S340" s="172">
        <f t="shared" ca="1" si="51"/>
        <v>12.523370473537605</v>
      </c>
      <c r="W340" s="216">
        <f t="shared" ca="1" si="58"/>
        <v>2255.2854533867467</v>
      </c>
    </row>
    <row r="341" spans="2:23">
      <c r="B341" s="37">
        <f t="shared" si="52"/>
        <v>319</v>
      </c>
      <c r="C341" s="163">
        <f t="shared" si="53"/>
        <v>54469</v>
      </c>
      <c r="D341" s="38">
        <f t="shared" ca="1" si="60"/>
        <v>1696.6287808582838</v>
      </c>
      <c r="E341" s="38">
        <f t="shared" ca="1" si="59"/>
        <v>558.65667252846299</v>
      </c>
      <c r="F341" s="38">
        <f ca="1">IF(B341&lt;=$D$16,F340*(1+$D$13)^((C341-C340)/_xlfn.DAYS(EDATE(C340,1),C340)),F340-D341)+IF(B341&lt;=$D$16,F340*Resumo!$F$12,0)+IF(B341&lt;=$D$16,$D$15*Resumo!$F$13,0)+IF(B341&lt;=$D$16,25,0)-IF(AND($D$16&gt;3,B341&lt;=$D$16),J341,0)</f>
        <v>80458.764238033342</v>
      </c>
      <c r="G341" s="38">
        <f ca="1">IF(AND(B341&lt;&gt;"",K341&lt;&gt;$D$17,$D$16&gt;3),F341*Resumo!$F$12,IF(AND(B341&lt;&gt;"",K341&lt;&gt;$D$17,B341&gt;$D$16),F341*Resumo!$F$12,0))</f>
        <v>16.896340489987004</v>
      </c>
      <c r="H341" s="38">
        <f>IF(AND(B341&lt;&gt;"",K341&lt;&gt;$D$17,$D$16&gt;3,$B341&lt;=$D$16),$D$15*Resumo!$F$13,IF(AND(B341&lt;&gt;"",K341&lt;&gt;$D$17,B341&gt;$D$16),$D$15*Resumo!$F$13,0))</f>
        <v>34.369999999999997</v>
      </c>
      <c r="I341" s="38">
        <f>IF(AND(B341&lt;&gt;"",K341&lt;&gt;$D$17,$D$16&gt;3,$B341&lt;=$D$16),Resumo!$F$11,IF(AND(B341&lt;&gt;"",K341&lt;&gt;$D$17,B341&gt;$D$16),Resumo!$F$11,0))</f>
        <v>25</v>
      </c>
      <c r="J341" s="38">
        <f t="shared" ca="1" si="54"/>
        <v>2331.5517938767334</v>
      </c>
      <c r="K341" s="39" t="str">
        <f>IF(B341&lt;&gt;"",VLOOKUP(MONTH(C341),Sheet2!$F$1:$G$12,2,0),"")</f>
        <v>Fevereiro</v>
      </c>
      <c r="L341" s="200">
        <f t="shared" ca="1" si="55"/>
        <v>0</v>
      </c>
      <c r="M341" s="40">
        <f t="shared" ca="1" si="56"/>
        <v>2255.2854533867467</v>
      </c>
      <c r="N341" s="40">
        <f t="shared" ca="1" si="57"/>
        <v>2331.5517938767334</v>
      </c>
      <c r="O341" s="40"/>
      <c r="P341" s="20">
        <f t="shared" ca="1" si="49"/>
        <v>834.89136490250701</v>
      </c>
      <c r="Q341" s="1">
        <f t="shared" si="50"/>
        <v>9722</v>
      </c>
      <c r="R341" s="171">
        <f>IF(AND($J$2&gt;=DATEVALUE("03/04/2020"),$J$2&lt;=DATEVALUE("25/11/2020")),0,IF(Resumo!$C$19="PF",IF(Q341&lt;360,0.0082%*Q341,3%),IF(Q341&lt;360,0.0041%*Q341,1.5%)))</f>
        <v>1.4999999999999999E-2</v>
      </c>
      <c r="S341" s="172">
        <f t="shared" ca="1" si="51"/>
        <v>12.523370473537605</v>
      </c>
      <c r="W341" s="216">
        <f t="shared" ca="1" si="58"/>
        <v>2255.2854533867467</v>
      </c>
    </row>
    <row r="342" spans="2:23">
      <c r="B342" s="41">
        <f t="shared" si="52"/>
        <v>320</v>
      </c>
      <c r="C342" s="164">
        <f t="shared" si="53"/>
        <v>54497</v>
      </c>
      <c r="D342" s="42">
        <f t="shared" ca="1" si="60"/>
        <v>1708.16585656812</v>
      </c>
      <c r="E342" s="42">
        <f t="shared" ca="1" si="59"/>
        <v>547.11959681862675</v>
      </c>
      <c r="F342" s="42">
        <f ca="1">IF(B342&lt;=$D$16,F341*(1+$D$13)^((C342-C341)/_xlfn.DAYS(EDATE(C341,1),C341)),F341-D342)+IF(B342&lt;=$D$16,F341*Resumo!$F$12,0)+IF(B342&lt;=$D$16,$D$15*Resumo!$F$13,0)+IF(B342&lt;=$D$16,25,0)-IF(AND($D$16&gt;3,B342&lt;=$D$16),J342,0)</f>
        <v>78750.598381465228</v>
      </c>
      <c r="G342" s="42">
        <f ca="1">IF(AND(B342&lt;&gt;"",K342&lt;&gt;$D$17,$D$16&gt;3),F342*Resumo!$F$12,IF(AND(B342&lt;&gt;"",K342&lt;&gt;$D$17,B342&gt;$D$16),F342*Resumo!$F$12,0))</f>
        <v>16.5376256601077</v>
      </c>
      <c r="H342" s="42">
        <f>IF(AND(B342&lt;&gt;"",K342&lt;&gt;$D$17,$D$16&gt;3,$B342&lt;=$D$16),$D$15*Resumo!$F$13,IF(AND(B342&lt;&gt;"",K342&lt;&gt;$D$17,B342&gt;$D$16),$D$15*Resumo!$F$13,0))</f>
        <v>34.369999999999997</v>
      </c>
      <c r="I342" s="42">
        <f>IF(AND(B342&lt;&gt;"",K342&lt;&gt;$D$17,$D$16&gt;3,$B342&lt;=$D$16),Resumo!$F$11,IF(AND(B342&lt;&gt;"",K342&lt;&gt;$D$17,B342&gt;$D$16),Resumo!$F$11,0))</f>
        <v>25</v>
      </c>
      <c r="J342" s="42">
        <f t="shared" ca="1" si="54"/>
        <v>2331.1930790468541</v>
      </c>
      <c r="K342" s="39" t="str">
        <f>IF(B342&lt;&gt;"",VLOOKUP(MONTH(C342),Sheet2!$F$1:$G$12,2,0),"")</f>
        <v>Março</v>
      </c>
      <c r="L342" s="200">
        <f t="shared" ca="1" si="55"/>
        <v>0</v>
      </c>
      <c r="M342" s="40">
        <f t="shared" ca="1" si="56"/>
        <v>2255.2854533867467</v>
      </c>
      <c r="N342" s="40">
        <f t="shared" ca="1" si="57"/>
        <v>2331.1930790468541</v>
      </c>
      <c r="O342" s="40"/>
      <c r="P342" s="20">
        <f t="shared" ca="1" si="49"/>
        <v>834.89136490250701</v>
      </c>
      <c r="Q342" s="1">
        <f t="shared" si="50"/>
        <v>9750</v>
      </c>
      <c r="R342" s="171">
        <f>IF(AND($J$2&gt;=DATEVALUE("03/04/2020"),$J$2&lt;=DATEVALUE("25/11/2020")),0,IF(Resumo!$C$19="PF",IF(Q342&lt;360,0.0082%*Q342,3%),IF(Q342&lt;360,0.0041%*Q342,1.5%)))</f>
        <v>1.4999999999999999E-2</v>
      </c>
      <c r="S342" s="172">
        <f t="shared" ca="1" si="51"/>
        <v>12.523370473537605</v>
      </c>
      <c r="W342" s="216">
        <f t="shared" ca="1" si="58"/>
        <v>2255.2854533867467</v>
      </c>
    </row>
    <row r="343" spans="2:23">
      <c r="B343" s="41">
        <f t="shared" si="52"/>
        <v>321</v>
      </c>
      <c r="C343" s="164">
        <f t="shared" ref="C343:C382" si="61">IF(B343&lt;&gt;"",EDATE($C$22,B343),"")</f>
        <v>54528</v>
      </c>
      <c r="D343" s="42">
        <f t="shared" ref="D343:D382" ca="1" si="62">IF(AND(J343&lt;&gt;"",B343&gt;$D$16),$U$20-E343,0)</f>
        <v>1719.7813843927831</v>
      </c>
      <c r="E343" s="42">
        <f t="shared" ca="1" si="59"/>
        <v>535.50406899396353</v>
      </c>
      <c r="F343" s="42">
        <f ca="1">IF(B343&lt;=$D$16,F342*(1+$D$13)^((C343-C342)/_xlfn.DAYS(EDATE(C342,1),C342)),F342-D343)+IF(B343&lt;=$D$16,F342*Resumo!$F$12,0)+IF(B343&lt;=$D$16,$D$15*Resumo!$F$13,0)+IF(B343&lt;=$D$16,25,0)-IF(AND($D$16&gt;3,B343&lt;=$D$16),J343,0)</f>
        <v>77030.816997072441</v>
      </c>
      <c r="G343" s="42">
        <f ca="1">IF(AND(B343&lt;&gt;"",K343&lt;&gt;$D$17,$D$16&gt;3),F343*Resumo!$F$12,IF(AND(B343&lt;&gt;"",K343&lt;&gt;$D$17,B343&gt;$D$16),F343*Resumo!$F$12,0))</f>
        <v>16.176471569385214</v>
      </c>
      <c r="H343" s="42">
        <f>IF(AND(B343&lt;&gt;"",K343&lt;&gt;$D$17,$D$16&gt;3,$B343&lt;=$D$16),$D$15*Resumo!$F$13,IF(AND(B343&lt;&gt;"",K343&lt;&gt;$D$17,B343&gt;$D$16),$D$15*Resumo!$F$13,0))</f>
        <v>34.369999999999997</v>
      </c>
      <c r="I343" s="42">
        <f>IF(AND(B343&lt;&gt;"",K343&lt;&gt;$D$17,$D$16&gt;3,$B343&lt;=$D$16),Resumo!$F$11,IF(AND(B343&lt;&gt;"",K343&lt;&gt;$D$17,B343&gt;$D$16),Resumo!$F$11,0))</f>
        <v>25</v>
      </c>
      <c r="J343" s="42">
        <f t="shared" ca="1" si="54"/>
        <v>2330.8319249561318</v>
      </c>
      <c r="K343" s="39" t="str">
        <f>IF(B343&lt;&gt;"",VLOOKUP(MONTH(C343),Sheet2!$F$1:$G$12,2,0),"")</f>
        <v>Abril</v>
      </c>
      <c r="L343" s="200">
        <f t="shared" ref="L343:L382" ca="1" si="63">IF(AND(L342=0,J343&gt;J342),C343,0)</f>
        <v>0</v>
      </c>
      <c r="M343" s="40">
        <f t="shared" ref="M343:M382" ca="1" si="64">D343+E343</f>
        <v>2255.2854533867467</v>
      </c>
      <c r="N343" s="40">
        <f t="shared" ref="N343:N382" ca="1" si="65">J343</f>
        <v>2330.8319249561318</v>
      </c>
      <c r="O343" s="40"/>
      <c r="P343" s="20">
        <f t="shared" ref="P343:P382" ca="1" si="66">IF(D343=0,0,$F$21/($D$12-$E$17-$D$16))</f>
        <v>834.89136490250701</v>
      </c>
      <c r="Q343" s="1">
        <f t="shared" ref="Q343:Q382" si="67">IFERROR(C343-$J$2,0)</f>
        <v>9781</v>
      </c>
      <c r="R343" s="171">
        <f>IF(AND($J$2&gt;=DATEVALUE("03/04/2020"),$J$2&lt;=DATEVALUE("25/11/2020")),0,IF(Resumo!$C$19="PF",IF(Q343&lt;360,0.0082%*Q343,3%),IF(Q343&lt;360,0.0041%*Q343,1.5%)))</f>
        <v>1.4999999999999999E-2</v>
      </c>
      <c r="S343" s="172">
        <f t="shared" ref="S343:S382" ca="1" si="68">R343*P343</f>
        <v>12.523370473537605</v>
      </c>
    </row>
    <row r="344" spans="2:23">
      <c r="B344" s="41">
        <f t="shared" ref="B344:B382" si="69">IF(B343&lt;$D$12,B343+1,"")</f>
        <v>322</v>
      </c>
      <c r="C344" s="164">
        <f t="shared" si="61"/>
        <v>54558</v>
      </c>
      <c r="D344" s="42">
        <f t="shared" ca="1" si="62"/>
        <v>1731.4758978066541</v>
      </c>
      <c r="E344" s="42">
        <f t="shared" ca="1" si="59"/>
        <v>523.80955558009259</v>
      </c>
      <c r="F344" s="42">
        <f ca="1">IF(B344&lt;=$D$16,F343*(1+$D$13)^((C344-C343)/_xlfn.DAYS(EDATE(C343,1),C343)),F343-D344)+IF(B344&lt;=$D$16,F343*Resumo!$F$12,0)+IF(B344&lt;=$D$16,$D$15*Resumo!$F$13,0)+IF(B344&lt;=$D$16,25,0)-IF(AND($D$16&gt;3,B344&lt;=$D$16),J344,0)</f>
        <v>75299.341099265788</v>
      </c>
      <c r="G344" s="42">
        <f ca="1">IF(AND(B344&lt;&gt;"",K344&lt;&gt;$D$17,$D$16&gt;3),F344*Resumo!$F$12,IF(AND(B344&lt;&gt;"",K344&lt;&gt;$D$17,B344&gt;$D$16),F344*Resumo!$F$12,0))</f>
        <v>15.812861630845816</v>
      </c>
      <c r="H344" s="42">
        <f>IF(AND(B344&lt;&gt;"",K344&lt;&gt;$D$17,$D$16&gt;3,$B344&lt;=$D$16),$D$15*Resumo!$F$13,IF(AND(B344&lt;&gt;"",K344&lt;&gt;$D$17,B344&gt;$D$16),$D$15*Resumo!$F$13,0))</f>
        <v>34.369999999999997</v>
      </c>
      <c r="I344" s="42">
        <f>IF(AND(B344&lt;&gt;"",K344&lt;&gt;$D$17,$D$16&gt;3,$B344&lt;=$D$16),Resumo!$F$11,IF(AND(B344&lt;&gt;"",K344&lt;&gt;$D$17,B344&gt;$D$16),Resumo!$F$11,0))</f>
        <v>25</v>
      </c>
      <c r="J344" s="42">
        <f t="shared" ref="J344:J382" ca="1" si="70">IF(B344&lt;&gt;"",D344+E344+H344+I344+G344,"")</f>
        <v>2330.4683150175924</v>
      </c>
      <c r="K344" s="39" t="str">
        <f>IF(B344&lt;&gt;"",VLOOKUP(MONTH(C344),Sheet2!$F$1:$G$12,2,0),"")</f>
        <v>Maio</v>
      </c>
      <c r="L344" s="200">
        <f t="shared" ca="1" si="63"/>
        <v>0</v>
      </c>
      <c r="M344" s="40">
        <f t="shared" ca="1" si="64"/>
        <v>2255.2854533867467</v>
      </c>
      <c r="N344" s="40">
        <f t="shared" ca="1" si="65"/>
        <v>2330.4683150175924</v>
      </c>
      <c r="O344" s="40"/>
      <c r="P344" s="20">
        <f t="shared" ca="1" si="66"/>
        <v>834.89136490250701</v>
      </c>
      <c r="Q344" s="1">
        <f t="shared" si="67"/>
        <v>9811</v>
      </c>
      <c r="R344" s="171">
        <f>IF(AND($J$2&gt;=DATEVALUE("03/04/2020"),$J$2&lt;=DATEVALUE("25/11/2020")),0,IF(Resumo!$C$19="PF",IF(Q344&lt;360,0.0082%*Q344,3%),IF(Q344&lt;360,0.0041%*Q344,1.5%)))</f>
        <v>1.4999999999999999E-2</v>
      </c>
      <c r="S344" s="172">
        <f t="shared" ca="1" si="68"/>
        <v>12.523370473537605</v>
      </c>
    </row>
    <row r="345" spans="2:23">
      <c r="B345" s="41">
        <f t="shared" si="69"/>
        <v>323</v>
      </c>
      <c r="C345" s="164">
        <f t="shared" si="61"/>
        <v>54589</v>
      </c>
      <c r="D345" s="42">
        <f t="shared" ca="1" si="62"/>
        <v>1743.2499339117394</v>
      </c>
      <c r="E345" s="42">
        <f t="shared" ca="1" si="59"/>
        <v>512.03551947500728</v>
      </c>
      <c r="F345" s="42">
        <f ca="1">IF(B345&lt;=$D$16,F344*(1+$D$13)^((C345-C344)/_xlfn.DAYS(EDATE(C344,1),C344)),F344-D345)+IF(B345&lt;=$D$16,F344*Resumo!$F$12,0)+IF(B345&lt;=$D$16,$D$15*Resumo!$F$13,0)+IF(B345&lt;=$D$16,25,0)-IF(AND($D$16&gt;3,B345&lt;=$D$16),J345,0)</f>
        <v>73556.091165354053</v>
      </c>
      <c r="G345" s="42">
        <f ca="1">IF(AND(B345&lt;&gt;"",K345&lt;&gt;$D$17,$D$16&gt;3),F345*Resumo!$F$12,IF(AND(B345&lt;&gt;"",K345&lt;&gt;$D$17,B345&gt;$D$16),F345*Resumo!$F$12,0))</f>
        <v>15.446779144724351</v>
      </c>
      <c r="H345" s="42">
        <f>IF(AND(B345&lt;&gt;"",K345&lt;&gt;$D$17,$D$16&gt;3,$B345&lt;=$D$16),$D$15*Resumo!$F$13,IF(AND(B345&lt;&gt;"",K345&lt;&gt;$D$17,B345&gt;$D$16),$D$15*Resumo!$F$13,0))</f>
        <v>34.369999999999997</v>
      </c>
      <c r="I345" s="42">
        <f>IF(AND(B345&lt;&gt;"",K345&lt;&gt;$D$17,$D$16&gt;3,$B345&lt;=$D$16),Resumo!$F$11,IF(AND(B345&lt;&gt;"",K345&lt;&gt;$D$17,B345&gt;$D$16),Resumo!$F$11,0))</f>
        <v>25</v>
      </c>
      <c r="J345" s="42">
        <f t="shared" ca="1" si="70"/>
        <v>2330.1022325314707</v>
      </c>
      <c r="K345" s="39" t="str">
        <f>IF(B345&lt;&gt;"",VLOOKUP(MONTH(C345),Sheet2!$F$1:$G$12,2,0),"")</f>
        <v>Junho</v>
      </c>
      <c r="L345" s="200">
        <f t="shared" ca="1" si="63"/>
        <v>0</v>
      </c>
      <c r="M345" s="40">
        <f t="shared" ca="1" si="64"/>
        <v>2255.2854533867467</v>
      </c>
      <c r="N345" s="40">
        <f t="shared" ca="1" si="65"/>
        <v>2330.1022325314707</v>
      </c>
      <c r="O345" s="40"/>
      <c r="P345" s="20">
        <f t="shared" ca="1" si="66"/>
        <v>834.89136490250701</v>
      </c>
      <c r="Q345" s="1">
        <f t="shared" si="67"/>
        <v>9842</v>
      </c>
      <c r="R345" s="171">
        <f>IF(AND($J$2&gt;=DATEVALUE("03/04/2020"),$J$2&lt;=DATEVALUE("25/11/2020")),0,IF(Resumo!$C$19="PF",IF(Q345&lt;360,0.0082%*Q345,3%),IF(Q345&lt;360,0.0041%*Q345,1.5%)))</f>
        <v>1.4999999999999999E-2</v>
      </c>
      <c r="S345" s="172">
        <f t="shared" ca="1" si="68"/>
        <v>12.523370473537605</v>
      </c>
    </row>
    <row r="346" spans="2:23">
      <c r="B346" s="41">
        <f t="shared" si="69"/>
        <v>324</v>
      </c>
      <c r="C346" s="164">
        <f t="shared" si="61"/>
        <v>54619</v>
      </c>
      <c r="D346" s="42">
        <f t="shared" ca="1" si="62"/>
        <v>1755.1040334623392</v>
      </c>
      <c r="E346" s="42">
        <f t="shared" ca="1" si="59"/>
        <v>500.18141992440752</v>
      </c>
      <c r="F346" s="42">
        <f ca="1">IF(B346&lt;=$D$16,F345*(1+$D$13)^((C346-C345)/_xlfn.DAYS(EDATE(C345,1),C345)),F345-D346)+IF(B346&lt;=$D$16,F345*Resumo!$F$12,0)+IF(B346&lt;=$D$16,$D$15*Resumo!$F$13,0)+IF(B346&lt;=$D$16,25,0)-IF(AND($D$16&gt;3,B346&lt;=$D$16),J346,0)</f>
        <v>71800.987131891714</v>
      </c>
      <c r="G346" s="42">
        <f ca="1">IF(AND(B346&lt;&gt;"",K346&lt;&gt;$D$17,$D$16&gt;3),F346*Resumo!$F$12,IF(AND(B346&lt;&gt;"",K346&lt;&gt;$D$17,B346&gt;$D$16),F346*Resumo!$F$12,0))</f>
        <v>15.078207297697261</v>
      </c>
      <c r="H346" s="42">
        <f>IF(AND(B346&lt;&gt;"",K346&lt;&gt;$D$17,$D$16&gt;3,$B346&lt;=$D$16),$D$15*Resumo!$F$13,IF(AND(B346&lt;&gt;"",K346&lt;&gt;$D$17,B346&gt;$D$16),$D$15*Resumo!$F$13,0))</f>
        <v>34.369999999999997</v>
      </c>
      <c r="I346" s="42">
        <f>IF(AND(B346&lt;&gt;"",K346&lt;&gt;$D$17,$D$16&gt;3,$B346&lt;=$D$16),Resumo!$F$11,IF(AND(B346&lt;&gt;"",K346&lt;&gt;$D$17,B346&gt;$D$16),Resumo!$F$11,0))</f>
        <v>25</v>
      </c>
      <c r="J346" s="42">
        <f t="shared" ca="1" si="70"/>
        <v>2329.7336606844437</v>
      </c>
      <c r="K346" s="39" t="str">
        <f>IF(B346&lt;&gt;"",VLOOKUP(MONTH(C346),Sheet2!$F$1:$G$12,2,0),"")</f>
        <v>Julho</v>
      </c>
      <c r="L346" s="200">
        <f t="shared" ca="1" si="63"/>
        <v>0</v>
      </c>
      <c r="M346" s="40">
        <f t="shared" ca="1" si="64"/>
        <v>2255.2854533867467</v>
      </c>
      <c r="N346" s="40">
        <f t="shared" ca="1" si="65"/>
        <v>2329.7336606844437</v>
      </c>
      <c r="O346" s="40"/>
      <c r="P346" s="20">
        <f t="shared" ca="1" si="66"/>
        <v>834.89136490250701</v>
      </c>
      <c r="Q346" s="1">
        <f t="shared" si="67"/>
        <v>9872</v>
      </c>
      <c r="R346" s="171">
        <f>IF(AND($J$2&gt;=DATEVALUE("03/04/2020"),$J$2&lt;=DATEVALUE("25/11/2020")),0,IF(Resumo!$C$19="PF",IF(Q346&lt;360,0.0082%*Q346,3%),IF(Q346&lt;360,0.0041%*Q346,1.5%)))</f>
        <v>1.4999999999999999E-2</v>
      </c>
      <c r="S346" s="172">
        <f t="shared" ca="1" si="68"/>
        <v>12.523370473537605</v>
      </c>
    </row>
    <row r="347" spans="2:23">
      <c r="B347" s="41">
        <f t="shared" si="69"/>
        <v>325</v>
      </c>
      <c r="C347" s="164">
        <f t="shared" si="61"/>
        <v>54650</v>
      </c>
      <c r="D347" s="42">
        <f t="shared" ca="1" si="62"/>
        <v>1767.038740889883</v>
      </c>
      <c r="E347" s="42">
        <f t="shared" ref="E347:E382" ca="1" si="71">IF(AND(B347&lt;&gt;"",L347&lt;&gt;$D$17,B347&lt;$D$16,$D$16&lt;4),0,IF(AND(B347&lt;&gt;"",L347&lt;&gt;$D$17,B347&lt;=$D$16,$D$16&gt;3),F346*$D$13,IF(AND(B347&lt;&gt;"",L347&lt;&gt;$D$17,B347&gt;$D$16),F346*$D$13,0)))</f>
        <v>488.24671249686361</v>
      </c>
      <c r="F347" s="42">
        <f ca="1">IF(B347&lt;=$D$16,F346*(1+$D$13)^((C347-C346)/_xlfn.DAYS(EDATE(C346,1),C346)),F346-D347)+IF(B347&lt;=$D$16,F346*Resumo!$F$12,0)+IF(B347&lt;=$D$16,$D$15*Resumo!$F$13,0)+IF(B347&lt;=$D$16,25,0)-IF(AND($D$16&gt;3,B347&lt;=$D$16),J347,0)</f>
        <v>70033.948391001832</v>
      </c>
      <c r="G347" s="42">
        <f ca="1">IF(AND(B347&lt;&gt;"",K347&lt;&gt;$D$17,$D$16&gt;3),F347*Resumo!$F$12,IF(AND(B347&lt;&gt;"",K347&lt;&gt;$D$17,B347&gt;$D$16),F347*Resumo!$F$12,0))</f>
        <v>14.707129162110386</v>
      </c>
      <c r="H347" s="42">
        <f>IF(AND(B347&lt;&gt;"",K347&lt;&gt;$D$17,$D$16&gt;3,$B347&lt;=$D$16),$D$15*Resumo!$F$13,IF(AND(B347&lt;&gt;"",K347&lt;&gt;$D$17,B347&gt;$D$16),$D$15*Resumo!$F$13,0))</f>
        <v>34.369999999999997</v>
      </c>
      <c r="I347" s="42">
        <f>IF(AND(B347&lt;&gt;"",K347&lt;&gt;$D$17,$D$16&gt;3,$B347&lt;=$D$16),Resumo!$F$11,IF(AND(B347&lt;&gt;"",K347&lt;&gt;$D$17,B347&gt;$D$16),Resumo!$F$11,0))</f>
        <v>25</v>
      </c>
      <c r="J347" s="42">
        <f t="shared" ca="1" si="70"/>
        <v>2329.3625825488571</v>
      </c>
      <c r="K347" s="39" t="str">
        <f>IF(B347&lt;&gt;"",VLOOKUP(MONTH(C347),Sheet2!$F$1:$G$12,2,0),"")</f>
        <v>Agosto</v>
      </c>
      <c r="L347" s="200">
        <f t="shared" ca="1" si="63"/>
        <v>0</v>
      </c>
      <c r="M347" s="40">
        <f t="shared" ca="1" si="64"/>
        <v>2255.2854533867467</v>
      </c>
      <c r="N347" s="40">
        <f t="shared" ca="1" si="65"/>
        <v>2329.3625825488571</v>
      </c>
      <c r="O347" s="40"/>
      <c r="P347" s="20">
        <f t="shared" ca="1" si="66"/>
        <v>834.89136490250701</v>
      </c>
      <c r="Q347" s="1">
        <f t="shared" si="67"/>
        <v>9903</v>
      </c>
      <c r="R347" s="171">
        <f>IF(AND($J$2&gt;=DATEVALUE("03/04/2020"),$J$2&lt;=DATEVALUE("25/11/2020")),0,IF(Resumo!$C$19="PF",IF(Q347&lt;360,0.0082%*Q347,3%),IF(Q347&lt;360,0.0041%*Q347,1.5%)))</f>
        <v>1.4999999999999999E-2</v>
      </c>
      <c r="S347" s="172">
        <f t="shared" ca="1" si="68"/>
        <v>12.523370473537605</v>
      </c>
    </row>
    <row r="348" spans="2:23">
      <c r="B348" s="41">
        <f t="shared" si="69"/>
        <v>326</v>
      </c>
      <c r="C348" s="164">
        <f t="shared" si="61"/>
        <v>54681</v>
      </c>
      <c r="D348" s="42">
        <f t="shared" ca="1" si="62"/>
        <v>1779.0546043279342</v>
      </c>
      <c r="E348" s="42">
        <f t="shared" ca="1" si="71"/>
        <v>476.23084905881245</v>
      </c>
      <c r="F348" s="42">
        <f ca="1">IF(B348&lt;=$D$16,F347*(1+$D$13)^((C348-C347)/_xlfn.DAYS(EDATE(C347,1),C347)),F347-D348)+IF(B348&lt;=$D$16,F347*Resumo!$F$12,0)+IF(B348&lt;=$D$16,$D$15*Resumo!$F$13,0)+IF(B348&lt;=$D$16,25,0)-IF(AND($D$16&gt;3,B348&lt;=$D$16),J348,0)</f>
        <v>68254.8937866739</v>
      </c>
      <c r="G348" s="42">
        <f ca="1">IF(AND(B348&lt;&gt;"",K348&lt;&gt;$D$17,$D$16&gt;3),F348*Resumo!$F$12,IF(AND(B348&lt;&gt;"",K348&lt;&gt;$D$17,B348&gt;$D$16),F348*Resumo!$F$12,0))</f>
        <v>14.33352769520152</v>
      </c>
      <c r="H348" s="42">
        <f>IF(AND(B348&lt;&gt;"",K348&lt;&gt;$D$17,$D$16&gt;3,$B348&lt;=$D$16),$D$15*Resumo!$F$13,IF(AND(B348&lt;&gt;"",K348&lt;&gt;$D$17,B348&gt;$D$16),$D$15*Resumo!$F$13,0))</f>
        <v>34.369999999999997</v>
      </c>
      <c r="I348" s="42">
        <f>IF(AND(B348&lt;&gt;"",K348&lt;&gt;$D$17,$D$16&gt;3,$B348&lt;=$D$16),Resumo!$F$11,IF(AND(B348&lt;&gt;"",K348&lt;&gt;$D$17,B348&gt;$D$16),Resumo!$F$11,0))</f>
        <v>25</v>
      </c>
      <c r="J348" s="42">
        <f t="shared" ca="1" si="70"/>
        <v>2328.9889810819482</v>
      </c>
      <c r="K348" s="39" t="str">
        <f>IF(B348&lt;&gt;"",VLOOKUP(MONTH(C348),Sheet2!$F$1:$G$12,2,0),"")</f>
        <v>Setembro</v>
      </c>
      <c r="L348" s="200">
        <f t="shared" ca="1" si="63"/>
        <v>0</v>
      </c>
      <c r="M348" s="40">
        <f t="shared" ca="1" si="64"/>
        <v>2255.2854533867467</v>
      </c>
      <c r="N348" s="40">
        <f t="shared" ca="1" si="65"/>
        <v>2328.9889810819482</v>
      </c>
      <c r="O348" s="40"/>
      <c r="P348" s="20">
        <f t="shared" ca="1" si="66"/>
        <v>834.89136490250701</v>
      </c>
      <c r="Q348" s="1">
        <f t="shared" si="67"/>
        <v>9934</v>
      </c>
      <c r="R348" s="171">
        <f>IF(AND($J$2&gt;=DATEVALUE("03/04/2020"),$J$2&lt;=DATEVALUE("25/11/2020")),0,IF(Resumo!$C$19="PF",IF(Q348&lt;360,0.0082%*Q348,3%),IF(Q348&lt;360,0.0041%*Q348,1.5%)))</f>
        <v>1.4999999999999999E-2</v>
      </c>
      <c r="S348" s="172">
        <f t="shared" ca="1" si="68"/>
        <v>12.523370473537605</v>
      </c>
    </row>
    <row r="349" spans="2:23">
      <c r="B349" s="41">
        <f t="shared" si="69"/>
        <v>327</v>
      </c>
      <c r="C349" s="164">
        <f t="shared" si="61"/>
        <v>54711</v>
      </c>
      <c r="D349" s="42">
        <f t="shared" ca="1" si="62"/>
        <v>1791.1521756373641</v>
      </c>
      <c r="E349" s="42">
        <f t="shared" ca="1" si="71"/>
        <v>464.1332777493825</v>
      </c>
      <c r="F349" s="42">
        <f ca="1">IF(B349&lt;=$D$16,F348*(1+$D$13)^((C349-C348)/_xlfn.DAYS(EDATE(C348,1),C348)),F348-D349)+IF(B349&lt;=$D$16,F348*Resumo!$F$12,0)+IF(B349&lt;=$D$16,$D$15*Resumo!$F$13,0)+IF(B349&lt;=$D$16,25,0)-IF(AND($D$16&gt;3,B349&lt;=$D$16),J349,0)</f>
        <v>66463.74161103653</v>
      </c>
      <c r="G349" s="42">
        <f ca="1">IF(AND(B349&lt;&gt;"",K349&lt;&gt;$D$17,$D$16&gt;3),F349*Resumo!$F$12,IF(AND(B349&lt;&gt;"",K349&lt;&gt;$D$17,B349&gt;$D$16),F349*Resumo!$F$12,0))</f>
        <v>13.957385738317672</v>
      </c>
      <c r="H349" s="42">
        <f>IF(AND(B349&lt;&gt;"",K349&lt;&gt;$D$17,$D$16&gt;3,$B349&lt;=$D$16),$D$15*Resumo!$F$13,IF(AND(B349&lt;&gt;"",K349&lt;&gt;$D$17,B349&gt;$D$16),$D$15*Resumo!$F$13,0))</f>
        <v>34.369999999999997</v>
      </c>
      <c r="I349" s="42">
        <f>IF(AND(B349&lt;&gt;"",K349&lt;&gt;$D$17,$D$16&gt;3,$B349&lt;=$D$16),Resumo!$F$11,IF(AND(B349&lt;&gt;"",K349&lt;&gt;$D$17,B349&gt;$D$16),Resumo!$F$11,0))</f>
        <v>25</v>
      </c>
      <c r="J349" s="42">
        <f t="shared" ca="1" si="70"/>
        <v>2328.6128391250641</v>
      </c>
      <c r="K349" s="39" t="str">
        <f>IF(B349&lt;&gt;"",VLOOKUP(MONTH(C349),Sheet2!$F$1:$G$12,2,0),"")</f>
        <v>Outubro</v>
      </c>
      <c r="L349" s="200">
        <f t="shared" ca="1" si="63"/>
        <v>0</v>
      </c>
      <c r="M349" s="40">
        <f t="shared" ca="1" si="64"/>
        <v>2255.2854533867467</v>
      </c>
      <c r="N349" s="40">
        <f t="shared" ca="1" si="65"/>
        <v>2328.6128391250641</v>
      </c>
      <c r="O349" s="40"/>
      <c r="P349" s="20">
        <f t="shared" ca="1" si="66"/>
        <v>834.89136490250701</v>
      </c>
      <c r="Q349" s="1">
        <f t="shared" si="67"/>
        <v>9964</v>
      </c>
      <c r="R349" s="171">
        <f>IF(AND($J$2&gt;=DATEVALUE("03/04/2020"),$J$2&lt;=DATEVALUE("25/11/2020")),0,IF(Resumo!$C$19="PF",IF(Q349&lt;360,0.0082%*Q349,3%),IF(Q349&lt;360,0.0041%*Q349,1.5%)))</f>
        <v>1.4999999999999999E-2</v>
      </c>
      <c r="S349" s="172">
        <f t="shared" ca="1" si="68"/>
        <v>12.523370473537605</v>
      </c>
    </row>
    <row r="350" spans="2:23">
      <c r="B350" s="41">
        <f t="shared" si="69"/>
        <v>328</v>
      </c>
      <c r="C350" s="164">
        <f t="shared" si="61"/>
        <v>54742</v>
      </c>
      <c r="D350" s="42">
        <f t="shared" ca="1" si="62"/>
        <v>1803.3320104316983</v>
      </c>
      <c r="E350" s="42">
        <f t="shared" ca="1" si="71"/>
        <v>451.95344295504839</v>
      </c>
      <c r="F350" s="42">
        <f ca="1">IF(B350&lt;=$D$16,F349*(1+$D$13)^((C350-C349)/_xlfn.DAYS(EDATE(C349,1),C349)),F349-D350)+IF(B350&lt;=$D$16,F349*Resumo!$F$12,0)+IF(B350&lt;=$D$16,$D$15*Resumo!$F$13,0)+IF(B350&lt;=$D$16,25,0)-IF(AND($D$16&gt;3,B350&lt;=$D$16),J350,0)</f>
        <v>64660.409600604835</v>
      </c>
      <c r="G350" s="42">
        <f ca="1">IF(AND(B350&lt;&gt;"",K350&lt;&gt;$D$17,$D$16&gt;3),F350*Resumo!$F$12,IF(AND(B350&lt;&gt;"",K350&lt;&gt;$D$17,B350&gt;$D$16),F350*Resumo!$F$12,0))</f>
        <v>13.578686016127016</v>
      </c>
      <c r="H350" s="42">
        <f>IF(AND(B350&lt;&gt;"",K350&lt;&gt;$D$17,$D$16&gt;3,$B350&lt;=$D$16),$D$15*Resumo!$F$13,IF(AND(B350&lt;&gt;"",K350&lt;&gt;$D$17,B350&gt;$D$16),$D$15*Resumo!$F$13,0))</f>
        <v>34.369999999999997</v>
      </c>
      <c r="I350" s="42">
        <f>IF(AND(B350&lt;&gt;"",K350&lt;&gt;$D$17,$D$16&gt;3,$B350&lt;=$D$16),Resumo!$F$11,IF(AND(B350&lt;&gt;"",K350&lt;&gt;$D$17,B350&gt;$D$16),Resumo!$F$11,0))</f>
        <v>25</v>
      </c>
      <c r="J350" s="42">
        <f t="shared" ca="1" si="70"/>
        <v>2328.2341394028736</v>
      </c>
      <c r="K350" s="39" t="str">
        <f>IF(B350&lt;&gt;"",VLOOKUP(MONTH(C350),Sheet2!$F$1:$G$12,2,0),"")</f>
        <v>Novembro</v>
      </c>
      <c r="L350" s="200">
        <f t="shared" ca="1" si="63"/>
        <v>0</v>
      </c>
      <c r="M350" s="40">
        <f t="shared" ca="1" si="64"/>
        <v>2255.2854533867467</v>
      </c>
      <c r="N350" s="40">
        <f t="shared" ca="1" si="65"/>
        <v>2328.2341394028736</v>
      </c>
      <c r="O350" s="40"/>
      <c r="P350" s="20">
        <f t="shared" ca="1" si="66"/>
        <v>834.89136490250701</v>
      </c>
      <c r="Q350" s="1">
        <f t="shared" si="67"/>
        <v>9995</v>
      </c>
      <c r="R350" s="171">
        <f>IF(AND($J$2&gt;=DATEVALUE("03/04/2020"),$J$2&lt;=DATEVALUE("25/11/2020")),0,IF(Resumo!$C$19="PF",IF(Q350&lt;360,0.0082%*Q350,3%),IF(Q350&lt;360,0.0041%*Q350,1.5%)))</f>
        <v>1.4999999999999999E-2</v>
      </c>
      <c r="S350" s="172">
        <f t="shared" ca="1" si="68"/>
        <v>12.523370473537605</v>
      </c>
    </row>
    <row r="351" spans="2:23">
      <c r="B351" s="41">
        <f t="shared" si="69"/>
        <v>329</v>
      </c>
      <c r="C351" s="164">
        <f t="shared" si="61"/>
        <v>54772</v>
      </c>
      <c r="D351" s="42">
        <f t="shared" ca="1" si="62"/>
        <v>1815.5946681026339</v>
      </c>
      <c r="E351" s="42">
        <f t="shared" ca="1" si="71"/>
        <v>439.69078528411285</v>
      </c>
      <c r="F351" s="42">
        <f ca="1">IF(B351&lt;=$D$16,F350*(1+$D$13)^((C351-C350)/_xlfn.DAYS(EDATE(C350,1),C350)),F350-D351)+IF(B351&lt;=$D$16,F350*Resumo!$F$12,0)+IF(B351&lt;=$D$16,$D$15*Resumo!$F$13,0)+IF(B351&lt;=$D$16,25,0)-IF(AND($D$16&gt;3,B351&lt;=$D$16),J351,0)</f>
        <v>62844.814932502202</v>
      </c>
      <c r="G351" s="42">
        <f ca="1">IF(AND(B351&lt;&gt;"",K351&lt;&gt;$D$17,$D$16&gt;3),F351*Resumo!$F$12,IF(AND(B351&lt;&gt;"",K351&lt;&gt;$D$17,B351&gt;$D$16),F351*Resumo!$F$12,0))</f>
        <v>13.197411135825464</v>
      </c>
      <c r="H351" s="42">
        <f>IF(AND(B351&lt;&gt;"",K351&lt;&gt;$D$17,$D$16&gt;3,$B351&lt;=$D$16),$D$15*Resumo!$F$13,IF(AND(B351&lt;&gt;"",K351&lt;&gt;$D$17,B351&gt;$D$16),$D$15*Resumo!$F$13,0))</f>
        <v>34.369999999999997</v>
      </c>
      <c r="I351" s="42">
        <f>IF(AND(B351&lt;&gt;"",K351&lt;&gt;$D$17,$D$16&gt;3,$B351&lt;=$D$16),Resumo!$F$11,IF(AND(B351&lt;&gt;"",K351&lt;&gt;$D$17,B351&gt;$D$16),Resumo!$F$11,0))</f>
        <v>25</v>
      </c>
      <c r="J351" s="42">
        <f t="shared" ca="1" si="70"/>
        <v>2327.852864522572</v>
      </c>
      <c r="K351" s="39" t="str">
        <f>IF(B351&lt;&gt;"",VLOOKUP(MONTH(C351),Sheet2!$F$1:$G$12,2,0),"")</f>
        <v>Dezembro</v>
      </c>
      <c r="L351" s="200">
        <f t="shared" ca="1" si="63"/>
        <v>0</v>
      </c>
      <c r="M351" s="40">
        <f t="shared" ca="1" si="64"/>
        <v>2255.2854533867467</v>
      </c>
      <c r="N351" s="40">
        <f t="shared" ca="1" si="65"/>
        <v>2327.852864522572</v>
      </c>
      <c r="O351" s="40"/>
      <c r="P351" s="20">
        <f t="shared" ca="1" si="66"/>
        <v>834.89136490250701</v>
      </c>
      <c r="Q351" s="1">
        <f t="shared" si="67"/>
        <v>10025</v>
      </c>
      <c r="R351" s="171">
        <f>IF(AND($J$2&gt;=DATEVALUE("03/04/2020"),$J$2&lt;=DATEVALUE("25/11/2020")),0,IF(Resumo!$C$19="PF",IF(Q351&lt;360,0.0082%*Q351,3%),IF(Q351&lt;360,0.0041%*Q351,1.5%)))</f>
        <v>1.4999999999999999E-2</v>
      </c>
      <c r="S351" s="172">
        <f t="shared" ca="1" si="68"/>
        <v>12.523370473537605</v>
      </c>
    </row>
    <row r="352" spans="2:23">
      <c r="B352" s="41">
        <f t="shared" si="69"/>
        <v>330</v>
      </c>
      <c r="C352" s="164">
        <f t="shared" si="61"/>
        <v>54803</v>
      </c>
      <c r="D352" s="42">
        <f t="shared" ca="1" si="62"/>
        <v>1827.9407118457316</v>
      </c>
      <c r="E352" s="42">
        <f t="shared" ca="1" si="71"/>
        <v>427.34474154101497</v>
      </c>
      <c r="F352" s="42">
        <f ca="1">IF(B352&lt;=$D$16,F351*(1+$D$13)^((C352-C351)/_xlfn.DAYS(EDATE(C351,1),C351)),F351-D352)+IF(B352&lt;=$D$16,F351*Resumo!$F$12,0)+IF(B352&lt;=$D$16,$D$15*Resumo!$F$13,0)+IF(B352&lt;=$D$16,25,0)-IF(AND($D$16&gt;3,B352&lt;=$D$16),J352,0)</f>
        <v>61016.874220656471</v>
      </c>
      <c r="G352" s="42">
        <f ca="1">IF(AND(B352&lt;&gt;"",K352&lt;&gt;$D$17,$D$16&gt;3),F352*Resumo!$F$12,IF(AND(B352&lt;&gt;"",K352&lt;&gt;$D$17,B352&gt;$D$16),F352*Resumo!$F$12,0))</f>
        <v>12.813543586337859</v>
      </c>
      <c r="H352" s="42">
        <f>IF(AND(B352&lt;&gt;"",K352&lt;&gt;$D$17,$D$16&gt;3,$B352&lt;=$D$16),$D$15*Resumo!$F$13,IF(AND(B352&lt;&gt;"",K352&lt;&gt;$D$17,B352&gt;$D$16),$D$15*Resumo!$F$13,0))</f>
        <v>34.369999999999997</v>
      </c>
      <c r="I352" s="42">
        <f>IF(AND(B352&lt;&gt;"",K352&lt;&gt;$D$17,$D$16&gt;3,$B352&lt;=$D$16),Resumo!$F$11,IF(AND(B352&lt;&gt;"",K352&lt;&gt;$D$17,B352&gt;$D$16),Resumo!$F$11,0))</f>
        <v>25</v>
      </c>
      <c r="J352" s="42">
        <f t="shared" ca="1" si="70"/>
        <v>2327.4689969730844</v>
      </c>
      <c r="K352" s="39" t="str">
        <f>IF(B352&lt;&gt;"",VLOOKUP(MONTH(C352),Sheet2!$F$1:$G$12,2,0),"")</f>
        <v>Janeiro</v>
      </c>
      <c r="L352" s="200">
        <f t="shared" ca="1" si="63"/>
        <v>0</v>
      </c>
      <c r="M352" s="40">
        <f t="shared" ca="1" si="64"/>
        <v>2255.2854533867467</v>
      </c>
      <c r="N352" s="40">
        <f t="shared" ca="1" si="65"/>
        <v>2327.4689969730844</v>
      </c>
      <c r="O352" s="40"/>
      <c r="P352" s="20">
        <f t="shared" ca="1" si="66"/>
        <v>834.89136490250701</v>
      </c>
      <c r="Q352" s="1">
        <f t="shared" si="67"/>
        <v>10056</v>
      </c>
      <c r="R352" s="171">
        <f>IF(AND($J$2&gt;=DATEVALUE("03/04/2020"),$J$2&lt;=DATEVALUE("25/11/2020")),0,IF(Resumo!$C$19="PF",IF(Q352&lt;360,0.0082%*Q352,3%),IF(Q352&lt;360,0.0041%*Q352,1.5%)))</f>
        <v>1.4999999999999999E-2</v>
      </c>
      <c r="S352" s="172">
        <f t="shared" ca="1" si="68"/>
        <v>12.523370473537605</v>
      </c>
    </row>
    <row r="353" spans="2:19">
      <c r="B353" s="41">
        <f t="shared" si="69"/>
        <v>331</v>
      </c>
      <c r="C353" s="164">
        <f t="shared" si="61"/>
        <v>54834</v>
      </c>
      <c r="D353" s="42">
        <f t="shared" ca="1" si="62"/>
        <v>1840.3707086862828</v>
      </c>
      <c r="E353" s="42">
        <f t="shared" ca="1" si="71"/>
        <v>414.91474470046398</v>
      </c>
      <c r="F353" s="42">
        <f ca="1">IF(B353&lt;=$D$16,F352*(1+$D$13)^((C353-C352)/_xlfn.DAYS(EDATE(C352,1),C352)),F352-D353)+IF(B353&lt;=$D$16,F352*Resumo!$F$12,0)+IF(B353&lt;=$D$16,$D$15*Resumo!$F$13,0)+IF(B353&lt;=$D$16,25,0)-IF(AND($D$16&gt;3,B353&lt;=$D$16),J353,0)</f>
        <v>59176.503511970186</v>
      </c>
      <c r="G353" s="42">
        <f ca="1">IF(AND(B353&lt;&gt;"",K353&lt;&gt;$D$17,$D$16&gt;3),F353*Resumo!$F$12,IF(AND(B353&lt;&gt;"",K353&lt;&gt;$D$17,B353&gt;$D$16),F353*Resumo!$F$12,0))</f>
        <v>12.42706573751374</v>
      </c>
      <c r="H353" s="42">
        <f>IF(AND(B353&lt;&gt;"",K353&lt;&gt;$D$17,$D$16&gt;3,$B353&lt;=$D$16),$D$15*Resumo!$F$13,IF(AND(B353&lt;&gt;"",K353&lt;&gt;$D$17,B353&gt;$D$16),$D$15*Resumo!$F$13,0))</f>
        <v>34.369999999999997</v>
      </c>
      <c r="I353" s="42">
        <f>IF(AND(B353&lt;&gt;"",K353&lt;&gt;$D$17,$D$16&gt;3,$B353&lt;=$D$16),Resumo!$F$11,IF(AND(B353&lt;&gt;"",K353&lt;&gt;$D$17,B353&gt;$D$16),Resumo!$F$11,0))</f>
        <v>25</v>
      </c>
      <c r="J353" s="42">
        <f t="shared" ca="1" si="70"/>
        <v>2327.0825191242602</v>
      </c>
      <c r="K353" s="39" t="str">
        <f>IF(B353&lt;&gt;"",VLOOKUP(MONTH(C353),Sheet2!$F$1:$G$12,2,0),"")</f>
        <v>Fevereiro</v>
      </c>
      <c r="L353" s="200">
        <f t="shared" ca="1" si="63"/>
        <v>0</v>
      </c>
      <c r="M353" s="40">
        <f t="shared" ca="1" si="64"/>
        <v>2255.2854533867467</v>
      </c>
      <c r="N353" s="40">
        <f t="shared" ca="1" si="65"/>
        <v>2327.0825191242602</v>
      </c>
      <c r="O353" s="40"/>
      <c r="P353" s="20">
        <f t="shared" ca="1" si="66"/>
        <v>834.89136490250701</v>
      </c>
      <c r="Q353" s="1">
        <f t="shared" si="67"/>
        <v>10087</v>
      </c>
      <c r="R353" s="171">
        <f>IF(AND($J$2&gt;=DATEVALUE("03/04/2020"),$J$2&lt;=DATEVALUE("25/11/2020")),0,IF(Resumo!$C$19="PF",IF(Q353&lt;360,0.0082%*Q353,3%),IF(Q353&lt;360,0.0041%*Q353,1.5%)))</f>
        <v>1.4999999999999999E-2</v>
      </c>
      <c r="S353" s="172">
        <f t="shared" ca="1" si="68"/>
        <v>12.523370473537605</v>
      </c>
    </row>
    <row r="354" spans="2:19">
      <c r="B354" s="41">
        <f t="shared" si="69"/>
        <v>332</v>
      </c>
      <c r="C354" s="164">
        <f t="shared" si="61"/>
        <v>54862</v>
      </c>
      <c r="D354" s="42">
        <f t="shared" ca="1" si="62"/>
        <v>1852.8852295053493</v>
      </c>
      <c r="E354" s="42">
        <f t="shared" ca="1" si="71"/>
        <v>402.40022388139727</v>
      </c>
      <c r="F354" s="42">
        <f ca="1">IF(B354&lt;=$D$16,F353*(1+$D$13)^((C354-C353)/_xlfn.DAYS(EDATE(C353,1),C353)),F353-D354)+IF(B354&lt;=$D$16,F353*Resumo!$F$12,0)+IF(B354&lt;=$D$16,$D$15*Resumo!$F$13,0)+IF(B354&lt;=$D$16,25,0)-IF(AND($D$16&gt;3,B354&lt;=$D$16),J354,0)</f>
        <v>57323.618282464835</v>
      </c>
      <c r="G354" s="42">
        <f ca="1">IF(AND(B354&lt;&gt;"",K354&lt;&gt;$D$17,$D$16&gt;3),F354*Resumo!$F$12,IF(AND(B354&lt;&gt;"",K354&lt;&gt;$D$17,B354&gt;$D$16),F354*Resumo!$F$12,0))</f>
        <v>12.037959839317615</v>
      </c>
      <c r="H354" s="42">
        <f>IF(AND(B354&lt;&gt;"",K354&lt;&gt;$D$17,$D$16&gt;3,$B354&lt;=$D$16),$D$15*Resumo!$F$13,IF(AND(B354&lt;&gt;"",K354&lt;&gt;$D$17,B354&gt;$D$16),$D$15*Resumo!$F$13,0))</f>
        <v>34.369999999999997</v>
      </c>
      <c r="I354" s="42">
        <f>IF(AND(B354&lt;&gt;"",K354&lt;&gt;$D$17,$D$16&gt;3,$B354&lt;=$D$16),Resumo!$F$11,IF(AND(B354&lt;&gt;"",K354&lt;&gt;$D$17,B354&gt;$D$16),Resumo!$F$11,0))</f>
        <v>25</v>
      </c>
      <c r="J354" s="42">
        <f t="shared" ca="1" si="70"/>
        <v>2326.693413226064</v>
      </c>
      <c r="K354" s="39" t="str">
        <f>IF(B354&lt;&gt;"",VLOOKUP(MONTH(C354),Sheet2!$F$1:$G$12,2,0),"")</f>
        <v>Março</v>
      </c>
      <c r="L354" s="200">
        <f t="shared" ca="1" si="63"/>
        <v>0</v>
      </c>
      <c r="M354" s="40">
        <f t="shared" ca="1" si="64"/>
        <v>2255.2854533867467</v>
      </c>
      <c r="N354" s="40">
        <f t="shared" ca="1" si="65"/>
        <v>2326.693413226064</v>
      </c>
      <c r="O354" s="40"/>
      <c r="P354" s="20">
        <f t="shared" ca="1" si="66"/>
        <v>834.89136490250701</v>
      </c>
      <c r="Q354" s="1">
        <f t="shared" si="67"/>
        <v>10115</v>
      </c>
      <c r="R354" s="171">
        <f>IF(AND($J$2&gt;=DATEVALUE("03/04/2020"),$J$2&lt;=DATEVALUE("25/11/2020")),0,IF(Resumo!$C$19="PF",IF(Q354&lt;360,0.0082%*Q354,3%),IF(Q354&lt;360,0.0041%*Q354,1.5%)))</f>
        <v>1.4999999999999999E-2</v>
      </c>
      <c r="S354" s="172">
        <f t="shared" ca="1" si="68"/>
        <v>12.523370473537605</v>
      </c>
    </row>
    <row r="355" spans="2:19">
      <c r="B355" s="41">
        <f t="shared" si="69"/>
        <v>333</v>
      </c>
      <c r="C355" s="164">
        <f t="shared" si="61"/>
        <v>54893</v>
      </c>
      <c r="D355" s="42">
        <f t="shared" ca="1" si="62"/>
        <v>1865.4848490659858</v>
      </c>
      <c r="E355" s="42">
        <f t="shared" ca="1" si="71"/>
        <v>389.80060432076084</v>
      </c>
      <c r="F355" s="42">
        <f ca="1">IF(B355&lt;=$D$16,F354*(1+$D$13)^((C355-C354)/_xlfn.DAYS(EDATE(C354,1),C354)),F354-D355)+IF(B355&lt;=$D$16,F354*Resumo!$F$12,0)+IF(B355&lt;=$D$16,$D$15*Resumo!$F$13,0)+IF(B355&lt;=$D$16,25,0)-IF(AND($D$16&gt;3,B355&lt;=$D$16),J355,0)</f>
        <v>55458.133433398849</v>
      </c>
      <c r="G355" s="42">
        <f ca="1">IF(AND(B355&lt;&gt;"",K355&lt;&gt;$D$17,$D$16&gt;3),F355*Resumo!$F$12,IF(AND(B355&lt;&gt;"",K355&lt;&gt;$D$17,B355&gt;$D$16),F355*Resumo!$F$12,0))</f>
        <v>11.646208021013759</v>
      </c>
      <c r="H355" s="42">
        <f>IF(AND(B355&lt;&gt;"",K355&lt;&gt;$D$17,$D$16&gt;3,$B355&lt;=$D$16),$D$15*Resumo!$F$13,IF(AND(B355&lt;&gt;"",K355&lt;&gt;$D$17,B355&gt;$D$16),$D$15*Resumo!$F$13,0))</f>
        <v>34.369999999999997</v>
      </c>
      <c r="I355" s="42">
        <f>IF(AND(B355&lt;&gt;"",K355&lt;&gt;$D$17,$D$16&gt;3,$B355&lt;=$D$16),Resumo!$F$11,IF(AND(B355&lt;&gt;"",K355&lt;&gt;$D$17,B355&gt;$D$16),Resumo!$F$11,0))</f>
        <v>25</v>
      </c>
      <c r="J355" s="42">
        <f t="shared" ca="1" si="70"/>
        <v>2326.3016614077601</v>
      </c>
      <c r="K355" s="39" t="str">
        <f>IF(B355&lt;&gt;"",VLOOKUP(MONTH(C355),Sheet2!$F$1:$G$12,2,0),"")</f>
        <v>Abril</v>
      </c>
      <c r="L355" s="200">
        <f t="shared" ca="1" si="63"/>
        <v>0</v>
      </c>
      <c r="M355" s="40">
        <f t="shared" ca="1" si="64"/>
        <v>2255.2854533867467</v>
      </c>
      <c r="N355" s="40">
        <f t="shared" ca="1" si="65"/>
        <v>2326.3016614077601</v>
      </c>
      <c r="O355" s="40"/>
      <c r="P355" s="20">
        <f t="shared" ca="1" si="66"/>
        <v>834.89136490250701</v>
      </c>
      <c r="Q355" s="1">
        <f t="shared" si="67"/>
        <v>10146</v>
      </c>
      <c r="R355" s="171">
        <f>IF(AND($J$2&gt;=DATEVALUE("03/04/2020"),$J$2&lt;=DATEVALUE("25/11/2020")),0,IF(Resumo!$C$19="PF",IF(Q355&lt;360,0.0082%*Q355,3%),IF(Q355&lt;360,0.0041%*Q355,1.5%)))</f>
        <v>1.4999999999999999E-2</v>
      </c>
      <c r="S355" s="172">
        <f t="shared" ca="1" si="68"/>
        <v>12.523370473537605</v>
      </c>
    </row>
    <row r="356" spans="2:19">
      <c r="B356" s="41">
        <f t="shared" si="69"/>
        <v>334</v>
      </c>
      <c r="C356" s="164">
        <f t="shared" si="61"/>
        <v>54923</v>
      </c>
      <c r="D356" s="42">
        <f t="shared" ca="1" si="62"/>
        <v>1878.1701460396346</v>
      </c>
      <c r="E356" s="42">
        <f t="shared" ca="1" si="71"/>
        <v>377.11530734711215</v>
      </c>
      <c r="F356" s="42">
        <f ca="1">IF(B356&lt;=$D$16,F355*(1+$D$13)^((C356-C355)/_xlfn.DAYS(EDATE(C355,1),C355)),F355-D356)+IF(B356&lt;=$D$16,F355*Resumo!$F$12,0)+IF(B356&lt;=$D$16,$D$15*Resumo!$F$13,0)+IF(B356&lt;=$D$16,25,0)-IF(AND($D$16&gt;3,B356&lt;=$D$16),J356,0)</f>
        <v>53579.963287359213</v>
      </c>
      <c r="G356" s="42">
        <f ca="1">IF(AND(B356&lt;&gt;"",K356&lt;&gt;$D$17,$D$16&gt;3),F356*Resumo!$F$12,IF(AND(B356&lt;&gt;"",K356&lt;&gt;$D$17,B356&gt;$D$16),F356*Resumo!$F$12,0))</f>
        <v>11.251792290345435</v>
      </c>
      <c r="H356" s="42">
        <f>IF(AND(B356&lt;&gt;"",K356&lt;&gt;$D$17,$D$16&gt;3,$B356&lt;=$D$16),$D$15*Resumo!$F$13,IF(AND(B356&lt;&gt;"",K356&lt;&gt;$D$17,B356&gt;$D$16),$D$15*Resumo!$F$13,0))</f>
        <v>34.369999999999997</v>
      </c>
      <c r="I356" s="42">
        <f>IF(AND(B356&lt;&gt;"",K356&lt;&gt;$D$17,$D$16&gt;3,$B356&lt;=$D$16),Resumo!$F$11,IF(AND(B356&lt;&gt;"",K356&lt;&gt;$D$17,B356&gt;$D$16),Resumo!$F$11,0))</f>
        <v>25</v>
      </c>
      <c r="J356" s="42">
        <f t="shared" ca="1" si="70"/>
        <v>2325.9072456770919</v>
      </c>
      <c r="K356" s="39" t="str">
        <f>IF(B356&lt;&gt;"",VLOOKUP(MONTH(C356),Sheet2!$F$1:$G$12,2,0),"")</f>
        <v>Maio</v>
      </c>
      <c r="L356" s="200">
        <f t="shared" ca="1" si="63"/>
        <v>0</v>
      </c>
      <c r="M356" s="40">
        <f t="shared" ca="1" si="64"/>
        <v>2255.2854533867467</v>
      </c>
      <c r="N356" s="40">
        <f t="shared" ca="1" si="65"/>
        <v>2325.9072456770919</v>
      </c>
      <c r="O356" s="40"/>
      <c r="P356" s="20">
        <f t="shared" ca="1" si="66"/>
        <v>834.89136490250701</v>
      </c>
      <c r="Q356" s="1">
        <f t="shared" si="67"/>
        <v>10176</v>
      </c>
      <c r="R356" s="171">
        <f>IF(AND($J$2&gt;=DATEVALUE("03/04/2020"),$J$2&lt;=DATEVALUE("25/11/2020")),0,IF(Resumo!$C$19="PF",IF(Q356&lt;360,0.0082%*Q356,3%),IF(Q356&lt;360,0.0041%*Q356,1.5%)))</f>
        <v>1.4999999999999999E-2</v>
      </c>
      <c r="S356" s="172">
        <f t="shared" ca="1" si="68"/>
        <v>12.523370473537605</v>
      </c>
    </row>
    <row r="357" spans="2:19">
      <c r="B357" s="41">
        <f t="shared" si="69"/>
        <v>335</v>
      </c>
      <c r="C357" s="164">
        <f t="shared" si="61"/>
        <v>54954</v>
      </c>
      <c r="D357" s="42">
        <f t="shared" ca="1" si="62"/>
        <v>1890.941703032704</v>
      </c>
      <c r="E357" s="42">
        <f t="shared" ca="1" si="71"/>
        <v>364.34375035404264</v>
      </c>
      <c r="F357" s="42">
        <f ca="1">IF(B357&lt;=$D$16,F356*(1+$D$13)^((C357-C356)/_xlfn.DAYS(EDATE(C356,1),C356)),F356-D357)+IF(B357&lt;=$D$16,F356*Resumo!$F$12,0)+IF(B357&lt;=$D$16,$D$15*Resumo!$F$13,0)+IF(B357&lt;=$D$16,25,0)-IF(AND($D$16&gt;3,B357&lt;=$D$16),J357,0)</f>
        <v>51689.02158432651</v>
      </c>
      <c r="G357" s="42">
        <f ca="1">IF(AND(B357&lt;&gt;"",K357&lt;&gt;$D$17,$D$16&gt;3),F357*Resumo!$F$12,IF(AND(B357&lt;&gt;"",K357&lt;&gt;$D$17,B357&gt;$D$16),F357*Resumo!$F$12,0))</f>
        <v>10.854694532708567</v>
      </c>
      <c r="H357" s="42">
        <f>IF(AND(B357&lt;&gt;"",K357&lt;&gt;$D$17,$D$16&gt;3,$B357&lt;=$D$16),$D$15*Resumo!$F$13,IF(AND(B357&lt;&gt;"",K357&lt;&gt;$D$17,B357&gt;$D$16),$D$15*Resumo!$F$13,0))</f>
        <v>34.369999999999997</v>
      </c>
      <c r="I357" s="42">
        <f>IF(AND(B357&lt;&gt;"",K357&lt;&gt;$D$17,$D$16&gt;3,$B357&lt;=$D$16),Resumo!$F$11,IF(AND(B357&lt;&gt;"",K357&lt;&gt;$D$17,B357&gt;$D$16),Resumo!$F$11,0))</f>
        <v>25</v>
      </c>
      <c r="J357" s="42">
        <f t="shared" ca="1" si="70"/>
        <v>2325.510147919455</v>
      </c>
      <c r="K357" s="39" t="str">
        <f>IF(B357&lt;&gt;"",VLOOKUP(MONTH(C357),Sheet2!$F$1:$G$12,2,0),"")</f>
        <v>Junho</v>
      </c>
      <c r="L357" s="200">
        <f t="shared" ca="1" si="63"/>
        <v>0</v>
      </c>
      <c r="M357" s="40">
        <f t="shared" ca="1" si="64"/>
        <v>2255.2854533867467</v>
      </c>
      <c r="N357" s="40">
        <f t="shared" ca="1" si="65"/>
        <v>2325.510147919455</v>
      </c>
      <c r="O357" s="40"/>
      <c r="P357" s="20">
        <f t="shared" ca="1" si="66"/>
        <v>834.89136490250701</v>
      </c>
      <c r="Q357" s="1">
        <f t="shared" si="67"/>
        <v>10207</v>
      </c>
      <c r="R357" s="171">
        <f>IF(AND($J$2&gt;=DATEVALUE("03/04/2020"),$J$2&lt;=DATEVALUE("25/11/2020")),0,IF(Resumo!$C$19="PF",IF(Q357&lt;360,0.0082%*Q357,3%),IF(Q357&lt;360,0.0041%*Q357,1.5%)))</f>
        <v>1.4999999999999999E-2</v>
      </c>
      <c r="S357" s="172">
        <f t="shared" ca="1" si="68"/>
        <v>12.523370473537605</v>
      </c>
    </row>
    <row r="358" spans="2:19">
      <c r="B358" s="41">
        <f t="shared" si="69"/>
        <v>336</v>
      </c>
      <c r="C358" s="164">
        <f t="shared" si="61"/>
        <v>54984</v>
      </c>
      <c r="D358" s="42">
        <f t="shared" ca="1" si="62"/>
        <v>1903.8001066133265</v>
      </c>
      <c r="E358" s="42">
        <f t="shared" ca="1" si="71"/>
        <v>351.48534677342025</v>
      </c>
      <c r="F358" s="42">
        <f ca="1">IF(B358&lt;=$D$16,F357*(1+$D$13)^((C358-C357)/_xlfn.DAYS(EDATE(C357,1),C357)),F357-D358)+IF(B358&lt;=$D$16,F357*Resumo!$F$12,0)+IF(B358&lt;=$D$16,$D$15*Resumo!$F$13,0)+IF(B358&lt;=$D$16,25,0)-IF(AND($D$16&gt;3,B358&lt;=$D$16),J358,0)</f>
        <v>49785.221477713181</v>
      </c>
      <c r="G358" s="42">
        <f ca="1">IF(AND(B358&lt;&gt;"",K358&lt;&gt;$D$17,$D$16&gt;3),F358*Resumo!$F$12,IF(AND(B358&lt;&gt;"",K358&lt;&gt;$D$17,B358&gt;$D$16),F358*Resumo!$F$12,0))</f>
        <v>10.454896510319768</v>
      </c>
      <c r="H358" s="42">
        <f>IF(AND(B358&lt;&gt;"",K358&lt;&gt;$D$17,$D$16&gt;3,$B358&lt;=$D$16),$D$15*Resumo!$F$13,IF(AND(B358&lt;&gt;"",K358&lt;&gt;$D$17,B358&gt;$D$16),$D$15*Resumo!$F$13,0))</f>
        <v>34.369999999999997</v>
      </c>
      <c r="I358" s="42">
        <f>IF(AND(B358&lt;&gt;"",K358&lt;&gt;$D$17,$D$16&gt;3,$B358&lt;=$D$16),Resumo!$F$11,IF(AND(B358&lt;&gt;"",K358&lt;&gt;$D$17,B358&gt;$D$16),Resumo!$F$11,0))</f>
        <v>25</v>
      </c>
      <c r="J358" s="42">
        <f t="shared" ca="1" si="70"/>
        <v>2325.1103498970665</v>
      </c>
      <c r="K358" s="39" t="str">
        <f>IF(B358&lt;&gt;"",VLOOKUP(MONTH(C358),Sheet2!$F$1:$G$12,2,0),"")</f>
        <v>Julho</v>
      </c>
      <c r="L358" s="200">
        <f t="shared" ca="1" si="63"/>
        <v>0</v>
      </c>
      <c r="M358" s="40">
        <f t="shared" ca="1" si="64"/>
        <v>2255.2854533867467</v>
      </c>
      <c r="N358" s="40">
        <f t="shared" ca="1" si="65"/>
        <v>2325.1103498970665</v>
      </c>
      <c r="O358" s="40"/>
      <c r="P358" s="20">
        <f t="shared" ca="1" si="66"/>
        <v>834.89136490250701</v>
      </c>
      <c r="Q358" s="1">
        <f t="shared" si="67"/>
        <v>10237</v>
      </c>
      <c r="R358" s="171">
        <f>IF(AND($J$2&gt;=DATEVALUE("03/04/2020"),$J$2&lt;=DATEVALUE("25/11/2020")),0,IF(Resumo!$C$19="PF",IF(Q358&lt;360,0.0082%*Q358,3%),IF(Q358&lt;360,0.0041%*Q358,1.5%)))</f>
        <v>1.4999999999999999E-2</v>
      </c>
      <c r="S358" s="172">
        <f t="shared" ca="1" si="68"/>
        <v>12.523370473537605</v>
      </c>
    </row>
    <row r="359" spans="2:19">
      <c r="B359" s="41">
        <f t="shared" si="69"/>
        <v>337</v>
      </c>
      <c r="C359" s="164">
        <f t="shared" si="61"/>
        <v>55015</v>
      </c>
      <c r="D359" s="42">
        <f t="shared" ca="1" si="62"/>
        <v>1916.7459473382971</v>
      </c>
      <c r="E359" s="42">
        <f t="shared" ca="1" si="71"/>
        <v>338.5395060484496</v>
      </c>
      <c r="F359" s="42">
        <f ca="1">IF(B359&lt;=$D$16,F358*(1+$D$13)^((C359-C358)/_xlfn.DAYS(EDATE(C358,1),C358)),F358-D359)+IF(B359&lt;=$D$16,F358*Resumo!$F$12,0)+IF(B359&lt;=$D$16,$D$15*Resumo!$F$13,0)+IF(B359&lt;=$D$16,25,0)-IF(AND($D$16&gt;3,B359&lt;=$D$16),J359,0)</f>
        <v>47868.475530374883</v>
      </c>
      <c r="G359" s="42">
        <f ca="1">IF(AND(B359&lt;&gt;"",K359&lt;&gt;$D$17,$D$16&gt;3),F359*Resumo!$F$12,IF(AND(B359&lt;&gt;"",K359&lt;&gt;$D$17,B359&gt;$D$16),F359*Resumo!$F$12,0))</f>
        <v>10.052379861378725</v>
      </c>
      <c r="H359" s="42">
        <f>IF(AND(B359&lt;&gt;"",K359&lt;&gt;$D$17,$D$16&gt;3,$B359&lt;=$D$16),$D$15*Resumo!$F$13,IF(AND(B359&lt;&gt;"",K359&lt;&gt;$D$17,B359&gt;$D$16),$D$15*Resumo!$F$13,0))</f>
        <v>34.369999999999997</v>
      </c>
      <c r="I359" s="42">
        <f>IF(AND(B359&lt;&gt;"",K359&lt;&gt;$D$17,$D$16&gt;3,$B359&lt;=$D$16),Resumo!$F$11,IF(AND(B359&lt;&gt;"",K359&lt;&gt;$D$17,B359&gt;$D$16),Resumo!$F$11,0))</f>
        <v>25</v>
      </c>
      <c r="J359" s="42">
        <f t="shared" ca="1" si="70"/>
        <v>2324.7078332481251</v>
      </c>
      <c r="K359" s="39" t="str">
        <f>IF(B359&lt;&gt;"",VLOOKUP(MONTH(C359),Sheet2!$F$1:$G$12,2,0),"")</f>
        <v>Agosto</v>
      </c>
      <c r="L359" s="200">
        <f t="shared" ca="1" si="63"/>
        <v>0</v>
      </c>
      <c r="M359" s="40">
        <f t="shared" ca="1" si="64"/>
        <v>2255.2854533867467</v>
      </c>
      <c r="N359" s="40">
        <f t="shared" ca="1" si="65"/>
        <v>2324.7078332481251</v>
      </c>
      <c r="O359" s="40"/>
      <c r="P359" s="20">
        <f t="shared" ca="1" si="66"/>
        <v>834.89136490250701</v>
      </c>
      <c r="Q359" s="1">
        <f t="shared" si="67"/>
        <v>10268</v>
      </c>
      <c r="R359" s="171">
        <f>IF(AND($J$2&gt;=DATEVALUE("03/04/2020"),$J$2&lt;=DATEVALUE("25/11/2020")),0,IF(Resumo!$C$19="PF",IF(Q359&lt;360,0.0082%*Q359,3%),IF(Q359&lt;360,0.0041%*Q359,1.5%)))</f>
        <v>1.4999999999999999E-2</v>
      </c>
      <c r="S359" s="172">
        <f t="shared" ca="1" si="68"/>
        <v>12.523370473537605</v>
      </c>
    </row>
    <row r="360" spans="2:19">
      <c r="B360" s="41">
        <f t="shared" si="69"/>
        <v>338</v>
      </c>
      <c r="C360" s="164">
        <f t="shared" si="61"/>
        <v>55046</v>
      </c>
      <c r="D360" s="42">
        <f t="shared" ca="1" si="62"/>
        <v>1929.7798197801976</v>
      </c>
      <c r="E360" s="42">
        <f t="shared" ca="1" si="71"/>
        <v>325.50563360654917</v>
      </c>
      <c r="F360" s="42">
        <f ca="1">IF(B360&lt;=$D$16,F359*(1+$D$13)^((C360-C359)/_xlfn.DAYS(EDATE(C359,1),C359)),F359-D360)+IF(B360&lt;=$D$16,F359*Resumo!$F$12,0)+IF(B360&lt;=$D$16,$D$15*Resumo!$F$13,0)+IF(B360&lt;=$D$16,25,0)-IF(AND($D$16&gt;3,B360&lt;=$D$16),J360,0)</f>
        <v>45938.695710594686</v>
      </c>
      <c r="G360" s="42">
        <f ca="1">IF(AND(B360&lt;&gt;"",K360&lt;&gt;$D$17,$D$16&gt;3),F360*Resumo!$F$12,IF(AND(B360&lt;&gt;"",K360&lt;&gt;$D$17,B360&gt;$D$16),F360*Resumo!$F$12,0))</f>
        <v>9.6471260992248844</v>
      </c>
      <c r="H360" s="42">
        <f>IF(AND(B360&lt;&gt;"",K360&lt;&gt;$D$17,$D$16&gt;3,$B360&lt;=$D$16),$D$15*Resumo!$F$13,IF(AND(B360&lt;&gt;"",K360&lt;&gt;$D$17,B360&gt;$D$16),$D$15*Resumo!$F$13,0))</f>
        <v>34.369999999999997</v>
      </c>
      <c r="I360" s="42">
        <f>IF(AND(B360&lt;&gt;"",K360&lt;&gt;$D$17,$D$16&gt;3,$B360&lt;=$D$16),Resumo!$F$11,IF(AND(B360&lt;&gt;"",K360&lt;&gt;$D$17,B360&gt;$D$16),Resumo!$F$11,0))</f>
        <v>25</v>
      </c>
      <c r="J360" s="42">
        <f t="shared" ca="1" si="70"/>
        <v>2324.3025794859714</v>
      </c>
      <c r="K360" s="39" t="str">
        <f>IF(B360&lt;&gt;"",VLOOKUP(MONTH(C360),Sheet2!$F$1:$G$12,2,0),"")</f>
        <v>Setembro</v>
      </c>
      <c r="L360" s="200">
        <f t="shared" ca="1" si="63"/>
        <v>0</v>
      </c>
      <c r="M360" s="40">
        <f t="shared" ca="1" si="64"/>
        <v>2255.2854533867467</v>
      </c>
      <c r="N360" s="40">
        <f t="shared" ca="1" si="65"/>
        <v>2324.3025794859714</v>
      </c>
      <c r="O360" s="40"/>
      <c r="P360" s="20">
        <f t="shared" ca="1" si="66"/>
        <v>834.89136490250701</v>
      </c>
      <c r="Q360" s="1">
        <f t="shared" si="67"/>
        <v>10299</v>
      </c>
      <c r="R360" s="171">
        <f>IF(AND($J$2&gt;=DATEVALUE("03/04/2020"),$J$2&lt;=DATEVALUE("25/11/2020")),0,IF(Resumo!$C$19="PF",IF(Q360&lt;360,0.0082%*Q360,3%),IF(Q360&lt;360,0.0041%*Q360,1.5%)))</f>
        <v>1.4999999999999999E-2</v>
      </c>
      <c r="S360" s="172">
        <f t="shared" ca="1" si="68"/>
        <v>12.523370473537605</v>
      </c>
    </row>
    <row r="361" spans="2:19">
      <c r="B361" s="41">
        <f t="shared" si="69"/>
        <v>339</v>
      </c>
      <c r="C361" s="164">
        <f t="shared" si="61"/>
        <v>55076</v>
      </c>
      <c r="D361" s="42">
        <f t="shared" ca="1" si="62"/>
        <v>1942.9023225547028</v>
      </c>
      <c r="E361" s="42">
        <f t="shared" ca="1" si="71"/>
        <v>312.38313083204383</v>
      </c>
      <c r="F361" s="42">
        <f ca="1">IF(B361&lt;=$D$16,F360*(1+$D$13)^((C361-C360)/_xlfn.DAYS(EDATE(C360,1),C360)),F360-D361)+IF(B361&lt;=$D$16,F360*Resumo!$F$12,0)+IF(B361&lt;=$D$16,$D$15*Resumo!$F$13,0)+IF(B361&lt;=$D$16,25,0)-IF(AND($D$16&gt;3,B361&lt;=$D$16),J361,0)</f>
        <v>43995.79338803998</v>
      </c>
      <c r="G361" s="42">
        <f ca="1">IF(AND(B361&lt;&gt;"",K361&lt;&gt;$D$17,$D$16&gt;3),F361*Resumo!$F$12,IF(AND(B361&lt;&gt;"",K361&lt;&gt;$D$17,B361&gt;$D$16),F361*Resumo!$F$12,0))</f>
        <v>9.2391166114883969</v>
      </c>
      <c r="H361" s="42">
        <f>IF(AND(B361&lt;&gt;"",K361&lt;&gt;$D$17,$D$16&gt;3,$B361&lt;=$D$16),$D$15*Resumo!$F$13,IF(AND(B361&lt;&gt;"",K361&lt;&gt;$D$17,B361&gt;$D$16),$D$15*Resumo!$F$13,0))</f>
        <v>34.369999999999997</v>
      </c>
      <c r="I361" s="42">
        <f>IF(AND(B361&lt;&gt;"",K361&lt;&gt;$D$17,$D$16&gt;3,$B361&lt;=$D$16),Resumo!$F$11,IF(AND(B361&lt;&gt;"",K361&lt;&gt;$D$17,B361&gt;$D$16),Resumo!$F$11,0))</f>
        <v>25</v>
      </c>
      <c r="J361" s="42">
        <f t="shared" ca="1" si="70"/>
        <v>2323.8945699982351</v>
      </c>
      <c r="K361" s="39" t="str">
        <f>IF(B361&lt;&gt;"",VLOOKUP(MONTH(C361),Sheet2!$F$1:$G$12,2,0),"")</f>
        <v>Outubro</v>
      </c>
      <c r="L361" s="200">
        <f t="shared" ca="1" si="63"/>
        <v>0</v>
      </c>
      <c r="M361" s="40">
        <f t="shared" ca="1" si="64"/>
        <v>2255.2854533867467</v>
      </c>
      <c r="N361" s="40">
        <f t="shared" ca="1" si="65"/>
        <v>2323.8945699982351</v>
      </c>
      <c r="O361" s="40"/>
      <c r="P361" s="20">
        <f t="shared" ca="1" si="66"/>
        <v>834.89136490250701</v>
      </c>
      <c r="Q361" s="1">
        <f t="shared" si="67"/>
        <v>10329</v>
      </c>
      <c r="R361" s="171">
        <f>IF(AND($J$2&gt;=DATEVALUE("03/04/2020"),$J$2&lt;=DATEVALUE("25/11/2020")),0,IF(Resumo!$C$19="PF",IF(Q361&lt;360,0.0082%*Q361,3%),IF(Q361&lt;360,0.0041%*Q361,1.5%)))</f>
        <v>1.4999999999999999E-2</v>
      </c>
      <c r="S361" s="172">
        <f t="shared" ca="1" si="68"/>
        <v>12.523370473537605</v>
      </c>
    </row>
    <row r="362" spans="2:19">
      <c r="B362" s="41">
        <f t="shared" si="69"/>
        <v>340</v>
      </c>
      <c r="C362" s="164">
        <f t="shared" si="61"/>
        <v>55107</v>
      </c>
      <c r="D362" s="42">
        <f t="shared" ca="1" si="62"/>
        <v>1956.1140583480749</v>
      </c>
      <c r="E362" s="42">
        <f t="shared" ca="1" si="71"/>
        <v>299.17139503867185</v>
      </c>
      <c r="F362" s="42">
        <f ca="1">IF(B362&lt;=$D$16,F361*(1+$D$13)^((C362-C361)/_xlfn.DAYS(EDATE(C361,1),C361)),F361-D362)+IF(B362&lt;=$D$16,F361*Resumo!$F$12,0)+IF(B362&lt;=$D$16,$D$15*Resumo!$F$13,0)+IF(B362&lt;=$D$16,25,0)-IF(AND($D$16&gt;3,B362&lt;=$D$16),J362,0)</f>
        <v>42039.679329691906</v>
      </c>
      <c r="G362" s="42">
        <f ca="1">IF(AND(B362&lt;&gt;"",K362&lt;&gt;$D$17,$D$16&gt;3),F362*Resumo!$F$12,IF(AND(B362&lt;&gt;"",K362&lt;&gt;$D$17,B362&gt;$D$16),F362*Resumo!$F$12,0))</f>
        <v>8.8283326592353006</v>
      </c>
      <c r="H362" s="42">
        <f>IF(AND(B362&lt;&gt;"",K362&lt;&gt;$D$17,$D$16&gt;3,$B362&lt;=$D$16),$D$15*Resumo!$F$13,IF(AND(B362&lt;&gt;"",K362&lt;&gt;$D$17,B362&gt;$D$16),$D$15*Resumo!$F$13,0))</f>
        <v>34.369999999999997</v>
      </c>
      <c r="I362" s="42">
        <f>IF(AND(B362&lt;&gt;"",K362&lt;&gt;$D$17,$D$16&gt;3,$B362&lt;=$D$16),Resumo!$F$11,IF(AND(B362&lt;&gt;"",K362&lt;&gt;$D$17,B362&gt;$D$16),Resumo!$F$11,0))</f>
        <v>25</v>
      </c>
      <c r="J362" s="42">
        <f t="shared" ca="1" si="70"/>
        <v>2323.483786045982</v>
      </c>
      <c r="K362" s="39" t="str">
        <f>IF(B362&lt;&gt;"",VLOOKUP(MONTH(C362),Sheet2!$F$1:$G$12,2,0),"")</f>
        <v>Novembro</v>
      </c>
      <c r="L362" s="200">
        <f t="shared" ca="1" si="63"/>
        <v>0</v>
      </c>
      <c r="M362" s="40">
        <f t="shared" ca="1" si="64"/>
        <v>2255.2854533867467</v>
      </c>
      <c r="N362" s="40">
        <f t="shared" ca="1" si="65"/>
        <v>2323.483786045982</v>
      </c>
      <c r="O362" s="40"/>
      <c r="P362" s="20">
        <f t="shared" ca="1" si="66"/>
        <v>834.89136490250701</v>
      </c>
      <c r="Q362" s="1">
        <f t="shared" si="67"/>
        <v>10360</v>
      </c>
      <c r="R362" s="171">
        <f>IF(AND($J$2&gt;=DATEVALUE("03/04/2020"),$J$2&lt;=DATEVALUE("25/11/2020")),0,IF(Resumo!$C$19="PF",IF(Q362&lt;360,0.0082%*Q362,3%),IF(Q362&lt;360,0.0041%*Q362,1.5%)))</f>
        <v>1.4999999999999999E-2</v>
      </c>
      <c r="S362" s="172">
        <f t="shared" ca="1" si="68"/>
        <v>12.523370473537605</v>
      </c>
    </row>
    <row r="363" spans="2:19">
      <c r="B363" s="41">
        <f t="shared" si="69"/>
        <v>341</v>
      </c>
      <c r="C363" s="164">
        <f t="shared" si="61"/>
        <v>55137</v>
      </c>
      <c r="D363" s="42">
        <f t="shared" ca="1" si="62"/>
        <v>1969.4156339448418</v>
      </c>
      <c r="E363" s="42">
        <f t="shared" ca="1" si="71"/>
        <v>285.86981944190495</v>
      </c>
      <c r="F363" s="42">
        <f ca="1">IF(B363&lt;=$D$16,F362*(1+$D$13)^((C363-C362)/_xlfn.DAYS(EDATE(C362,1),C362)),F362-D363)+IF(B363&lt;=$D$16,F362*Resumo!$F$12,0)+IF(B363&lt;=$D$16,$D$15*Resumo!$F$13,0)+IF(B363&lt;=$D$16,25,0)-IF(AND($D$16&gt;3,B363&lt;=$D$16),J363,0)</f>
        <v>40070.263695747068</v>
      </c>
      <c r="G363" s="42">
        <f ca="1">IF(AND(B363&lt;&gt;"",K363&lt;&gt;$D$17,$D$16&gt;3),F363*Resumo!$F$12,IF(AND(B363&lt;&gt;"",K363&lt;&gt;$D$17,B363&gt;$D$16),F363*Resumo!$F$12,0))</f>
        <v>8.4147553761068838</v>
      </c>
      <c r="H363" s="42">
        <f>IF(AND(B363&lt;&gt;"",K363&lt;&gt;$D$17,$D$16&gt;3,$B363&lt;=$D$16),$D$15*Resumo!$F$13,IF(AND(B363&lt;&gt;"",K363&lt;&gt;$D$17,B363&gt;$D$16),$D$15*Resumo!$F$13,0))</f>
        <v>34.369999999999997</v>
      </c>
      <c r="I363" s="42">
        <f>IF(AND(B363&lt;&gt;"",K363&lt;&gt;$D$17,$D$16&gt;3,$B363&lt;=$D$16),Resumo!$F$11,IF(AND(B363&lt;&gt;"",K363&lt;&gt;$D$17,B363&gt;$D$16),Resumo!$F$11,0))</f>
        <v>25</v>
      </c>
      <c r="J363" s="42">
        <f t="shared" ca="1" si="70"/>
        <v>2323.0702087628533</v>
      </c>
      <c r="K363" s="39" t="str">
        <f>IF(B363&lt;&gt;"",VLOOKUP(MONTH(C363),Sheet2!$F$1:$G$12,2,0),"")</f>
        <v>Dezembro</v>
      </c>
      <c r="L363" s="200">
        <f t="shared" ca="1" si="63"/>
        <v>0</v>
      </c>
      <c r="M363" s="40">
        <f t="shared" ca="1" si="64"/>
        <v>2255.2854533867467</v>
      </c>
      <c r="N363" s="40">
        <f t="shared" ca="1" si="65"/>
        <v>2323.0702087628533</v>
      </c>
      <c r="O363" s="40"/>
      <c r="P363" s="20">
        <f t="shared" ca="1" si="66"/>
        <v>834.89136490250701</v>
      </c>
      <c r="Q363" s="1">
        <f t="shared" si="67"/>
        <v>10390</v>
      </c>
      <c r="R363" s="171">
        <f>IF(AND($J$2&gt;=DATEVALUE("03/04/2020"),$J$2&lt;=DATEVALUE("25/11/2020")),0,IF(Resumo!$C$19="PF",IF(Q363&lt;360,0.0082%*Q363,3%),IF(Q363&lt;360,0.0041%*Q363,1.5%)))</f>
        <v>1.4999999999999999E-2</v>
      </c>
      <c r="S363" s="172">
        <f t="shared" ca="1" si="68"/>
        <v>12.523370473537605</v>
      </c>
    </row>
    <row r="364" spans="2:19">
      <c r="B364" s="41">
        <f t="shared" si="69"/>
        <v>342</v>
      </c>
      <c r="C364" s="164">
        <f t="shared" si="61"/>
        <v>55168</v>
      </c>
      <c r="D364" s="42">
        <f t="shared" ca="1" si="62"/>
        <v>1982.8076602556666</v>
      </c>
      <c r="E364" s="42">
        <f t="shared" ca="1" si="71"/>
        <v>272.47779313108003</v>
      </c>
      <c r="F364" s="42">
        <f ca="1">IF(B364&lt;=$D$16,F363*(1+$D$13)^((C364-C363)/_xlfn.DAYS(EDATE(C363,1),C363)),F363-D364)+IF(B364&lt;=$D$16,F363*Resumo!$F$12,0)+IF(B364&lt;=$D$16,$D$15*Resumo!$F$13,0)+IF(B364&lt;=$D$16,25,0)-IF(AND($D$16&gt;3,B364&lt;=$D$16),J364,0)</f>
        <v>38087.456035491399</v>
      </c>
      <c r="G364" s="42">
        <f ca="1">IF(AND(B364&lt;&gt;"",K364&lt;&gt;$D$17,$D$16&gt;3),F364*Resumo!$F$12,IF(AND(B364&lt;&gt;"",K364&lt;&gt;$D$17,B364&gt;$D$16),F364*Resumo!$F$12,0))</f>
        <v>7.9983657674531941</v>
      </c>
      <c r="H364" s="42">
        <f>IF(AND(B364&lt;&gt;"",K364&lt;&gt;$D$17,$D$16&gt;3,$B364&lt;=$D$16),$D$15*Resumo!$F$13,IF(AND(B364&lt;&gt;"",K364&lt;&gt;$D$17,B364&gt;$D$16),$D$15*Resumo!$F$13,0))</f>
        <v>34.369999999999997</v>
      </c>
      <c r="I364" s="42">
        <f>IF(AND(B364&lt;&gt;"",K364&lt;&gt;$D$17,$D$16&gt;3,$B364&lt;=$D$16),Resumo!$F$11,IF(AND(B364&lt;&gt;"",K364&lt;&gt;$D$17,B364&gt;$D$16),Resumo!$F$11,0))</f>
        <v>25</v>
      </c>
      <c r="J364" s="42">
        <f t="shared" ca="1" si="70"/>
        <v>2322.6538191541999</v>
      </c>
      <c r="K364" s="39" t="str">
        <f>IF(B364&lt;&gt;"",VLOOKUP(MONTH(C364),Sheet2!$F$1:$G$12,2,0),"")</f>
        <v>Janeiro</v>
      </c>
      <c r="L364" s="200">
        <f t="shared" ca="1" si="63"/>
        <v>0</v>
      </c>
      <c r="M364" s="40">
        <f t="shared" ca="1" si="64"/>
        <v>2255.2854533867467</v>
      </c>
      <c r="N364" s="40">
        <f t="shared" ca="1" si="65"/>
        <v>2322.6538191541999</v>
      </c>
      <c r="O364" s="40"/>
      <c r="P364" s="20">
        <f t="shared" ca="1" si="66"/>
        <v>834.89136490250701</v>
      </c>
      <c r="Q364" s="1">
        <f t="shared" si="67"/>
        <v>10421</v>
      </c>
      <c r="R364" s="171">
        <f>IF(AND($J$2&gt;=DATEVALUE("03/04/2020"),$J$2&lt;=DATEVALUE("25/11/2020")),0,IF(Resumo!$C$19="PF",IF(Q364&lt;360,0.0082%*Q364,3%),IF(Q364&lt;360,0.0041%*Q364,1.5%)))</f>
        <v>1.4999999999999999E-2</v>
      </c>
      <c r="S364" s="172">
        <f t="shared" ca="1" si="68"/>
        <v>12.523370473537605</v>
      </c>
    </row>
    <row r="365" spans="2:19">
      <c r="B365" s="41">
        <f t="shared" si="69"/>
        <v>343</v>
      </c>
      <c r="C365" s="164">
        <f t="shared" si="61"/>
        <v>55199</v>
      </c>
      <c r="D365" s="42">
        <f t="shared" ca="1" si="62"/>
        <v>1996.2907523454051</v>
      </c>
      <c r="E365" s="42">
        <f t="shared" ca="1" si="71"/>
        <v>258.9947010413415</v>
      </c>
      <c r="F365" s="42">
        <f ca="1">IF(B365&lt;=$D$16,F364*(1+$D$13)^((C365-C364)/_xlfn.DAYS(EDATE(C364,1),C364)),F364-D365)+IF(B365&lt;=$D$16,F364*Resumo!$F$12,0)+IF(B365&lt;=$D$16,$D$15*Resumo!$F$13,0)+IF(B365&lt;=$D$16,25,0)-IF(AND($D$16&gt;3,B365&lt;=$D$16),J365,0)</f>
        <v>36091.165283145994</v>
      </c>
      <c r="G365" s="42">
        <f ca="1">IF(AND(B365&lt;&gt;"",K365&lt;&gt;$D$17,$D$16&gt;3),F365*Resumo!$F$12,IF(AND(B365&lt;&gt;"",K365&lt;&gt;$D$17,B365&gt;$D$16),F365*Resumo!$F$12,0))</f>
        <v>7.5791447094606594</v>
      </c>
      <c r="H365" s="42">
        <f>IF(AND(B365&lt;&gt;"",K365&lt;&gt;$D$17,$D$16&gt;3,$B365&lt;=$D$16),$D$15*Resumo!$F$13,IF(AND(B365&lt;&gt;"",K365&lt;&gt;$D$17,B365&gt;$D$16),$D$15*Resumo!$F$13,0))</f>
        <v>34.369999999999997</v>
      </c>
      <c r="I365" s="42">
        <f>IF(AND(B365&lt;&gt;"",K365&lt;&gt;$D$17,$D$16&gt;3,$B365&lt;=$D$16),Resumo!$F$11,IF(AND(B365&lt;&gt;"",K365&lt;&gt;$D$17,B365&gt;$D$16),Resumo!$F$11,0))</f>
        <v>25</v>
      </c>
      <c r="J365" s="42">
        <f t="shared" ca="1" si="70"/>
        <v>2322.2345980962073</v>
      </c>
      <c r="K365" s="39" t="str">
        <f>IF(B365&lt;&gt;"",VLOOKUP(MONTH(C365),Sheet2!$F$1:$G$12,2,0),"")</f>
        <v>Fevereiro</v>
      </c>
      <c r="L365" s="200">
        <f t="shared" ca="1" si="63"/>
        <v>0</v>
      </c>
      <c r="M365" s="40">
        <f t="shared" ca="1" si="64"/>
        <v>2255.2854533867467</v>
      </c>
      <c r="N365" s="40">
        <f t="shared" ca="1" si="65"/>
        <v>2322.2345980962073</v>
      </c>
      <c r="O365" s="40"/>
      <c r="P365" s="20">
        <f t="shared" ca="1" si="66"/>
        <v>834.89136490250701</v>
      </c>
      <c r="Q365" s="1">
        <f t="shared" si="67"/>
        <v>10452</v>
      </c>
      <c r="R365" s="171">
        <f>IF(AND($J$2&gt;=DATEVALUE("03/04/2020"),$J$2&lt;=DATEVALUE("25/11/2020")),0,IF(Resumo!$C$19="PF",IF(Q365&lt;360,0.0082%*Q365,3%),IF(Q365&lt;360,0.0041%*Q365,1.5%)))</f>
        <v>1.4999999999999999E-2</v>
      </c>
      <c r="S365" s="172">
        <f t="shared" ca="1" si="68"/>
        <v>12.523370473537605</v>
      </c>
    </row>
    <row r="366" spans="2:19">
      <c r="B366" s="41">
        <f t="shared" si="69"/>
        <v>344</v>
      </c>
      <c r="C366" s="164">
        <f t="shared" si="61"/>
        <v>55227</v>
      </c>
      <c r="D366" s="42">
        <f t="shared" ca="1" si="62"/>
        <v>2009.8655294613538</v>
      </c>
      <c r="E366" s="42">
        <f t="shared" ca="1" si="71"/>
        <v>245.41992392539274</v>
      </c>
      <c r="F366" s="42">
        <f ca="1">IF(B366&lt;=$D$16,F365*(1+$D$13)^((C366-C365)/_xlfn.DAYS(EDATE(C365,1),C365)),F365-D366)+IF(B366&lt;=$D$16,F365*Resumo!$F$12,0)+IF(B366&lt;=$D$16,$D$15*Resumo!$F$13,0)+IF(B366&lt;=$D$16,25,0)-IF(AND($D$16&gt;3,B366&lt;=$D$16),J366,0)</f>
        <v>34081.299753684638</v>
      </c>
      <c r="G366" s="42">
        <f ca="1">IF(AND(B366&lt;&gt;"",K366&lt;&gt;$D$17,$D$16&gt;3),F366*Resumo!$F$12,IF(AND(B366&lt;&gt;"",K366&lt;&gt;$D$17,B366&gt;$D$16),F366*Resumo!$F$12,0))</f>
        <v>7.1570729482737745</v>
      </c>
      <c r="H366" s="42">
        <f>IF(AND(B366&lt;&gt;"",K366&lt;&gt;$D$17,$D$16&gt;3,$B366&lt;=$D$16),$D$15*Resumo!$F$13,IF(AND(B366&lt;&gt;"",K366&lt;&gt;$D$17,B366&gt;$D$16),$D$15*Resumo!$F$13,0))</f>
        <v>34.369999999999997</v>
      </c>
      <c r="I366" s="42">
        <f>IF(AND(B366&lt;&gt;"",K366&lt;&gt;$D$17,$D$16&gt;3,$B366&lt;=$D$16),Resumo!$F$11,IF(AND(B366&lt;&gt;"",K366&lt;&gt;$D$17,B366&gt;$D$16),Resumo!$F$11,0))</f>
        <v>25</v>
      </c>
      <c r="J366" s="42">
        <f t="shared" ca="1" si="70"/>
        <v>2321.8125263350203</v>
      </c>
      <c r="K366" s="39" t="str">
        <f>IF(B366&lt;&gt;"",VLOOKUP(MONTH(C366),Sheet2!$F$1:$G$12,2,0),"")</f>
        <v>Março</v>
      </c>
      <c r="L366" s="200">
        <f t="shared" ca="1" si="63"/>
        <v>0</v>
      </c>
      <c r="M366" s="40">
        <f t="shared" ca="1" si="64"/>
        <v>2255.2854533867467</v>
      </c>
      <c r="N366" s="40">
        <f t="shared" ca="1" si="65"/>
        <v>2321.8125263350203</v>
      </c>
      <c r="O366" s="40"/>
      <c r="P366" s="20">
        <f t="shared" ca="1" si="66"/>
        <v>834.89136490250701</v>
      </c>
      <c r="Q366" s="1">
        <f t="shared" si="67"/>
        <v>10480</v>
      </c>
      <c r="R366" s="171">
        <f>IF(AND($J$2&gt;=DATEVALUE("03/04/2020"),$J$2&lt;=DATEVALUE("25/11/2020")),0,IF(Resumo!$C$19="PF",IF(Q366&lt;360,0.0082%*Q366,3%),IF(Q366&lt;360,0.0041%*Q366,1.5%)))</f>
        <v>1.4999999999999999E-2</v>
      </c>
      <c r="S366" s="172">
        <f t="shared" ca="1" si="68"/>
        <v>12.523370473537605</v>
      </c>
    </row>
    <row r="367" spans="2:19">
      <c r="B367" s="41">
        <f t="shared" si="69"/>
        <v>345</v>
      </c>
      <c r="C367" s="164">
        <f t="shared" si="61"/>
        <v>55258</v>
      </c>
      <c r="D367" s="42">
        <f t="shared" ca="1" si="62"/>
        <v>2023.5326150616911</v>
      </c>
      <c r="E367" s="42">
        <f t="shared" ca="1" si="71"/>
        <v>231.75283832505554</v>
      </c>
      <c r="F367" s="42">
        <f ca="1">IF(B367&lt;=$D$16,F366*(1+$D$13)^((C367-C366)/_xlfn.DAYS(EDATE(C366,1),C366)),F366-D367)+IF(B367&lt;=$D$16,F366*Resumo!$F$12,0)+IF(B367&lt;=$D$16,$D$15*Resumo!$F$13,0)+IF(B367&lt;=$D$16,25,0)-IF(AND($D$16&gt;3,B367&lt;=$D$16),J367,0)</f>
        <v>32057.767138622949</v>
      </c>
      <c r="G367" s="42">
        <f ca="1">IF(AND(B367&lt;&gt;"",K367&lt;&gt;$D$17,$D$16&gt;3),F367*Resumo!$F$12,IF(AND(B367&lt;&gt;"",K367&lt;&gt;$D$17,B367&gt;$D$16),F367*Resumo!$F$12,0))</f>
        <v>6.7321310991108199</v>
      </c>
      <c r="H367" s="42">
        <f>IF(AND(B367&lt;&gt;"",K367&lt;&gt;$D$17,$D$16&gt;3,$B367&lt;=$D$16),$D$15*Resumo!$F$13,IF(AND(B367&lt;&gt;"",K367&lt;&gt;$D$17,B367&gt;$D$16),$D$15*Resumo!$F$13,0))</f>
        <v>34.369999999999997</v>
      </c>
      <c r="I367" s="42">
        <f>IF(AND(B367&lt;&gt;"",K367&lt;&gt;$D$17,$D$16&gt;3,$B367&lt;=$D$16),Resumo!$F$11,IF(AND(B367&lt;&gt;"",K367&lt;&gt;$D$17,B367&gt;$D$16),Resumo!$F$11,0))</f>
        <v>25</v>
      </c>
      <c r="J367" s="42">
        <f t="shared" ca="1" si="70"/>
        <v>2321.3875844858576</v>
      </c>
      <c r="K367" s="39" t="str">
        <f>IF(B367&lt;&gt;"",VLOOKUP(MONTH(C367),Sheet2!$F$1:$G$12,2,0),"")</f>
        <v>Abril</v>
      </c>
      <c r="L367" s="200">
        <f t="shared" ca="1" si="63"/>
        <v>0</v>
      </c>
      <c r="M367" s="40">
        <f t="shared" ca="1" si="64"/>
        <v>2255.2854533867467</v>
      </c>
      <c r="N367" s="40">
        <f t="shared" ca="1" si="65"/>
        <v>2321.3875844858576</v>
      </c>
      <c r="O367" s="40"/>
      <c r="P367" s="20">
        <f t="shared" ca="1" si="66"/>
        <v>834.89136490250701</v>
      </c>
      <c r="Q367" s="1">
        <f t="shared" si="67"/>
        <v>10511</v>
      </c>
      <c r="R367" s="171">
        <f>IF(AND($J$2&gt;=DATEVALUE("03/04/2020"),$J$2&lt;=DATEVALUE("25/11/2020")),0,IF(Resumo!$C$19="PF",IF(Q367&lt;360,0.0082%*Q367,3%),IF(Q367&lt;360,0.0041%*Q367,1.5%)))</f>
        <v>1.4999999999999999E-2</v>
      </c>
      <c r="S367" s="172">
        <f t="shared" ca="1" si="68"/>
        <v>12.523370473537605</v>
      </c>
    </row>
    <row r="368" spans="2:19">
      <c r="B368" s="41">
        <f t="shared" si="69"/>
        <v>346</v>
      </c>
      <c r="C368" s="164">
        <f t="shared" si="61"/>
        <v>55288</v>
      </c>
      <c r="D368" s="42">
        <f t="shared" ca="1" si="62"/>
        <v>2037.2926368441106</v>
      </c>
      <c r="E368" s="42">
        <f t="shared" ca="1" si="71"/>
        <v>217.99281654263604</v>
      </c>
      <c r="F368" s="42">
        <f ca="1">IF(B368&lt;=$D$16,F367*(1+$D$13)^((C368-C367)/_xlfn.DAYS(EDATE(C367,1),C367)),F367-D368)+IF(B368&lt;=$D$16,F367*Resumo!$F$12,0)+IF(B368&lt;=$D$16,$D$15*Resumo!$F$13,0)+IF(B368&lt;=$D$16,25,0)-IF(AND($D$16&gt;3,B368&lt;=$D$16),J368,0)</f>
        <v>30020.474501778837</v>
      </c>
      <c r="G368" s="42">
        <f ca="1">IF(AND(B368&lt;&gt;"",K368&lt;&gt;$D$17,$D$16&gt;3),F368*Resumo!$F$12,IF(AND(B368&lt;&gt;"",K368&lt;&gt;$D$17,B368&gt;$D$16),F368*Resumo!$F$12,0))</f>
        <v>6.3042996453735558</v>
      </c>
      <c r="H368" s="42">
        <f>IF(AND(B368&lt;&gt;"",K368&lt;&gt;$D$17,$D$16&gt;3,$B368&lt;=$D$16),$D$15*Resumo!$F$13,IF(AND(B368&lt;&gt;"",K368&lt;&gt;$D$17,B368&gt;$D$16),$D$15*Resumo!$F$13,0))</f>
        <v>34.369999999999997</v>
      </c>
      <c r="I368" s="42">
        <f>IF(AND(B368&lt;&gt;"",K368&lt;&gt;$D$17,$D$16&gt;3,$B368&lt;=$D$16),Resumo!$F$11,IF(AND(B368&lt;&gt;"",K368&lt;&gt;$D$17,B368&gt;$D$16),Resumo!$F$11,0))</f>
        <v>25</v>
      </c>
      <c r="J368" s="42">
        <f t="shared" ca="1" si="70"/>
        <v>2320.9597530321203</v>
      </c>
      <c r="K368" s="39" t="str">
        <f>IF(B368&lt;&gt;"",VLOOKUP(MONTH(C368),Sheet2!$F$1:$G$12,2,0),"")</f>
        <v>Maio</v>
      </c>
      <c r="L368" s="200">
        <f t="shared" ca="1" si="63"/>
        <v>0</v>
      </c>
      <c r="M368" s="40">
        <f t="shared" ca="1" si="64"/>
        <v>2255.2854533867467</v>
      </c>
      <c r="N368" s="40">
        <f t="shared" ca="1" si="65"/>
        <v>2320.9597530321203</v>
      </c>
      <c r="O368" s="40"/>
      <c r="P368" s="20">
        <f t="shared" ca="1" si="66"/>
        <v>834.89136490250701</v>
      </c>
      <c r="Q368" s="1">
        <f t="shared" si="67"/>
        <v>10541</v>
      </c>
      <c r="R368" s="171">
        <f>IF(AND($J$2&gt;=DATEVALUE("03/04/2020"),$J$2&lt;=DATEVALUE("25/11/2020")),0,IF(Resumo!$C$19="PF",IF(Q368&lt;360,0.0082%*Q368,3%),IF(Q368&lt;360,0.0041%*Q368,1.5%)))</f>
        <v>1.4999999999999999E-2</v>
      </c>
      <c r="S368" s="172">
        <f t="shared" ca="1" si="68"/>
        <v>12.523370473537605</v>
      </c>
    </row>
    <row r="369" spans="2:19">
      <c r="B369" s="41">
        <f t="shared" si="69"/>
        <v>347</v>
      </c>
      <c r="C369" s="164">
        <f t="shared" si="61"/>
        <v>55319</v>
      </c>
      <c r="D369" s="42">
        <f t="shared" ca="1" si="62"/>
        <v>2051.1462267746506</v>
      </c>
      <c r="E369" s="42">
        <f t="shared" ca="1" si="71"/>
        <v>204.13922661209608</v>
      </c>
      <c r="F369" s="42">
        <f ca="1">IF(B369&lt;=$D$16,F368*(1+$D$13)^((C369-C368)/_xlfn.DAYS(EDATE(C368,1),C368)),F368-D369)+IF(B369&lt;=$D$16,F368*Resumo!$F$12,0)+IF(B369&lt;=$D$16,$D$15*Resumo!$F$13,0)+IF(B369&lt;=$D$16,25,0)-IF(AND($D$16&gt;3,B369&lt;=$D$16),J369,0)</f>
        <v>27969.328275004187</v>
      </c>
      <c r="G369" s="42">
        <f ca="1">IF(AND(B369&lt;&gt;"",K369&lt;&gt;$D$17,$D$16&gt;3),F369*Resumo!$F$12,IF(AND(B369&lt;&gt;"",K369&lt;&gt;$D$17,B369&gt;$D$16),F369*Resumo!$F$12,0))</f>
        <v>5.8735589377508797</v>
      </c>
      <c r="H369" s="42">
        <f>IF(AND(B369&lt;&gt;"",K369&lt;&gt;$D$17,$D$16&gt;3,$B369&lt;=$D$16),$D$15*Resumo!$F$13,IF(AND(B369&lt;&gt;"",K369&lt;&gt;$D$17,B369&gt;$D$16),$D$15*Resumo!$F$13,0))</f>
        <v>34.369999999999997</v>
      </c>
      <c r="I369" s="42">
        <f>IF(AND(B369&lt;&gt;"",K369&lt;&gt;$D$17,$D$16&gt;3,$B369&lt;=$D$16),Resumo!$F$11,IF(AND(B369&lt;&gt;"",K369&lt;&gt;$D$17,B369&gt;$D$16),Resumo!$F$11,0))</f>
        <v>25</v>
      </c>
      <c r="J369" s="42">
        <f t="shared" ca="1" si="70"/>
        <v>2320.5290123244972</v>
      </c>
      <c r="K369" s="39" t="str">
        <f>IF(B369&lt;&gt;"",VLOOKUP(MONTH(C369),Sheet2!$F$1:$G$12,2,0),"")</f>
        <v>Junho</v>
      </c>
      <c r="L369" s="200">
        <f t="shared" ca="1" si="63"/>
        <v>0</v>
      </c>
      <c r="M369" s="40">
        <f t="shared" ca="1" si="64"/>
        <v>2255.2854533867467</v>
      </c>
      <c r="N369" s="40">
        <f t="shared" ca="1" si="65"/>
        <v>2320.5290123244972</v>
      </c>
      <c r="O369" s="40"/>
      <c r="P369" s="20">
        <f t="shared" ca="1" si="66"/>
        <v>834.89136490250701</v>
      </c>
      <c r="Q369" s="1">
        <f t="shared" si="67"/>
        <v>10572</v>
      </c>
      <c r="R369" s="171">
        <f>IF(AND($J$2&gt;=DATEVALUE("03/04/2020"),$J$2&lt;=DATEVALUE("25/11/2020")),0,IF(Resumo!$C$19="PF",IF(Q369&lt;360,0.0082%*Q369,3%),IF(Q369&lt;360,0.0041%*Q369,1.5%)))</f>
        <v>1.4999999999999999E-2</v>
      </c>
      <c r="S369" s="172">
        <f t="shared" ca="1" si="68"/>
        <v>12.523370473537605</v>
      </c>
    </row>
    <row r="370" spans="2:19">
      <c r="B370" s="41">
        <f t="shared" si="69"/>
        <v>348</v>
      </c>
      <c r="C370" s="164">
        <f t="shared" si="61"/>
        <v>55349</v>
      </c>
      <c r="D370" s="42">
        <f t="shared" ca="1" si="62"/>
        <v>2065.0940211167181</v>
      </c>
      <c r="E370" s="42">
        <f t="shared" ca="1" si="71"/>
        <v>190.19143227002846</v>
      </c>
      <c r="F370" s="42">
        <f ca="1">IF(B370&lt;=$D$16,F369*(1+$D$13)^((C370-C369)/_xlfn.DAYS(EDATE(C369,1),C369)),F369-D370)+IF(B370&lt;=$D$16,F369*Resumo!$F$12,0)+IF(B370&lt;=$D$16,$D$15*Resumo!$F$13,0)+IF(B370&lt;=$D$16,25,0)-IF(AND($D$16&gt;3,B370&lt;=$D$16),J370,0)</f>
        <v>25904.234253887469</v>
      </c>
      <c r="G370" s="42">
        <f ca="1">IF(AND(B370&lt;&gt;"",K370&lt;&gt;$D$17,$D$16&gt;3),F370*Resumo!$F$12,IF(AND(B370&lt;&gt;"",K370&lt;&gt;$D$17,B370&gt;$D$16),F370*Resumo!$F$12,0))</f>
        <v>5.4398891933163691</v>
      </c>
      <c r="H370" s="42">
        <f>IF(AND(B370&lt;&gt;"",K370&lt;&gt;$D$17,$D$16&gt;3,$B370&lt;=$D$16),$D$15*Resumo!$F$13,IF(AND(B370&lt;&gt;"",K370&lt;&gt;$D$17,B370&gt;$D$16),$D$15*Resumo!$F$13,0))</f>
        <v>34.369999999999997</v>
      </c>
      <c r="I370" s="42">
        <f>IF(AND(B370&lt;&gt;"",K370&lt;&gt;$D$17,$D$16&gt;3,$B370&lt;=$D$16),Resumo!$F$11,IF(AND(B370&lt;&gt;"",K370&lt;&gt;$D$17,B370&gt;$D$16),Resumo!$F$11,0))</f>
        <v>25</v>
      </c>
      <c r="J370" s="42">
        <f t="shared" ca="1" si="70"/>
        <v>2320.0953425800631</v>
      </c>
      <c r="K370" s="39" t="str">
        <f>IF(B370&lt;&gt;"",VLOOKUP(MONTH(C370),Sheet2!$F$1:$G$12,2,0),"")</f>
        <v>Julho</v>
      </c>
      <c r="L370" s="200">
        <f t="shared" ca="1" si="63"/>
        <v>0</v>
      </c>
      <c r="M370" s="40">
        <f t="shared" ca="1" si="64"/>
        <v>2255.2854533867467</v>
      </c>
      <c r="N370" s="40">
        <f t="shared" ca="1" si="65"/>
        <v>2320.0953425800631</v>
      </c>
      <c r="O370" s="40"/>
      <c r="P370" s="20">
        <f t="shared" ca="1" si="66"/>
        <v>834.89136490250701</v>
      </c>
      <c r="Q370" s="1">
        <f t="shared" si="67"/>
        <v>10602</v>
      </c>
      <c r="R370" s="171">
        <f>IF(AND($J$2&gt;=DATEVALUE("03/04/2020"),$J$2&lt;=DATEVALUE("25/11/2020")),0,IF(Resumo!$C$19="PF",IF(Q370&lt;360,0.0082%*Q370,3%),IF(Q370&lt;360,0.0041%*Q370,1.5%)))</f>
        <v>1.4999999999999999E-2</v>
      </c>
      <c r="S370" s="172">
        <f t="shared" ca="1" si="68"/>
        <v>12.523370473537605</v>
      </c>
    </row>
    <row r="371" spans="2:19">
      <c r="B371" s="41">
        <f t="shared" si="69"/>
        <v>349</v>
      </c>
      <c r="C371" s="164">
        <f t="shared" si="61"/>
        <v>55380</v>
      </c>
      <c r="D371" s="42">
        <f t="shared" ca="1" si="62"/>
        <v>2079.1366604603118</v>
      </c>
      <c r="E371" s="42">
        <f t="shared" ca="1" si="71"/>
        <v>176.14879292643479</v>
      </c>
      <c r="F371" s="42">
        <f ca="1">IF(B371&lt;=$D$16,F370*(1+$D$13)^((C371-C370)/_xlfn.DAYS(EDATE(C370,1),C370)),F370-D371)+IF(B371&lt;=$D$16,F370*Resumo!$F$12,0)+IF(B371&lt;=$D$16,$D$15*Resumo!$F$13,0)+IF(B371&lt;=$D$16,25,0)-IF(AND($D$16&gt;3,B371&lt;=$D$16),J371,0)</f>
        <v>23825.097593427156</v>
      </c>
      <c r="G371" s="42">
        <f ca="1">IF(AND(B371&lt;&gt;"",K371&lt;&gt;$D$17,$D$16&gt;3),F371*Resumo!$F$12,IF(AND(B371&lt;&gt;"",K371&lt;&gt;$D$17,B371&gt;$D$16),F371*Resumo!$F$12,0))</f>
        <v>5.0032704946197031</v>
      </c>
      <c r="H371" s="42">
        <f>IF(AND(B371&lt;&gt;"",K371&lt;&gt;$D$17,$D$16&gt;3,$B371&lt;=$D$16),$D$15*Resumo!$F$13,IF(AND(B371&lt;&gt;"",K371&lt;&gt;$D$17,B371&gt;$D$16),$D$15*Resumo!$F$13,0))</f>
        <v>34.369999999999997</v>
      </c>
      <c r="I371" s="42">
        <f>IF(AND(B371&lt;&gt;"",K371&lt;&gt;$D$17,$D$16&gt;3,$B371&lt;=$D$16),Resumo!$F$11,IF(AND(B371&lt;&gt;"",K371&lt;&gt;$D$17,B371&gt;$D$16),Resumo!$F$11,0))</f>
        <v>25</v>
      </c>
      <c r="J371" s="42">
        <f t="shared" ca="1" si="70"/>
        <v>2319.6587238813663</v>
      </c>
      <c r="K371" s="39" t="str">
        <f>IF(B371&lt;&gt;"",VLOOKUP(MONTH(C371),Sheet2!$F$1:$G$12,2,0),"")</f>
        <v>Agosto</v>
      </c>
      <c r="L371" s="200">
        <f t="shared" ca="1" si="63"/>
        <v>0</v>
      </c>
      <c r="M371" s="40">
        <f t="shared" ca="1" si="64"/>
        <v>2255.2854533867467</v>
      </c>
      <c r="N371" s="40">
        <f t="shared" ca="1" si="65"/>
        <v>2319.6587238813663</v>
      </c>
      <c r="O371" s="40"/>
      <c r="P371" s="20">
        <f t="shared" ca="1" si="66"/>
        <v>834.89136490250701</v>
      </c>
      <c r="Q371" s="1">
        <f t="shared" si="67"/>
        <v>10633</v>
      </c>
      <c r="R371" s="171">
        <f>IF(AND($J$2&gt;=DATEVALUE("03/04/2020"),$J$2&lt;=DATEVALUE("25/11/2020")),0,IF(Resumo!$C$19="PF",IF(Q371&lt;360,0.0082%*Q371,3%),IF(Q371&lt;360,0.0041%*Q371,1.5%)))</f>
        <v>1.4999999999999999E-2</v>
      </c>
      <c r="S371" s="172">
        <f t="shared" ca="1" si="68"/>
        <v>12.523370473537605</v>
      </c>
    </row>
    <row r="372" spans="2:19">
      <c r="B372" s="41">
        <f t="shared" si="69"/>
        <v>350</v>
      </c>
      <c r="C372" s="164">
        <f t="shared" si="61"/>
        <v>55411</v>
      </c>
      <c r="D372" s="42">
        <f t="shared" ca="1" si="62"/>
        <v>2093.2747897514419</v>
      </c>
      <c r="E372" s="42">
        <f t="shared" ca="1" si="71"/>
        <v>162.01066363530464</v>
      </c>
      <c r="F372" s="42">
        <f ca="1">IF(B372&lt;=$D$16,F371*(1+$D$13)^((C372-C371)/_xlfn.DAYS(EDATE(C371,1),C371)),F371-D372)+IF(B372&lt;=$D$16,F371*Resumo!$F$12,0)+IF(B372&lt;=$D$16,$D$15*Resumo!$F$13,0)+IF(B372&lt;=$D$16,25,0)-IF(AND($D$16&gt;3,B372&lt;=$D$16),J372,0)</f>
        <v>21731.822803675714</v>
      </c>
      <c r="G372" s="42">
        <f ca="1">IF(AND(B372&lt;&gt;"",K372&lt;&gt;$D$17,$D$16&gt;3),F372*Resumo!$F$12,IF(AND(B372&lt;&gt;"",K372&lt;&gt;$D$17,B372&gt;$D$16),F372*Resumo!$F$12,0))</f>
        <v>4.5636827887719003</v>
      </c>
      <c r="H372" s="42">
        <f>IF(AND(B372&lt;&gt;"",K372&lt;&gt;$D$17,$D$16&gt;3,$B372&lt;=$D$16),$D$15*Resumo!$F$13,IF(AND(B372&lt;&gt;"",K372&lt;&gt;$D$17,B372&gt;$D$16),$D$15*Resumo!$F$13,0))</f>
        <v>34.369999999999997</v>
      </c>
      <c r="I372" s="42">
        <f>IF(AND(B372&lt;&gt;"",K372&lt;&gt;$D$17,$D$16&gt;3,$B372&lt;=$D$16),Resumo!$F$11,IF(AND(B372&lt;&gt;"",K372&lt;&gt;$D$17,B372&gt;$D$16),Resumo!$F$11,0))</f>
        <v>25</v>
      </c>
      <c r="J372" s="42">
        <f t="shared" ca="1" si="70"/>
        <v>2319.2191361755185</v>
      </c>
      <c r="K372" s="39" t="str">
        <f>IF(B372&lt;&gt;"",VLOOKUP(MONTH(C372),Sheet2!$F$1:$G$12,2,0),"")</f>
        <v>Setembro</v>
      </c>
      <c r="L372" s="200">
        <f t="shared" ca="1" si="63"/>
        <v>0</v>
      </c>
      <c r="M372" s="40">
        <f t="shared" ca="1" si="64"/>
        <v>2255.2854533867467</v>
      </c>
      <c r="N372" s="40">
        <f t="shared" ca="1" si="65"/>
        <v>2319.2191361755185</v>
      </c>
      <c r="O372" s="40"/>
      <c r="P372" s="20">
        <f t="shared" ca="1" si="66"/>
        <v>834.89136490250701</v>
      </c>
      <c r="Q372" s="1">
        <f t="shared" si="67"/>
        <v>10664</v>
      </c>
      <c r="R372" s="171">
        <f>IF(AND($J$2&gt;=DATEVALUE("03/04/2020"),$J$2&lt;=DATEVALUE("25/11/2020")),0,IF(Resumo!$C$19="PF",IF(Q372&lt;360,0.0082%*Q372,3%),IF(Q372&lt;360,0.0041%*Q372,1.5%)))</f>
        <v>1.4999999999999999E-2</v>
      </c>
      <c r="S372" s="172">
        <f t="shared" ca="1" si="68"/>
        <v>12.523370473537605</v>
      </c>
    </row>
    <row r="373" spans="2:19">
      <c r="B373" s="41">
        <f t="shared" si="69"/>
        <v>351</v>
      </c>
      <c r="C373" s="164">
        <f t="shared" si="61"/>
        <v>55441</v>
      </c>
      <c r="D373" s="42">
        <f t="shared" ca="1" si="62"/>
        <v>2107.5090583217516</v>
      </c>
      <c r="E373" s="42">
        <f t="shared" ca="1" si="71"/>
        <v>147.77639506499486</v>
      </c>
      <c r="F373" s="42">
        <f ca="1">IF(B373&lt;=$D$16,F372*(1+$D$13)^((C373-C372)/_xlfn.DAYS(EDATE(C372,1),C372)),F372-D373)+IF(B373&lt;=$D$16,F372*Resumo!$F$12,0)+IF(B373&lt;=$D$16,$D$15*Resumo!$F$13,0)+IF(B373&lt;=$D$16,25,0)-IF(AND($D$16&gt;3,B373&lt;=$D$16),J373,0)</f>
        <v>19624.31374535396</v>
      </c>
      <c r="G373" s="42">
        <f ca="1">IF(AND(B373&lt;&gt;"",K373&lt;&gt;$D$17,$D$16&gt;3),F373*Resumo!$F$12,IF(AND(B373&lt;&gt;"",K373&lt;&gt;$D$17,B373&gt;$D$16),F373*Resumo!$F$12,0))</f>
        <v>4.1211058865243322</v>
      </c>
      <c r="H373" s="42">
        <f>IF(AND(B373&lt;&gt;"",K373&lt;&gt;$D$17,$D$16&gt;3,$B373&lt;=$D$16),$D$15*Resumo!$F$13,IF(AND(B373&lt;&gt;"",K373&lt;&gt;$D$17,B373&gt;$D$16),$D$15*Resumo!$F$13,0))</f>
        <v>34.369999999999997</v>
      </c>
      <c r="I373" s="42">
        <f>IF(AND(B373&lt;&gt;"",K373&lt;&gt;$D$17,$D$16&gt;3,$B373&lt;=$D$16),Resumo!$F$11,IF(AND(B373&lt;&gt;"",K373&lt;&gt;$D$17,B373&gt;$D$16),Resumo!$F$11,0))</f>
        <v>25</v>
      </c>
      <c r="J373" s="42">
        <f t="shared" ca="1" si="70"/>
        <v>2318.7765592732708</v>
      </c>
      <c r="K373" s="39" t="str">
        <f>IF(B373&lt;&gt;"",VLOOKUP(MONTH(C373),Sheet2!$F$1:$G$12,2,0),"")</f>
        <v>Outubro</v>
      </c>
      <c r="L373" s="200">
        <f t="shared" ca="1" si="63"/>
        <v>0</v>
      </c>
      <c r="M373" s="40">
        <f t="shared" ca="1" si="64"/>
        <v>2255.2854533867467</v>
      </c>
      <c r="N373" s="40">
        <f t="shared" ca="1" si="65"/>
        <v>2318.7765592732708</v>
      </c>
      <c r="O373" s="40"/>
      <c r="P373" s="20">
        <f t="shared" ca="1" si="66"/>
        <v>834.89136490250701</v>
      </c>
      <c r="Q373" s="1">
        <f t="shared" si="67"/>
        <v>10694</v>
      </c>
      <c r="R373" s="171">
        <f>IF(AND($J$2&gt;=DATEVALUE("03/04/2020"),$J$2&lt;=DATEVALUE("25/11/2020")),0,IF(Resumo!$C$19="PF",IF(Q373&lt;360,0.0082%*Q373,3%),IF(Q373&lt;360,0.0041%*Q373,1.5%)))</f>
        <v>1.4999999999999999E-2</v>
      </c>
      <c r="S373" s="172">
        <f t="shared" ca="1" si="68"/>
        <v>12.523370473537605</v>
      </c>
    </row>
    <row r="374" spans="2:19">
      <c r="B374" s="41">
        <f t="shared" si="69"/>
        <v>352</v>
      </c>
      <c r="C374" s="164">
        <f t="shared" si="61"/>
        <v>55472</v>
      </c>
      <c r="D374" s="42">
        <f t="shared" ca="1" si="62"/>
        <v>2121.84011991834</v>
      </c>
      <c r="E374" s="42">
        <f t="shared" ca="1" si="71"/>
        <v>133.44533346840691</v>
      </c>
      <c r="F374" s="42">
        <f ca="1">IF(B374&lt;=$D$16,F373*(1+$D$13)^((C374-C373)/_xlfn.DAYS(EDATE(C373,1),C373)),F373-D374)+IF(B374&lt;=$D$16,F373*Resumo!$F$12,0)+IF(B374&lt;=$D$16,$D$15*Resumo!$F$13,0)+IF(B374&lt;=$D$16,25,0)-IF(AND($D$16&gt;3,B374&lt;=$D$16),J374,0)</f>
        <v>17502.473625435621</v>
      </c>
      <c r="G374" s="42">
        <f ca="1">IF(AND(B374&lt;&gt;"",K374&lt;&gt;$D$17,$D$16&gt;3),F374*Resumo!$F$12,IF(AND(B374&lt;&gt;"",K374&lt;&gt;$D$17,B374&gt;$D$16),F374*Resumo!$F$12,0))</f>
        <v>3.6755194613414806</v>
      </c>
      <c r="H374" s="42">
        <f>IF(AND(B374&lt;&gt;"",K374&lt;&gt;$D$17,$D$16&gt;3,$B374&lt;=$D$16),$D$15*Resumo!$F$13,IF(AND(B374&lt;&gt;"",K374&lt;&gt;$D$17,B374&gt;$D$16),$D$15*Resumo!$F$13,0))</f>
        <v>34.369999999999997</v>
      </c>
      <c r="I374" s="42">
        <f>IF(AND(B374&lt;&gt;"",K374&lt;&gt;$D$17,$D$16&gt;3,$B374&lt;=$D$16),Resumo!$F$11,IF(AND(B374&lt;&gt;"",K374&lt;&gt;$D$17,B374&gt;$D$16),Resumo!$F$11,0))</f>
        <v>25</v>
      </c>
      <c r="J374" s="42">
        <f t="shared" ca="1" si="70"/>
        <v>2318.3309728480881</v>
      </c>
      <c r="K374" s="39" t="str">
        <f>IF(B374&lt;&gt;"",VLOOKUP(MONTH(C374),Sheet2!$F$1:$G$12,2,0),"")</f>
        <v>Novembro</v>
      </c>
      <c r="L374" s="200">
        <f t="shared" ca="1" si="63"/>
        <v>0</v>
      </c>
      <c r="M374" s="40">
        <f t="shared" ca="1" si="64"/>
        <v>2255.2854533867467</v>
      </c>
      <c r="N374" s="40">
        <f t="shared" ca="1" si="65"/>
        <v>2318.3309728480881</v>
      </c>
      <c r="O374" s="40"/>
      <c r="P374" s="20">
        <f t="shared" ca="1" si="66"/>
        <v>834.89136490250701</v>
      </c>
      <c r="Q374" s="1">
        <f t="shared" si="67"/>
        <v>10725</v>
      </c>
      <c r="R374" s="171">
        <f>IF(AND($J$2&gt;=DATEVALUE("03/04/2020"),$J$2&lt;=DATEVALUE("25/11/2020")),0,IF(Resumo!$C$19="PF",IF(Q374&lt;360,0.0082%*Q374,3%),IF(Q374&lt;360,0.0041%*Q374,1.5%)))</f>
        <v>1.4999999999999999E-2</v>
      </c>
      <c r="S374" s="172">
        <f t="shared" ca="1" si="68"/>
        <v>12.523370473537605</v>
      </c>
    </row>
    <row r="375" spans="2:19">
      <c r="B375" s="41">
        <f t="shared" si="69"/>
        <v>353</v>
      </c>
      <c r="C375" s="164">
        <f t="shared" si="61"/>
        <v>55502</v>
      </c>
      <c r="D375" s="42">
        <f t="shared" ca="1" si="62"/>
        <v>2136.2686327337842</v>
      </c>
      <c r="E375" s="42">
        <f t="shared" ca="1" si="71"/>
        <v>119.01682065296222</v>
      </c>
      <c r="F375" s="42">
        <f ca="1">IF(B375&lt;=$D$16,F374*(1+$D$13)^((C375-C374)/_xlfn.DAYS(EDATE(C374,1),C374)),F374-D375)+IF(B375&lt;=$D$16,F374*Resumo!$F$12,0)+IF(B375&lt;=$D$16,$D$15*Resumo!$F$13,0)+IF(B375&lt;=$D$16,25,0)-IF(AND($D$16&gt;3,B375&lt;=$D$16),J375,0)</f>
        <v>15366.204992701838</v>
      </c>
      <c r="G375" s="42">
        <f ca="1">IF(AND(B375&lt;&gt;"",K375&lt;&gt;$D$17,$D$16&gt;3),F375*Resumo!$F$12,IF(AND(B375&lt;&gt;"",K375&lt;&gt;$D$17,B375&gt;$D$16),F375*Resumo!$F$12,0))</f>
        <v>3.2269030484673862</v>
      </c>
      <c r="H375" s="42">
        <f>IF(AND(B375&lt;&gt;"",K375&lt;&gt;$D$17,$D$16&gt;3,$B375&lt;=$D$16),$D$15*Resumo!$F$13,IF(AND(B375&lt;&gt;"",K375&lt;&gt;$D$17,B375&gt;$D$16),$D$15*Resumo!$F$13,0))</f>
        <v>34.369999999999997</v>
      </c>
      <c r="I375" s="42">
        <f>IF(AND(B375&lt;&gt;"",K375&lt;&gt;$D$17,$D$16&gt;3,$B375&lt;=$D$16),Resumo!$F$11,IF(AND(B375&lt;&gt;"",K375&lt;&gt;$D$17,B375&gt;$D$16),Resumo!$F$11,0))</f>
        <v>25</v>
      </c>
      <c r="J375" s="42">
        <f t="shared" ca="1" si="70"/>
        <v>2317.8823564352138</v>
      </c>
      <c r="K375" s="39" t="str">
        <f>IF(B375&lt;&gt;"",VLOOKUP(MONTH(C375),Sheet2!$F$1:$G$12,2,0),"")</f>
        <v>Dezembro</v>
      </c>
      <c r="L375" s="200">
        <f t="shared" ca="1" si="63"/>
        <v>0</v>
      </c>
      <c r="M375" s="40">
        <f t="shared" ca="1" si="64"/>
        <v>2255.2854533867467</v>
      </c>
      <c r="N375" s="40">
        <f t="shared" ca="1" si="65"/>
        <v>2317.8823564352138</v>
      </c>
      <c r="O375" s="40"/>
      <c r="P375" s="20">
        <f t="shared" ca="1" si="66"/>
        <v>834.89136490250701</v>
      </c>
      <c r="Q375" s="1">
        <f t="shared" si="67"/>
        <v>10755</v>
      </c>
      <c r="R375" s="171">
        <f>IF(AND($J$2&gt;=DATEVALUE("03/04/2020"),$J$2&lt;=DATEVALUE("25/11/2020")),0,IF(Resumo!$C$19="PF",IF(Q375&lt;360,0.0082%*Q375,3%),IF(Q375&lt;360,0.0041%*Q375,1.5%)))</f>
        <v>1.4999999999999999E-2</v>
      </c>
      <c r="S375" s="172">
        <f t="shared" ca="1" si="68"/>
        <v>12.523370473537605</v>
      </c>
    </row>
    <row r="376" spans="2:19">
      <c r="B376" s="41">
        <f t="shared" si="69"/>
        <v>354</v>
      </c>
      <c r="C376" s="164">
        <f t="shared" si="61"/>
        <v>55533</v>
      </c>
      <c r="D376" s="42">
        <f t="shared" ca="1" si="62"/>
        <v>2150.7952594363742</v>
      </c>
      <c r="E376" s="42">
        <f t="shared" ca="1" si="71"/>
        <v>104.49019395037249</v>
      </c>
      <c r="F376" s="42">
        <f ca="1">IF(B376&lt;=$D$16,F375*(1+$D$13)^((C376-C375)/_xlfn.DAYS(EDATE(C375,1),C375)),F375-D376)+IF(B376&lt;=$D$16,F375*Resumo!$F$12,0)+IF(B376&lt;=$D$16,$D$15*Resumo!$F$13,0)+IF(B376&lt;=$D$16,25,0)-IF(AND($D$16&gt;3,B376&lt;=$D$16),J376,0)</f>
        <v>13215.409733265464</v>
      </c>
      <c r="G376" s="42">
        <f ca="1">IF(AND(B376&lt;&gt;"",K376&lt;&gt;$D$17,$D$16&gt;3),F376*Resumo!$F$12,IF(AND(B376&lt;&gt;"",K376&lt;&gt;$D$17,B376&gt;$D$16),F376*Resumo!$F$12,0))</f>
        <v>2.7752360439857475</v>
      </c>
      <c r="H376" s="42">
        <f>IF(AND(B376&lt;&gt;"",K376&lt;&gt;$D$17,$D$16&gt;3,$B376&lt;=$D$16),$D$15*Resumo!$F$13,IF(AND(B376&lt;&gt;"",K376&lt;&gt;$D$17,B376&gt;$D$16),$D$15*Resumo!$F$13,0))</f>
        <v>34.369999999999997</v>
      </c>
      <c r="I376" s="42">
        <f>IF(AND(B376&lt;&gt;"",K376&lt;&gt;$D$17,$D$16&gt;3,$B376&lt;=$D$16),Resumo!$F$11,IF(AND(B376&lt;&gt;"",K376&lt;&gt;$D$17,B376&gt;$D$16),Resumo!$F$11,0))</f>
        <v>25</v>
      </c>
      <c r="J376" s="42">
        <f t="shared" ca="1" si="70"/>
        <v>2317.4306894307324</v>
      </c>
      <c r="K376" s="39" t="str">
        <f>IF(B376&lt;&gt;"",VLOOKUP(MONTH(C376),Sheet2!$F$1:$G$12,2,0),"")</f>
        <v>Janeiro</v>
      </c>
      <c r="L376" s="200">
        <f t="shared" ca="1" si="63"/>
        <v>0</v>
      </c>
      <c r="M376" s="40">
        <f t="shared" ca="1" si="64"/>
        <v>2255.2854533867467</v>
      </c>
      <c r="N376" s="40">
        <f t="shared" ca="1" si="65"/>
        <v>2317.4306894307324</v>
      </c>
      <c r="O376" s="40"/>
      <c r="P376" s="20">
        <f t="shared" ca="1" si="66"/>
        <v>834.89136490250701</v>
      </c>
      <c r="Q376" s="1">
        <f t="shared" si="67"/>
        <v>10786</v>
      </c>
      <c r="R376" s="171">
        <f>IF(AND($J$2&gt;=DATEVALUE("03/04/2020"),$J$2&lt;=DATEVALUE("25/11/2020")),0,IF(Resumo!$C$19="PF",IF(Q376&lt;360,0.0082%*Q376,3%),IF(Q376&lt;360,0.0041%*Q376,1.5%)))</f>
        <v>1.4999999999999999E-2</v>
      </c>
      <c r="S376" s="172">
        <f t="shared" ca="1" si="68"/>
        <v>12.523370473537605</v>
      </c>
    </row>
    <row r="377" spans="2:19">
      <c r="B377" s="41">
        <f t="shared" si="69"/>
        <v>355</v>
      </c>
      <c r="C377" s="164">
        <f t="shared" si="61"/>
        <v>55564</v>
      </c>
      <c r="D377" s="42">
        <f t="shared" ca="1" si="62"/>
        <v>2165.4206672005416</v>
      </c>
      <c r="E377" s="42">
        <f t="shared" ca="1" si="71"/>
        <v>89.864786186205151</v>
      </c>
      <c r="F377" s="42">
        <f ca="1">IF(B377&lt;=$D$16,F376*(1+$D$13)^((C377-C376)/_xlfn.DAYS(EDATE(C376,1),C376)),F376-D377)+IF(B377&lt;=$D$16,F376*Resumo!$F$12,0)+IF(B377&lt;=$D$16,$D$15*Resumo!$F$13,0)+IF(B377&lt;=$D$16,25,0)-IF(AND($D$16&gt;3,B377&lt;=$D$16),J377,0)</f>
        <v>11049.989066064922</v>
      </c>
      <c r="G377" s="42">
        <f ca="1">IF(AND(B377&lt;&gt;"",K377&lt;&gt;$D$17,$D$16&gt;3),F377*Resumo!$F$12,IF(AND(B377&lt;&gt;"",K377&lt;&gt;$D$17,B377&gt;$D$16),F377*Resumo!$F$12,0))</f>
        <v>2.3204977038736336</v>
      </c>
      <c r="H377" s="42">
        <f>IF(AND(B377&lt;&gt;"",K377&lt;&gt;$D$17,$D$16&gt;3,$B377&lt;=$D$16),$D$15*Resumo!$F$13,IF(AND(B377&lt;&gt;"",K377&lt;&gt;$D$17,B377&gt;$D$16),$D$15*Resumo!$F$13,0))</f>
        <v>34.369999999999997</v>
      </c>
      <c r="I377" s="42">
        <f>IF(AND(B377&lt;&gt;"",K377&lt;&gt;$D$17,$D$16&gt;3,$B377&lt;=$D$16),Resumo!$F$11,IF(AND(B377&lt;&gt;"",K377&lt;&gt;$D$17,B377&gt;$D$16),Resumo!$F$11,0))</f>
        <v>25</v>
      </c>
      <c r="J377" s="42">
        <f t="shared" ca="1" si="70"/>
        <v>2316.9759510906201</v>
      </c>
      <c r="K377" s="39" t="str">
        <f>IF(B377&lt;&gt;"",VLOOKUP(MONTH(C377),Sheet2!$F$1:$G$12,2,0),"")</f>
        <v>Fevereiro</v>
      </c>
      <c r="L377" s="200">
        <f t="shared" ca="1" si="63"/>
        <v>0</v>
      </c>
      <c r="M377" s="40">
        <f t="shared" ca="1" si="64"/>
        <v>2255.2854533867467</v>
      </c>
      <c r="N377" s="40">
        <f t="shared" ca="1" si="65"/>
        <v>2316.9759510906201</v>
      </c>
      <c r="O377" s="40"/>
      <c r="P377" s="20">
        <f t="shared" ca="1" si="66"/>
        <v>834.89136490250701</v>
      </c>
      <c r="Q377" s="1">
        <f t="shared" si="67"/>
        <v>10817</v>
      </c>
      <c r="R377" s="171">
        <f>IF(AND($J$2&gt;=DATEVALUE("03/04/2020"),$J$2&lt;=DATEVALUE("25/11/2020")),0,IF(Resumo!$C$19="PF",IF(Q377&lt;360,0.0082%*Q377,3%),IF(Q377&lt;360,0.0041%*Q377,1.5%)))</f>
        <v>1.4999999999999999E-2</v>
      </c>
      <c r="S377" s="172">
        <f t="shared" ca="1" si="68"/>
        <v>12.523370473537605</v>
      </c>
    </row>
    <row r="378" spans="2:19">
      <c r="B378" s="41">
        <f t="shared" si="69"/>
        <v>356</v>
      </c>
      <c r="C378" s="164">
        <f t="shared" si="61"/>
        <v>55593</v>
      </c>
      <c r="D378" s="42">
        <f t="shared" ca="1" si="62"/>
        <v>2180.1455277375053</v>
      </c>
      <c r="E378" s="42">
        <f t="shared" ca="1" si="71"/>
        <v>75.139925649241462</v>
      </c>
      <c r="F378" s="42">
        <f ca="1">IF(B378&lt;=$D$16,F377*(1+$D$13)^((C378-C377)/_xlfn.DAYS(EDATE(C377,1),C377)),F377-D378)+IF(B378&lt;=$D$16,F377*Resumo!$F$12,0)+IF(B378&lt;=$D$16,$D$15*Resumo!$F$13,0)+IF(B378&lt;=$D$16,25,0)-IF(AND($D$16&gt;3,B378&lt;=$D$16),J378,0)</f>
        <v>8869.8435383274154</v>
      </c>
      <c r="G378" s="42">
        <f ca="1">IF(AND(B378&lt;&gt;"",K378&lt;&gt;$D$17,$D$16&gt;3),F378*Resumo!$F$12,IF(AND(B378&lt;&gt;"",K378&lt;&gt;$D$17,B378&gt;$D$16),F378*Resumo!$F$12,0))</f>
        <v>1.8626671430487574</v>
      </c>
      <c r="H378" s="42">
        <f>IF(AND(B378&lt;&gt;"",K378&lt;&gt;$D$17,$D$16&gt;3,$B378&lt;=$D$16),$D$15*Resumo!$F$13,IF(AND(B378&lt;&gt;"",K378&lt;&gt;$D$17,B378&gt;$D$16),$D$15*Resumo!$F$13,0))</f>
        <v>34.369999999999997</v>
      </c>
      <c r="I378" s="42">
        <f>IF(AND(B378&lt;&gt;"",K378&lt;&gt;$D$17,$D$16&gt;3,$B378&lt;=$D$16),Resumo!$F$11,IF(AND(B378&lt;&gt;"",K378&lt;&gt;$D$17,B378&gt;$D$16),Resumo!$F$11,0))</f>
        <v>25</v>
      </c>
      <c r="J378" s="42">
        <f t="shared" ca="1" si="70"/>
        <v>2316.5181205297954</v>
      </c>
      <c r="K378" s="39" t="str">
        <f>IF(B378&lt;&gt;"",VLOOKUP(MONTH(C378),Sheet2!$F$1:$G$12,2,0),"")</f>
        <v>Março</v>
      </c>
      <c r="L378" s="200">
        <f t="shared" ca="1" si="63"/>
        <v>0</v>
      </c>
      <c r="M378" s="40">
        <f t="shared" ca="1" si="64"/>
        <v>2255.2854533867467</v>
      </c>
      <c r="N378" s="40">
        <f t="shared" ca="1" si="65"/>
        <v>2316.5181205297954</v>
      </c>
      <c r="O378" s="40"/>
      <c r="P378" s="20">
        <f t="shared" ca="1" si="66"/>
        <v>834.89136490250701</v>
      </c>
      <c r="Q378" s="1">
        <f t="shared" si="67"/>
        <v>10846</v>
      </c>
      <c r="R378" s="171">
        <f>IF(AND($J$2&gt;=DATEVALUE("03/04/2020"),$J$2&lt;=DATEVALUE("25/11/2020")),0,IF(Resumo!$C$19="PF",IF(Q378&lt;360,0.0082%*Q378,3%),IF(Q378&lt;360,0.0041%*Q378,1.5%)))</f>
        <v>1.4999999999999999E-2</v>
      </c>
      <c r="S378" s="172">
        <f t="shared" ca="1" si="68"/>
        <v>12.523370473537605</v>
      </c>
    </row>
    <row r="379" spans="2:19">
      <c r="B379" s="41">
        <f t="shared" si="69"/>
        <v>357</v>
      </c>
      <c r="C379" s="164">
        <f t="shared" si="61"/>
        <v>55624</v>
      </c>
      <c r="D379" s="42">
        <f t="shared" ca="1" si="62"/>
        <v>2194.9705173261204</v>
      </c>
      <c r="E379" s="42">
        <f t="shared" ca="1" si="71"/>
        <v>60.314936060626422</v>
      </c>
      <c r="F379" s="42">
        <f ca="1">IF(B379&lt;=$D$16,F378*(1+$D$13)^((C379-C378)/_xlfn.DAYS(EDATE(C378,1),C378)),F378-D379)+IF(B379&lt;=$D$16,F378*Resumo!$F$12,0)+IF(B379&lt;=$D$16,$D$15*Resumo!$F$13,0)+IF(B379&lt;=$D$16,25,0)-IF(AND($D$16&gt;3,B379&lt;=$D$16),J379,0)</f>
        <v>6674.8730210012945</v>
      </c>
      <c r="G379" s="42">
        <f ca="1">IF(AND(B379&lt;&gt;"",K379&lt;&gt;$D$17,$D$16&gt;3),F379*Resumo!$F$12,IF(AND(B379&lt;&gt;"",K379&lt;&gt;$D$17,B379&gt;$D$16),F379*Resumo!$F$12,0))</f>
        <v>1.401723334410272</v>
      </c>
      <c r="H379" s="42">
        <f>IF(AND(B379&lt;&gt;"",K379&lt;&gt;$D$17,$D$16&gt;3,$B379&lt;=$D$16),$D$15*Resumo!$F$13,IF(AND(B379&lt;&gt;"",K379&lt;&gt;$D$17,B379&gt;$D$16),$D$15*Resumo!$F$13,0))</f>
        <v>34.369999999999997</v>
      </c>
      <c r="I379" s="42">
        <f>IF(AND(B379&lt;&gt;"",K379&lt;&gt;$D$17,$D$16&gt;3,$B379&lt;=$D$16),Resumo!$F$11,IF(AND(B379&lt;&gt;"",K379&lt;&gt;$D$17,B379&gt;$D$16),Resumo!$F$11,0))</f>
        <v>25</v>
      </c>
      <c r="J379" s="42">
        <f t="shared" ca="1" si="70"/>
        <v>2316.0571767211568</v>
      </c>
      <c r="K379" s="39" t="str">
        <f>IF(B379&lt;&gt;"",VLOOKUP(MONTH(C379),Sheet2!$F$1:$G$12,2,0),"")</f>
        <v>Abril</v>
      </c>
      <c r="L379" s="200">
        <f t="shared" ca="1" si="63"/>
        <v>0</v>
      </c>
      <c r="M379" s="40">
        <f t="shared" ca="1" si="64"/>
        <v>2255.2854533867467</v>
      </c>
      <c r="N379" s="40">
        <f t="shared" ca="1" si="65"/>
        <v>2316.0571767211568</v>
      </c>
      <c r="O379" s="40"/>
      <c r="P379" s="20">
        <f t="shared" ca="1" si="66"/>
        <v>834.89136490250701</v>
      </c>
      <c r="Q379" s="1">
        <f t="shared" si="67"/>
        <v>10877</v>
      </c>
      <c r="R379" s="171">
        <f>IF(AND($J$2&gt;=DATEVALUE("03/04/2020"),$J$2&lt;=DATEVALUE("25/11/2020")),0,IF(Resumo!$C$19="PF",IF(Q379&lt;360,0.0082%*Q379,3%),IF(Q379&lt;360,0.0041%*Q379,1.5%)))</f>
        <v>1.4999999999999999E-2</v>
      </c>
      <c r="S379" s="172">
        <f t="shared" ca="1" si="68"/>
        <v>12.523370473537605</v>
      </c>
    </row>
    <row r="380" spans="2:19">
      <c r="B380" s="41">
        <f t="shared" si="69"/>
        <v>358</v>
      </c>
      <c r="C380" s="164">
        <f t="shared" si="61"/>
        <v>55654</v>
      </c>
      <c r="D380" s="42">
        <f t="shared" ca="1" si="62"/>
        <v>2209.8963168439377</v>
      </c>
      <c r="E380" s="42">
        <f t="shared" ca="1" si="71"/>
        <v>45.389136542808799</v>
      </c>
      <c r="F380" s="42">
        <f ca="1">IF(B380&lt;=$D$16,F379*(1+$D$13)^((C380-C379)/_xlfn.DAYS(EDATE(C379,1),C379)),F379-D380)+IF(B380&lt;=$D$16,F379*Resumo!$F$12,0)+IF(B380&lt;=$D$16,$D$15*Resumo!$F$13,0)+IF(B380&lt;=$D$16,25,0)-IF(AND($D$16&gt;3,B380&lt;=$D$16),J380,0)</f>
        <v>4464.9767041573568</v>
      </c>
      <c r="G380" s="42">
        <f ca="1">IF(AND(B380&lt;&gt;"",K380&lt;&gt;$D$17,$D$16&gt;3),F380*Resumo!$F$12,IF(AND(B380&lt;&gt;"",K380&lt;&gt;$D$17,B380&gt;$D$16),F380*Resumo!$F$12,0))</f>
        <v>0.937645107873045</v>
      </c>
      <c r="H380" s="42">
        <f>IF(AND(B380&lt;&gt;"",K380&lt;&gt;$D$17,$D$16&gt;3,$B380&lt;=$D$16),$D$15*Resumo!$F$13,IF(AND(B380&lt;&gt;"",K380&lt;&gt;$D$17,B380&gt;$D$16),$D$15*Resumo!$F$13,0))</f>
        <v>34.369999999999997</v>
      </c>
      <c r="I380" s="42">
        <f>IF(AND(B380&lt;&gt;"",K380&lt;&gt;$D$17,$D$16&gt;3,$B380&lt;=$D$16),Resumo!$F$11,IF(AND(B380&lt;&gt;"",K380&lt;&gt;$D$17,B380&gt;$D$16),Resumo!$F$11,0))</f>
        <v>25</v>
      </c>
      <c r="J380" s="42">
        <f t="shared" ca="1" si="70"/>
        <v>2315.5930984946194</v>
      </c>
      <c r="K380" s="39" t="str">
        <f>IF(B380&lt;&gt;"",VLOOKUP(MONTH(C380),Sheet2!$F$1:$G$12,2,0),"")</f>
        <v>Maio</v>
      </c>
      <c r="L380" s="200">
        <f t="shared" ca="1" si="63"/>
        <v>0</v>
      </c>
      <c r="M380" s="40">
        <f t="shared" ca="1" si="64"/>
        <v>2255.2854533867467</v>
      </c>
      <c r="N380" s="40">
        <f t="shared" ca="1" si="65"/>
        <v>2315.5930984946194</v>
      </c>
      <c r="O380" s="40"/>
      <c r="P380" s="20">
        <f t="shared" ca="1" si="66"/>
        <v>834.89136490250701</v>
      </c>
      <c r="Q380" s="1">
        <f t="shared" si="67"/>
        <v>10907</v>
      </c>
      <c r="R380" s="171">
        <f>IF(AND($J$2&gt;=DATEVALUE("03/04/2020"),$J$2&lt;=DATEVALUE("25/11/2020")),0,IF(Resumo!$C$19="PF",IF(Q380&lt;360,0.0082%*Q380,3%),IF(Q380&lt;360,0.0041%*Q380,1.5%)))</f>
        <v>1.4999999999999999E-2</v>
      </c>
      <c r="S380" s="172">
        <f t="shared" ca="1" si="68"/>
        <v>12.523370473537605</v>
      </c>
    </row>
    <row r="381" spans="2:19">
      <c r="B381" s="41">
        <f t="shared" si="69"/>
        <v>359</v>
      </c>
      <c r="C381" s="164">
        <f t="shared" si="61"/>
        <v>55685</v>
      </c>
      <c r="D381" s="42">
        <f t="shared" ca="1" si="62"/>
        <v>2224.9236117984765</v>
      </c>
      <c r="E381" s="42">
        <f t="shared" ca="1" si="71"/>
        <v>30.361841588270025</v>
      </c>
      <c r="F381" s="42">
        <f ca="1">IF(B381&lt;=$D$16,F380*(1+$D$13)^((C381-C380)/_xlfn.DAYS(EDATE(C380,1),C380)),F380-D381)+IF(B381&lt;=$D$16,F380*Resumo!$F$12,0)+IF(B381&lt;=$D$16,$D$15*Resumo!$F$13,0)+IF(B381&lt;=$D$16,25,0)-IF(AND($D$16&gt;3,B381&lt;=$D$16),J381,0)</f>
        <v>2240.0530923588803</v>
      </c>
      <c r="G381" s="42">
        <f ca="1">IF(AND(B381&lt;&gt;"",K381&lt;&gt;$D$17,$D$16&gt;3),F381*Resumo!$F$12,IF(AND(B381&lt;&gt;"",K381&lt;&gt;$D$17,B381&gt;$D$16),F381*Resumo!$F$12,0))</f>
        <v>0.47041114939536488</v>
      </c>
      <c r="H381" s="42">
        <f>IF(AND(B381&lt;&gt;"",K381&lt;&gt;$D$17,$D$16&gt;3,$B381&lt;=$D$16),$D$15*Resumo!$F$13,IF(AND(B381&lt;&gt;"",K381&lt;&gt;$D$17,B381&gt;$D$16),$D$15*Resumo!$F$13,0))</f>
        <v>34.369999999999997</v>
      </c>
      <c r="I381" s="42">
        <f>IF(AND(B381&lt;&gt;"",K381&lt;&gt;$D$17,$D$16&gt;3,$B381&lt;=$D$16),Resumo!$F$11,IF(AND(B381&lt;&gt;"",K381&lt;&gt;$D$17,B381&gt;$D$16),Resumo!$F$11,0))</f>
        <v>25</v>
      </c>
      <c r="J381" s="42">
        <f t="shared" ca="1" si="70"/>
        <v>2315.1258645361418</v>
      </c>
      <c r="K381" s="39" t="str">
        <f>IF(B381&lt;&gt;"",VLOOKUP(MONTH(C381),Sheet2!$F$1:$G$12,2,0),"")</f>
        <v>Junho</v>
      </c>
      <c r="L381" s="200">
        <f t="shared" ca="1" si="63"/>
        <v>0</v>
      </c>
      <c r="M381" s="40">
        <f t="shared" ca="1" si="64"/>
        <v>2255.2854533867467</v>
      </c>
      <c r="N381" s="40">
        <f t="shared" ca="1" si="65"/>
        <v>2315.1258645361418</v>
      </c>
      <c r="O381" s="40"/>
      <c r="P381" s="20">
        <f t="shared" ca="1" si="66"/>
        <v>834.89136490250701</v>
      </c>
      <c r="Q381" s="1">
        <f t="shared" si="67"/>
        <v>10938</v>
      </c>
      <c r="R381" s="171">
        <f>IF(AND($J$2&gt;=DATEVALUE("03/04/2020"),$J$2&lt;=DATEVALUE("25/11/2020")),0,IF(Resumo!$C$19="PF",IF(Q381&lt;360,0.0082%*Q381,3%),IF(Q381&lt;360,0.0041%*Q381,1.5%)))</f>
        <v>1.4999999999999999E-2</v>
      </c>
      <c r="S381" s="172">
        <f t="shared" ca="1" si="68"/>
        <v>12.523370473537605</v>
      </c>
    </row>
    <row r="382" spans="2:19">
      <c r="B382" s="41">
        <f t="shared" si="69"/>
        <v>360</v>
      </c>
      <c r="C382" s="164">
        <f t="shared" si="61"/>
        <v>55715</v>
      </c>
      <c r="D382" s="42">
        <f t="shared" ca="1" si="62"/>
        <v>2240.0530923587062</v>
      </c>
      <c r="E382" s="42">
        <f t="shared" ca="1" si="71"/>
        <v>15.232361028040385</v>
      </c>
      <c r="F382" s="42">
        <f ca="1">IF(B382&lt;=$D$16,F381*(1+$D$13)^((C382-C381)/_xlfn.DAYS(EDATE(C381,1),C381)),F381-D382)+IF(B382&lt;=$D$16,F381*Resumo!$F$12,0)+IF(B382&lt;=$D$16,$D$15*Resumo!$F$13,0)+IF(B382&lt;=$D$16,25,0)-IF(AND($D$16&gt;3,B382&lt;=$D$16),J382,0)</f>
        <v>1.7416823538951576E-10</v>
      </c>
      <c r="G382" s="42">
        <f ca="1">IF(AND(B382&lt;&gt;"",K382&lt;&gt;$D$17,$D$16&gt;3),F382*Resumo!$F$12,IF(AND(B382&lt;&gt;"",K382&lt;&gt;$D$17,B382&gt;$D$16),F382*Resumo!$F$12,0))</f>
        <v>3.657532943179831E-14</v>
      </c>
      <c r="H382" s="42">
        <f>IF(AND(B382&lt;&gt;"",K382&lt;&gt;$D$17,$D$16&gt;3,$B382&lt;=$D$16),$D$15*Resumo!$F$13,IF(AND(B382&lt;&gt;"",K382&lt;&gt;$D$17,B382&gt;$D$16),$D$15*Resumo!$F$13,0))</f>
        <v>34.369999999999997</v>
      </c>
      <c r="I382" s="42">
        <f>IF(AND(B382&lt;&gt;"",K382&lt;&gt;$D$17,$D$16&gt;3,$B382&lt;=$D$16),Resumo!$F$11,IF(AND(B382&lt;&gt;"",K382&lt;&gt;$D$17,B382&gt;$D$16),Resumo!$F$11,0))</f>
        <v>25</v>
      </c>
      <c r="J382" s="42">
        <f t="shared" ca="1" si="70"/>
        <v>2314.6554533867466</v>
      </c>
      <c r="K382" s="39" t="str">
        <f>IF(B382&lt;&gt;"",VLOOKUP(MONTH(C382),Sheet2!$F$1:$G$12,2,0),"")</f>
        <v>Julho</v>
      </c>
      <c r="L382" s="200">
        <f t="shared" ca="1" si="63"/>
        <v>0</v>
      </c>
      <c r="M382" s="40">
        <f t="shared" ca="1" si="64"/>
        <v>2255.2854533867467</v>
      </c>
      <c r="N382" s="40">
        <f t="shared" ca="1" si="65"/>
        <v>2314.6554533867466</v>
      </c>
      <c r="O382" s="40"/>
      <c r="P382" s="20">
        <f t="shared" ca="1" si="66"/>
        <v>834.89136490250701</v>
      </c>
      <c r="Q382" s="1">
        <f t="shared" si="67"/>
        <v>10968</v>
      </c>
      <c r="R382" s="171">
        <f>IF(AND($J$2&gt;=DATEVALUE("03/04/2020"),$J$2&lt;=DATEVALUE("25/11/2020")),0,IF(Resumo!$C$19="PF",IF(Q382&lt;360,0.0082%*Q382,3%),IF(Q382&lt;360,0.0041%*Q382,1.5%)))</f>
        <v>1.4999999999999999E-2</v>
      </c>
      <c r="S382" s="172">
        <f t="shared" ca="1" si="68"/>
        <v>12.523370473537605</v>
      </c>
    </row>
    <row r="383" spans="2:19">
      <c r="M383" s="40"/>
    </row>
    <row r="384" spans="2:19">
      <c r="M384" s="40"/>
    </row>
    <row r="385" spans="13:13">
      <c r="M385" s="40"/>
    </row>
    <row r="386" spans="13:13">
      <c r="M386" s="40"/>
    </row>
    <row r="387" spans="13:13">
      <c r="M387" s="40"/>
    </row>
    <row r="388" spans="13:13">
      <c r="M388" s="40"/>
    </row>
    <row r="389" spans="13:13">
      <c r="M389" s="40"/>
    </row>
    <row r="390" spans="13:13">
      <c r="M390" s="40"/>
    </row>
    <row r="391" spans="13:13">
      <c r="M391" s="40"/>
    </row>
    <row r="392" spans="13:13">
      <c r="M392" s="40"/>
    </row>
    <row r="393" spans="13:13">
      <c r="M393" s="40"/>
    </row>
    <row r="394" spans="13:13">
      <c r="M394" s="40"/>
    </row>
    <row r="395" spans="13:13">
      <c r="M395" s="40"/>
    </row>
    <row r="396" spans="13:13">
      <c r="M396" s="40"/>
    </row>
    <row r="397" spans="13:13">
      <c r="M397" s="40"/>
    </row>
    <row r="398" spans="13:13">
      <c r="M398" s="40"/>
    </row>
    <row r="399" spans="13:13">
      <c r="M399" s="40"/>
    </row>
    <row r="400" spans="13:13">
      <c r="M400" s="40"/>
    </row>
    <row r="401" spans="13:13">
      <c r="M401" s="40"/>
    </row>
    <row r="402" spans="13:13">
      <c r="M402" s="40"/>
    </row>
    <row r="403" spans="13:13">
      <c r="M403" s="40"/>
    </row>
    <row r="404" spans="13:13">
      <c r="M404" s="40"/>
    </row>
    <row r="405" spans="13:13">
      <c r="M405" s="40"/>
    </row>
    <row r="406" spans="13:13">
      <c r="M406" s="40"/>
    </row>
    <row r="407" spans="13:13">
      <c r="M407" s="40"/>
    </row>
    <row r="408" spans="13:13">
      <c r="M408" s="40"/>
    </row>
    <row r="409" spans="13:13">
      <c r="M409" s="40"/>
    </row>
    <row r="410" spans="13:13">
      <c r="M410" s="40"/>
    </row>
    <row r="411" spans="13:13">
      <c r="M411" s="40"/>
    </row>
    <row r="412" spans="13:13">
      <c r="M412" s="40"/>
    </row>
    <row r="413" spans="13:13">
      <c r="M413" s="40"/>
    </row>
    <row r="414" spans="13:13">
      <c r="M414" s="40"/>
    </row>
    <row r="415" spans="13:13">
      <c r="M415" s="40"/>
    </row>
    <row r="416" spans="13:13">
      <c r="M416" s="40"/>
    </row>
    <row r="417" spans="13:13">
      <c r="M417" s="40"/>
    </row>
    <row r="418" spans="13:13">
      <c r="M418" s="40"/>
    </row>
    <row r="419" spans="13:13">
      <c r="M419" s="40"/>
    </row>
    <row r="420" spans="13:13">
      <c r="M420" s="40"/>
    </row>
    <row r="421" spans="13:13">
      <c r="M421" s="40"/>
    </row>
    <row r="422" spans="13:13">
      <c r="M422" s="40"/>
    </row>
    <row r="423" spans="13:13">
      <c r="M423" s="40"/>
    </row>
    <row r="424" spans="13:13">
      <c r="M424" s="40"/>
    </row>
    <row r="425" spans="13:13">
      <c r="M425" s="40"/>
    </row>
    <row r="426" spans="13:13">
      <c r="M426" s="40"/>
    </row>
    <row r="427" spans="13:13">
      <c r="M427" s="40"/>
    </row>
    <row r="428" spans="13:13">
      <c r="M428" s="40"/>
    </row>
    <row r="429" spans="13:13">
      <c r="M429" s="40"/>
    </row>
    <row r="430" spans="13:13">
      <c r="M430" s="40"/>
    </row>
    <row r="431" spans="13:13">
      <c r="M431" s="40"/>
    </row>
    <row r="432" spans="13:13">
      <c r="M432" s="40"/>
    </row>
    <row r="433" spans="13:13">
      <c r="M433" s="40"/>
    </row>
    <row r="434" spans="13:13">
      <c r="M434" s="40"/>
    </row>
    <row r="435" spans="13:13">
      <c r="M435" s="40"/>
    </row>
    <row r="436" spans="13:13">
      <c r="M436" s="40"/>
    </row>
    <row r="437" spans="13:13">
      <c r="M437" s="40"/>
    </row>
    <row r="438" spans="13:13">
      <c r="M438" s="40"/>
    </row>
    <row r="439" spans="13:13">
      <c r="M439" s="40"/>
    </row>
    <row r="440" spans="13:13">
      <c r="M440" s="40"/>
    </row>
    <row r="441" spans="13:13">
      <c r="M441" s="40"/>
    </row>
    <row r="442" spans="13:13">
      <c r="M442" s="40"/>
    </row>
    <row r="443" spans="13:13">
      <c r="M443" s="40"/>
    </row>
    <row r="444" spans="13:13">
      <c r="M444" s="40"/>
    </row>
  </sheetData>
  <dataConsolidate/>
  <dataValidations count="1">
    <dataValidation type="list" allowBlank="1" showInputMessage="1" showErrorMessage="1" sqref="D17" xr:uid="{82B61271-6E56-41B9-9926-6A470F2D7FBF}">
      <formula1>$Q$2</formula1>
    </dataValidation>
  </dataValidations>
  <pageMargins left="0.7" right="0.7" top="0.75" bottom="0.75" header="0.3" footer="0.3"/>
  <pageSetup paperSize="9" scale="59" orientation="portrait" horizontalDpi="4294967294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8:I62"/>
  <sheetViews>
    <sheetView showGridLines="0" topLeftCell="C1" workbookViewId="0">
      <selection activeCell="F13" sqref="F13"/>
    </sheetView>
  </sheetViews>
  <sheetFormatPr defaultColWidth="8.77734375" defaultRowHeight="14.4"/>
  <cols>
    <col min="2" max="2" width="39.44140625" bestFit="1" customWidth="1"/>
    <col min="3" max="3" width="29" style="191" customWidth="1"/>
    <col min="4" max="4" width="2.77734375" customWidth="1"/>
    <col min="5" max="5" width="27.77734375" bestFit="1" customWidth="1"/>
    <col min="6" max="6" width="13" customWidth="1"/>
    <col min="7" max="7" width="2.44140625" customWidth="1"/>
    <col min="8" max="8" width="18.21875" bestFit="1" customWidth="1"/>
    <col min="9" max="9" width="10.44140625" bestFit="1" customWidth="1"/>
  </cols>
  <sheetData>
    <row r="8" spans="2:9">
      <c r="B8" s="180" t="s">
        <v>304</v>
      </c>
      <c r="E8" s="180" t="s">
        <v>327</v>
      </c>
      <c r="H8" s="180" t="s">
        <v>357</v>
      </c>
    </row>
    <row r="9" spans="2:9">
      <c r="B9" s="178" t="s">
        <v>306</v>
      </c>
      <c r="C9" s="189" t="str">
        <f>UPPER(Resumo!C19)</f>
        <v>ROMILTON CIOLETTI</v>
      </c>
      <c r="E9" s="178" t="s">
        <v>328</v>
      </c>
      <c r="F9" s="196">
        <f ca="1">'Simulador PDF'!J22</f>
        <v>299726</v>
      </c>
      <c r="H9" s="186" t="s">
        <v>362</v>
      </c>
      <c r="I9" s="53"/>
    </row>
    <row r="10" spans="2:9">
      <c r="B10" s="178" t="s">
        <v>305</v>
      </c>
      <c r="C10" s="189"/>
      <c r="E10" s="178" t="s">
        <v>329</v>
      </c>
      <c r="F10" s="53">
        <f ca="1">'Simulador PDF'!E20</f>
        <v>360</v>
      </c>
      <c r="H10" s="178" t="s">
        <v>358</v>
      </c>
      <c r="I10" s="53"/>
    </row>
    <row r="11" spans="2:9">
      <c r="B11" s="178" t="s">
        <v>310</v>
      </c>
      <c r="C11" s="187">
        <f>Resumo!C24</f>
        <v>28811</v>
      </c>
      <c r="E11" s="178" t="s">
        <v>330</v>
      </c>
      <c r="F11" s="53">
        <f ca="1">COUNTIF('Simulador PDF'!J32:J393,"&gt;0")</f>
        <v>359</v>
      </c>
      <c r="H11" s="178" t="s">
        <v>359</v>
      </c>
      <c r="I11" s="53"/>
    </row>
    <row r="12" spans="2:9">
      <c r="B12" s="178" t="s">
        <v>312</v>
      </c>
      <c r="C12" s="189"/>
      <c r="E12" s="178" t="s">
        <v>331</v>
      </c>
      <c r="F12" s="197">
        <f>MAX('Simulador PDF'!B32:B393)</f>
        <v>55715</v>
      </c>
      <c r="H12" s="178" t="s">
        <v>361</v>
      </c>
      <c r="I12" s="53"/>
    </row>
    <row r="13" spans="2:9">
      <c r="B13" s="178" t="s">
        <v>313</v>
      </c>
      <c r="C13" s="189"/>
      <c r="E13" s="181" t="s">
        <v>332</v>
      </c>
      <c r="F13" s="197">
        <f ca="1">_xlfn.MINIFS('Simulador PDF'!B:B,'Simulador PDF'!J:J,"&gt;0")</f>
        <v>44819</v>
      </c>
      <c r="H13" s="178" t="s">
        <v>360</v>
      </c>
      <c r="I13" s="53"/>
    </row>
    <row r="14" spans="2:9">
      <c r="B14" s="178" t="s">
        <v>314</v>
      </c>
      <c r="C14" s="189"/>
      <c r="E14" s="181" t="s">
        <v>333</v>
      </c>
      <c r="F14" s="198">
        <f>(1+'Simulador PDF'!E24)^12-1</f>
        <v>8.4722085025153548E-2</v>
      </c>
      <c r="H14" s="186" t="s">
        <v>363</v>
      </c>
      <c r="I14" s="53"/>
    </row>
    <row r="15" spans="2:9">
      <c r="B15" s="178" t="s">
        <v>315</v>
      </c>
      <c r="C15" s="189"/>
      <c r="E15" s="181" t="s">
        <v>334</v>
      </c>
      <c r="F15" s="198">
        <f ca="1">EFFECT(F14,F10/12)</f>
        <v>8.8284582741063433E-2</v>
      </c>
      <c r="H15" s="178" t="s">
        <v>358</v>
      </c>
      <c r="I15" s="53"/>
    </row>
    <row r="16" spans="2:9">
      <c r="B16" s="178" t="s">
        <v>307</v>
      </c>
      <c r="E16" s="181" t="s">
        <v>13</v>
      </c>
      <c r="F16" s="196">
        <f ca="1">'Simulador PDF'!J20</f>
        <v>9450</v>
      </c>
      <c r="H16" s="178" t="s">
        <v>359</v>
      </c>
      <c r="I16" s="53"/>
    </row>
    <row r="17" spans="2:9">
      <c r="B17" s="179" t="s">
        <v>308</v>
      </c>
      <c r="C17" s="189"/>
      <c r="E17" s="181" t="s">
        <v>391</v>
      </c>
      <c r="F17" s="196">
        <v>0</v>
      </c>
      <c r="H17" s="178" t="s">
        <v>361</v>
      </c>
      <c r="I17" s="53"/>
    </row>
    <row r="18" spans="2:9">
      <c r="B18" s="179" t="s">
        <v>309</v>
      </c>
      <c r="C18" s="193"/>
      <c r="E18" s="181" t="s">
        <v>14</v>
      </c>
      <c r="F18" s="196">
        <f>'Simulador PDF'!J19</f>
        <v>0</v>
      </c>
      <c r="H18" s="178" t="s">
        <v>360</v>
      </c>
      <c r="I18" s="53"/>
    </row>
    <row r="19" spans="2:9">
      <c r="B19" s="179" t="s">
        <v>311</v>
      </c>
      <c r="C19" s="189"/>
      <c r="E19" s="181" t="s">
        <v>335</v>
      </c>
      <c r="F19" s="196">
        <f>'Simulador PDF'!J21</f>
        <v>20276</v>
      </c>
      <c r="H19" s="186" t="s">
        <v>364</v>
      </c>
      <c r="I19" s="53"/>
    </row>
    <row r="20" spans="2:9">
      <c r="E20" s="181" t="s">
        <v>336</v>
      </c>
      <c r="F20" s="53"/>
      <c r="H20" s="178" t="s">
        <v>358</v>
      </c>
      <c r="I20" s="53"/>
    </row>
    <row r="21" spans="2:9">
      <c r="E21" s="181" t="s">
        <v>337</v>
      </c>
      <c r="F21" s="196">
        <f ca="1">F9-SUM(F16:F20)</f>
        <v>270000</v>
      </c>
      <c r="H21" s="178" t="s">
        <v>359</v>
      </c>
      <c r="I21" s="53"/>
    </row>
    <row r="22" spans="2:9">
      <c r="B22" s="180" t="s">
        <v>316</v>
      </c>
      <c r="E22" s="181" t="s">
        <v>338</v>
      </c>
      <c r="F22" s="196">
        <f ca="1">MAX('Simulador PDF'!C32:C212)</f>
        <v>2900.0689269382005</v>
      </c>
      <c r="H22" s="178" t="s">
        <v>361</v>
      </c>
      <c r="I22" s="53"/>
    </row>
    <row r="23" spans="2:9">
      <c r="B23" s="178" t="s">
        <v>306</v>
      </c>
      <c r="C23" s="189" t="str">
        <f>UPPER(Resumo!C20)</f>
        <v>ANA CAROLINA RESENDE GOMES CIOLETTI</v>
      </c>
      <c r="E23" s="181" t="s">
        <v>339</v>
      </c>
      <c r="F23" s="196">
        <f ca="1">MAX('Simulador PDF'!G32:G212)</f>
        <v>63.357893155647425</v>
      </c>
      <c r="H23" s="178" t="s">
        <v>360</v>
      </c>
      <c r="I23" s="53"/>
    </row>
    <row r="24" spans="2:9">
      <c r="B24" s="178" t="s">
        <v>305</v>
      </c>
      <c r="C24" s="189"/>
      <c r="E24" s="181" t="s">
        <v>340</v>
      </c>
      <c r="F24" s="196">
        <f>MAX('Simulador PDF'!H32:H212)</f>
        <v>34.369999999999997</v>
      </c>
    </row>
    <row r="25" spans="2:9">
      <c r="B25" s="178" t="s">
        <v>310</v>
      </c>
      <c r="C25" s="187">
        <f>Resumo!C33</f>
        <v>0</v>
      </c>
      <c r="E25" s="181" t="s">
        <v>341</v>
      </c>
      <c r="F25" s="196">
        <f>MAX('Simulador PDF'!I32:I212)</f>
        <v>25</v>
      </c>
      <c r="H25" s="180" t="s">
        <v>365</v>
      </c>
    </row>
    <row r="26" spans="2:9">
      <c r="B26" s="178" t="s">
        <v>312</v>
      </c>
      <c r="C26" s="189"/>
      <c r="E26" s="181" t="s">
        <v>342</v>
      </c>
      <c r="F26" s="196">
        <f ca="1">MAX('Simulador PDF'!J32:J212)</f>
        <v>3022.7968200938481</v>
      </c>
      <c r="H26" s="178" t="s">
        <v>366</v>
      </c>
      <c r="I26" s="53">
        <f ca="1">YEAR(TODAY())</f>
        <v>2022</v>
      </c>
    </row>
    <row r="27" spans="2:9">
      <c r="B27" s="178" t="s">
        <v>313</v>
      </c>
      <c r="C27" s="189"/>
      <c r="E27" s="181" t="s">
        <v>263</v>
      </c>
      <c r="F27" s="198">
        <f ca="1">'Simulador PDF'!M28</f>
        <v>0.10713491845514733</v>
      </c>
      <c r="H27" s="181" t="s">
        <v>309</v>
      </c>
      <c r="I27" s="187" t="e">
        <v>#NAME?</v>
      </c>
    </row>
    <row r="28" spans="2:9">
      <c r="B28" s="178" t="s">
        <v>314</v>
      </c>
      <c r="C28" s="189"/>
      <c r="H28" s="181" t="s">
        <v>367</v>
      </c>
      <c r="I28" s="53">
        <f ca="1">F9</f>
        <v>299726</v>
      </c>
    </row>
    <row r="29" spans="2:9">
      <c r="B29" s="178" t="s">
        <v>315</v>
      </c>
      <c r="C29" s="189"/>
      <c r="E29" s="182" t="s">
        <v>343</v>
      </c>
      <c r="H29" s="181" t="s">
        <v>329</v>
      </c>
      <c r="I29" s="53">
        <f ca="1">F10</f>
        <v>360</v>
      </c>
    </row>
    <row r="30" spans="2:9">
      <c r="B30" s="178" t="s">
        <v>307</v>
      </c>
      <c r="E30" s="181" t="s">
        <v>344</v>
      </c>
      <c r="F30" s="53" t="str">
        <f>C9</f>
        <v>ROMILTON CIOLETTI</v>
      </c>
      <c r="H30" s="181" t="s">
        <v>347</v>
      </c>
      <c r="I30" s="53">
        <f>F35</f>
        <v>0</v>
      </c>
    </row>
    <row r="31" spans="2:9">
      <c r="B31" s="179" t="s">
        <v>308</v>
      </c>
      <c r="C31" s="189"/>
      <c r="E31" s="181" t="s">
        <v>345</v>
      </c>
      <c r="F31" s="53"/>
    </row>
    <row r="32" spans="2:9">
      <c r="B32" s="179" t="s">
        <v>309</v>
      </c>
      <c r="C32" s="189"/>
      <c r="H32" s="180" t="s">
        <v>369</v>
      </c>
    </row>
    <row r="33" spans="2:9">
      <c r="B33" s="179" t="s">
        <v>311</v>
      </c>
      <c r="C33" s="189"/>
      <c r="H33" s="188" t="s">
        <v>368</v>
      </c>
      <c r="I33" s="187" t="e">
        <v>#NAME?</v>
      </c>
    </row>
    <row r="34" spans="2:9">
      <c r="E34" s="182" t="s">
        <v>346</v>
      </c>
      <c r="H34" s="181" t="s">
        <v>370</v>
      </c>
      <c r="I34" s="53" t="e">
        <f>DAY(#REF!)</f>
        <v>#REF!</v>
      </c>
    </row>
    <row r="35" spans="2:9">
      <c r="E35" s="181" t="s">
        <v>347</v>
      </c>
      <c r="F35" s="53"/>
      <c r="H35" s="181" t="s">
        <v>358</v>
      </c>
      <c r="I35" s="189" t="e">
        <f>UPPER(VLOOKUP(MONTH(#REF!),#REF!,2,0))</f>
        <v>#REF!</v>
      </c>
    </row>
    <row r="36" spans="2:9">
      <c r="B36" s="180" t="s">
        <v>316</v>
      </c>
      <c r="E36" s="178" t="s">
        <v>348</v>
      </c>
      <c r="F36" s="53"/>
      <c r="H36" s="181" t="s">
        <v>359</v>
      </c>
      <c r="I36" s="53" t="e">
        <f>YEAR(#REF!)</f>
        <v>#REF!</v>
      </c>
    </row>
    <row r="37" spans="2:9">
      <c r="B37" s="178" t="s">
        <v>306</v>
      </c>
      <c r="C37" s="189" t="str">
        <f>Resumo!C21</f>
        <v>Casa Pleno Imoveis Ltda ME</v>
      </c>
      <c r="E37" s="178" t="s">
        <v>349</v>
      </c>
      <c r="F37" s="53"/>
    </row>
    <row r="38" spans="2:9">
      <c r="B38" s="178" t="s">
        <v>305</v>
      </c>
      <c r="C38" s="189"/>
      <c r="E38" s="178" t="s">
        <v>350</v>
      </c>
      <c r="F38" s="53"/>
      <c r="H38" s="182" t="s">
        <v>371</v>
      </c>
    </row>
    <row r="39" spans="2:9">
      <c r="B39" s="178" t="s">
        <v>310</v>
      </c>
      <c r="C39" s="187">
        <f>Resumo!C35</f>
        <v>2</v>
      </c>
      <c r="E39" s="178" t="s">
        <v>351</v>
      </c>
      <c r="F39" s="53"/>
      <c r="H39" s="181" t="s">
        <v>285</v>
      </c>
      <c r="I39" s="190">
        <f ca="1">'Simulador PDF'!$N$28</f>
        <v>3.0123239256417099E-2</v>
      </c>
    </row>
    <row r="40" spans="2:9">
      <c r="B40" s="178" t="s">
        <v>312</v>
      </c>
      <c r="C40" s="189"/>
      <c r="E40" s="178" t="s">
        <v>320</v>
      </c>
      <c r="F40" s="53"/>
    </row>
    <row r="41" spans="2:9">
      <c r="B41" s="178" t="s">
        <v>313</v>
      </c>
      <c r="C41" s="189"/>
      <c r="E41" s="178" t="s">
        <v>352</v>
      </c>
      <c r="F41" s="53"/>
      <c r="H41" s="182" t="s">
        <v>372</v>
      </c>
    </row>
    <row r="42" spans="2:9">
      <c r="B42" s="178" t="s">
        <v>314</v>
      </c>
      <c r="C42" s="189"/>
      <c r="E42" s="178" t="s">
        <v>353</v>
      </c>
      <c r="F42" s="52">
        <f>'Simulador PDF'!J24</f>
        <v>491000</v>
      </c>
      <c r="H42" s="181" t="s">
        <v>344</v>
      </c>
      <c r="I42" s="53"/>
    </row>
    <row r="43" spans="2:9">
      <c r="B43" s="178" t="s">
        <v>315</v>
      </c>
      <c r="C43" s="189"/>
      <c r="H43" s="181" t="s">
        <v>305</v>
      </c>
      <c r="I43" s="53"/>
    </row>
    <row r="44" spans="2:9">
      <c r="B44" s="178" t="s">
        <v>307</v>
      </c>
      <c r="H44" s="181" t="s">
        <v>373</v>
      </c>
      <c r="I44" s="53"/>
    </row>
    <row r="45" spans="2:9">
      <c r="B45" s="179" t="s">
        <v>308</v>
      </c>
      <c r="C45" s="189"/>
      <c r="E45" s="182" t="s">
        <v>354</v>
      </c>
      <c r="H45" s="181" t="s">
        <v>345</v>
      </c>
      <c r="I45" s="53"/>
    </row>
    <row r="46" spans="2:9">
      <c r="B46" s="179" t="s">
        <v>309</v>
      </c>
      <c r="C46" s="189"/>
      <c r="E46" s="181" t="s">
        <v>304</v>
      </c>
      <c r="F46" s="53" t="str">
        <f>C9</f>
        <v>ROMILTON CIOLETTI</v>
      </c>
      <c r="H46" s="181" t="s">
        <v>374</v>
      </c>
      <c r="I46" s="53"/>
    </row>
    <row r="47" spans="2:9">
      <c r="B47" s="179" t="s">
        <v>311</v>
      </c>
      <c r="C47" s="189"/>
      <c r="E47" s="178" t="s">
        <v>355</v>
      </c>
      <c r="F47" s="183">
        <f>Resumo!C37/Resumo!C41</f>
        <v>1</v>
      </c>
    </row>
    <row r="48" spans="2:9">
      <c r="E48" s="181" t="s">
        <v>316</v>
      </c>
      <c r="F48" s="53" t="str">
        <f>C23</f>
        <v>ANA CAROLINA RESENDE GOMES CIOLETTI</v>
      </c>
      <c r="H48" s="182" t="s">
        <v>409</v>
      </c>
    </row>
    <row r="49" spans="2:9">
      <c r="E49" s="178" t="s">
        <v>355</v>
      </c>
      <c r="F49" s="183">
        <f>Resumo!C38/Resumo!C41</f>
        <v>0</v>
      </c>
      <c r="H49" s="181" t="s">
        <v>410</v>
      </c>
      <c r="I49" s="52">
        <f>Resumo!C13*3%</f>
        <v>12000</v>
      </c>
    </row>
    <row r="50" spans="2:9">
      <c r="E50" s="181" t="s">
        <v>392</v>
      </c>
      <c r="F50" s="53" t="str">
        <f>Resumo!C21</f>
        <v>Casa Pleno Imoveis Ltda ME</v>
      </c>
      <c r="H50" s="181" t="s">
        <v>335</v>
      </c>
      <c r="I50" s="52">
        <f>Resumo!F10-Contrato!I49</f>
        <v>8276</v>
      </c>
    </row>
    <row r="51" spans="2:9">
      <c r="B51" s="182" t="s">
        <v>317</v>
      </c>
      <c r="E51" s="178" t="s">
        <v>355</v>
      </c>
      <c r="F51" s="183">
        <f>Resumo!C39/Resumo!C41</f>
        <v>0</v>
      </c>
    </row>
    <row r="52" spans="2:9">
      <c r="B52" s="181" t="s">
        <v>323</v>
      </c>
      <c r="C52" s="189"/>
    </row>
    <row r="53" spans="2:9">
      <c r="B53" s="181" t="s">
        <v>309</v>
      </c>
      <c r="C53" s="189"/>
    </row>
    <row r="54" spans="2:9">
      <c r="B54" s="181" t="s">
        <v>318</v>
      </c>
      <c r="C54" s="189"/>
      <c r="E54" s="184" t="s">
        <v>356</v>
      </c>
      <c r="F54" s="185">
        <f>F47+F49-1</f>
        <v>0</v>
      </c>
    </row>
    <row r="55" spans="2:9">
      <c r="B55" s="181" t="s">
        <v>319</v>
      </c>
      <c r="C55" s="189"/>
    </row>
    <row r="56" spans="2:9">
      <c r="B56" s="181" t="s">
        <v>320</v>
      </c>
      <c r="C56" s="189"/>
    </row>
    <row r="57" spans="2:9">
      <c r="B57" s="181" t="s">
        <v>321</v>
      </c>
      <c r="C57" s="189"/>
    </row>
    <row r="58" spans="2:9">
      <c r="B58" s="181" t="s">
        <v>322</v>
      </c>
      <c r="C58" s="189"/>
    </row>
    <row r="60" spans="2:9">
      <c r="B60" s="182" t="s">
        <v>324</v>
      </c>
    </row>
    <row r="61" spans="2:9">
      <c r="B61" s="181" t="s">
        <v>325</v>
      </c>
      <c r="C61" s="189"/>
    </row>
    <row r="62" spans="2:9">
      <c r="B62" s="181" t="s">
        <v>326</v>
      </c>
      <c r="C62" s="192"/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XFC399"/>
  <sheetViews>
    <sheetView showGridLines="0" tabSelected="1" zoomScale="85" zoomScaleNormal="85" workbookViewId="0">
      <selection activeCell="L11" sqref="L11"/>
    </sheetView>
  </sheetViews>
  <sheetFormatPr defaultColWidth="0" defaultRowHeight="22.2" customHeight="1"/>
  <cols>
    <col min="1" max="1" width="2.77734375" style="316" customWidth="1"/>
    <col min="2" max="2" width="12.21875" style="316" customWidth="1"/>
    <col min="3" max="3" width="17.21875" style="316" customWidth="1"/>
    <col min="4" max="6" width="14.77734375" style="316" customWidth="1"/>
    <col min="7" max="9" width="12.21875" style="316" customWidth="1"/>
    <col min="10" max="10" width="16.44140625" style="316" customWidth="1"/>
    <col min="11" max="13" width="14.77734375" style="316" customWidth="1"/>
    <col min="14" max="14" width="9.77734375" style="316" customWidth="1"/>
    <col min="15" max="16383" width="9.21875" style="316" hidden="1"/>
    <col min="16384" max="16384" width="0.77734375" style="316" hidden="1" customWidth="1"/>
  </cols>
  <sheetData>
    <row r="1" spans="2:10" ht="22.2" customHeight="1">
      <c r="B1" s="699"/>
      <c r="C1" s="699"/>
      <c r="G1" s="700" t="str">
        <f>Resumo!C19</f>
        <v>Romilton Cioletti</v>
      </c>
      <c r="H1" s="701"/>
      <c r="I1" s="701"/>
      <c r="J1" s="701"/>
    </row>
    <row r="2" spans="2:10" ht="28.2" customHeight="1">
      <c r="B2" s="699"/>
      <c r="C2" s="699"/>
      <c r="G2" s="702" t="s">
        <v>770</v>
      </c>
      <c r="H2" s="702"/>
      <c r="I2" s="702"/>
      <c r="J2" s="702"/>
    </row>
    <row r="3" spans="2:10" ht="22.2" customHeight="1">
      <c r="G3" s="345"/>
      <c r="H3" s="345"/>
      <c r="I3" s="345"/>
      <c r="J3" s="345"/>
    </row>
    <row r="4" spans="2:10" ht="22.2" customHeight="1">
      <c r="B4" s="346"/>
      <c r="C4" s="346"/>
      <c r="D4" s="346"/>
      <c r="E4" s="346"/>
      <c r="F4" s="346"/>
      <c r="G4" s="347"/>
      <c r="H4" s="347"/>
      <c r="I4" s="347"/>
      <c r="J4" s="347"/>
    </row>
    <row r="5" spans="2:10" ht="30" customHeight="1">
      <c r="B5" s="346"/>
      <c r="C5" s="348" t="s">
        <v>570</v>
      </c>
      <c r="D5" s="349"/>
      <c r="E5" s="349"/>
      <c r="F5" s="349"/>
      <c r="G5" s="349"/>
      <c r="H5" s="349"/>
      <c r="I5" s="349"/>
      <c r="J5" s="349"/>
    </row>
    <row r="6" spans="2:10" ht="22.2" customHeight="1">
      <c r="B6" s="346"/>
      <c r="C6" s="349"/>
      <c r="D6" s="349"/>
      <c r="E6" s="349"/>
      <c r="F6" s="349"/>
      <c r="G6" s="349"/>
      <c r="H6" s="349"/>
      <c r="I6" s="349"/>
      <c r="J6" s="349"/>
    </row>
    <row r="7" spans="2:10" ht="22.2" customHeight="1">
      <c r="B7" s="346"/>
      <c r="C7" s="350" t="s">
        <v>571</v>
      </c>
      <c r="D7" s="349"/>
      <c r="E7" s="349"/>
      <c r="F7" s="349"/>
      <c r="G7" s="349"/>
      <c r="H7" s="349"/>
      <c r="I7" s="349"/>
      <c r="J7" s="349"/>
    </row>
    <row r="8" spans="2:10" ht="22.2" customHeight="1">
      <c r="B8" s="346"/>
      <c r="C8" s="350" t="s">
        <v>572</v>
      </c>
      <c r="D8" s="349"/>
      <c r="E8" s="349"/>
      <c r="F8" s="349"/>
      <c r="G8" s="349"/>
      <c r="H8" s="349"/>
      <c r="I8" s="349"/>
      <c r="J8" s="349"/>
    </row>
    <row r="9" spans="2:10" ht="22.2" customHeight="1">
      <c r="B9" s="351"/>
      <c r="C9" s="349"/>
      <c r="D9" s="349"/>
      <c r="E9" s="349"/>
      <c r="F9" s="349"/>
      <c r="G9" s="349"/>
      <c r="H9" s="349"/>
      <c r="I9" s="349"/>
      <c r="J9" s="349"/>
    </row>
    <row r="10" spans="2:10" ht="22.2" customHeight="1">
      <c r="B10" s="351"/>
      <c r="C10" s="355">
        <f ca="1">J22</f>
        <v>299726</v>
      </c>
      <c r="D10" s="349"/>
      <c r="E10" s="352">
        <f>E24</f>
        <v>6.7999999999999996E-3</v>
      </c>
      <c r="F10" s="346"/>
      <c r="G10" s="356">
        <f ca="1">E20</f>
        <v>360</v>
      </c>
      <c r="H10" s="352"/>
      <c r="I10" s="346"/>
      <c r="J10" s="349"/>
    </row>
    <row r="11" spans="2:10" ht="22.2" customHeight="1">
      <c r="B11" s="351"/>
      <c r="C11" s="349" t="s">
        <v>573</v>
      </c>
      <c r="D11" s="349"/>
      <c r="E11" s="349" t="s">
        <v>574</v>
      </c>
      <c r="F11" s="346"/>
      <c r="G11" s="349" t="s">
        <v>575</v>
      </c>
      <c r="H11" s="346"/>
      <c r="I11" s="346"/>
      <c r="J11" s="349"/>
    </row>
    <row r="12" spans="2:10" ht="22.2" customHeight="1">
      <c r="B12" s="351"/>
      <c r="C12" s="349"/>
      <c r="D12" s="349"/>
      <c r="E12" s="349"/>
      <c r="F12" s="349"/>
      <c r="G12" s="349"/>
      <c r="H12" s="349"/>
      <c r="I12" s="349"/>
      <c r="J12" s="349"/>
    </row>
    <row r="13" spans="2:10" ht="22.2" customHeight="1">
      <c r="B13" s="351"/>
      <c r="C13" s="354" t="str">
        <f>E18</f>
        <v>SAC</v>
      </c>
      <c r="D13" s="349"/>
      <c r="E13" s="352">
        <f ca="1">E25</f>
        <v>0.10713491845514733</v>
      </c>
      <c r="F13" s="346"/>
      <c r="G13" s="353" t="str">
        <f>E22</f>
        <v>Nenhum</v>
      </c>
      <c r="H13" s="346"/>
      <c r="I13" s="346"/>
      <c r="J13" s="349"/>
    </row>
    <row r="14" spans="2:10" ht="22.2" customHeight="1">
      <c r="B14" s="351"/>
      <c r="C14" s="349" t="s">
        <v>280</v>
      </c>
      <c r="D14" s="349"/>
      <c r="E14" s="349" t="s">
        <v>576</v>
      </c>
      <c r="F14" s="346"/>
      <c r="G14" s="349" t="s">
        <v>577</v>
      </c>
      <c r="H14" s="346"/>
      <c r="I14" s="346"/>
      <c r="J14" s="349"/>
    </row>
    <row r="15" spans="2:10" ht="22.2" customHeight="1">
      <c r="B15" s="351"/>
      <c r="C15" s="349"/>
      <c r="D15" s="349"/>
      <c r="E15" s="349"/>
      <c r="F15" s="346"/>
      <c r="G15" s="349"/>
      <c r="H15" s="349"/>
      <c r="I15" s="346"/>
      <c r="J15" s="349"/>
    </row>
    <row r="16" spans="2:10" ht="40.200000000000003" customHeight="1"/>
    <row r="17" spans="2:14" ht="22.2" customHeight="1">
      <c r="B17" s="317" t="s">
        <v>287</v>
      </c>
      <c r="C17" s="318"/>
      <c r="D17" s="357"/>
      <c r="E17" s="319"/>
      <c r="G17" s="317" t="s">
        <v>282</v>
      </c>
      <c r="H17" s="318"/>
      <c r="I17" s="357"/>
      <c r="J17" s="318"/>
    </row>
    <row r="18" spans="2:14" ht="22.2" customHeight="1">
      <c r="B18" s="320" t="s">
        <v>280</v>
      </c>
      <c r="C18" s="320"/>
      <c r="E18" s="358" t="str">
        <f>Resumo!C6</f>
        <v>SAC</v>
      </c>
      <c r="G18" s="322" t="s">
        <v>1</v>
      </c>
      <c r="H18" s="323"/>
      <c r="J18" s="324">
        <v>0.75639999999999996</v>
      </c>
    </row>
    <row r="19" spans="2:14" ht="22.2" customHeight="1">
      <c r="B19" s="320" t="s">
        <v>140</v>
      </c>
      <c r="C19" s="320"/>
      <c r="E19" s="358" t="str">
        <f>Resumo!F16</f>
        <v>IPCA</v>
      </c>
      <c r="G19" s="322" t="s">
        <v>14</v>
      </c>
      <c r="H19" s="323"/>
      <c r="J19" s="325">
        <f>IF(E18="SAC",Sim_SAC!D8,Sim_PRICE!D8)</f>
        <v>0</v>
      </c>
    </row>
    <row r="20" spans="2:14" ht="22.2" customHeight="1">
      <c r="B20" s="320" t="s">
        <v>295</v>
      </c>
      <c r="C20" s="320"/>
      <c r="E20" s="359">
        <f ca="1">Resumo!F14</f>
        <v>360</v>
      </c>
      <c r="G20" s="322" t="s">
        <v>391</v>
      </c>
      <c r="H20" s="323"/>
      <c r="J20" s="325">
        <f ca="1">IF(E18="SAC",Sim_SAC!D9,Sim_PRICE!D9)</f>
        <v>9450</v>
      </c>
    </row>
    <row r="21" spans="2:14" ht="22.2" customHeight="1">
      <c r="B21" s="320" t="s">
        <v>289</v>
      </c>
      <c r="C21" s="320"/>
      <c r="E21" s="360">
        <f>Resumo!C10</f>
        <v>1</v>
      </c>
      <c r="G21" s="322" t="s">
        <v>407</v>
      </c>
      <c r="H21" s="323"/>
      <c r="J21" s="325">
        <f>IF(E18="SAC",Sim_SAC!D10,Sim_PRICE!D10)</f>
        <v>20276</v>
      </c>
    </row>
    <row r="22" spans="2:14" ht="22.2" customHeight="1">
      <c r="B22" s="320" t="s">
        <v>297</v>
      </c>
      <c r="C22" s="320"/>
      <c r="E22" s="361" t="str">
        <f>IF(E18="SAC",Sim_SAC!D17,Sim_PRICE!D17)</f>
        <v>Nenhum</v>
      </c>
      <c r="G22" s="363" t="s">
        <v>296</v>
      </c>
      <c r="H22" s="364"/>
      <c r="I22" s="346"/>
      <c r="J22" s="365">
        <f ca="1">SUM(J23+J20+J19+J21)</f>
        <v>299726</v>
      </c>
    </row>
    <row r="23" spans="2:14" ht="22.2" customHeight="1">
      <c r="B23" s="320" t="s">
        <v>298</v>
      </c>
      <c r="C23" s="320"/>
      <c r="E23" s="359">
        <f>IF(E18="SAC",Sim_SAC!K3,Sim_PRICE!J3)</f>
        <v>15</v>
      </c>
      <c r="G23" s="363" t="s">
        <v>73</v>
      </c>
      <c r="H23" s="364"/>
      <c r="I23" s="346"/>
      <c r="J23" s="365">
        <f ca="1">IF(E18="SAC",Sim_SAC!D11,Sim_PRICE!D11)</f>
        <v>270000</v>
      </c>
    </row>
    <row r="24" spans="2:14" ht="22.2" customHeight="1">
      <c r="B24" s="320" t="s">
        <v>286</v>
      </c>
      <c r="C24" s="320"/>
      <c r="E24" s="362">
        <f>Resumo!C44</f>
        <v>6.7999999999999996E-3</v>
      </c>
      <c r="G24" s="363" t="s">
        <v>281</v>
      </c>
      <c r="H24" s="364"/>
      <c r="I24" s="346"/>
      <c r="J24" s="321">
        <f>Resumo!C12</f>
        <v>491000</v>
      </c>
    </row>
    <row r="25" spans="2:14" ht="22.2" customHeight="1">
      <c r="B25" s="320" t="s">
        <v>416</v>
      </c>
      <c r="C25" s="320"/>
      <c r="E25" s="362">
        <f ca="1">M28</f>
        <v>0.10713491845514733</v>
      </c>
      <c r="G25" s="363" t="s">
        <v>139</v>
      </c>
      <c r="H25" s="364"/>
      <c r="I25" s="346"/>
      <c r="J25" s="365">
        <f ca="1">MAX(J32:J212)</f>
        <v>3022.7968200938481</v>
      </c>
    </row>
    <row r="26" spans="2:14" ht="22.2" customHeight="1">
      <c r="D26" s="320"/>
      <c r="E26" s="320"/>
      <c r="F26" s="320"/>
    </row>
    <row r="27" spans="2:14" ht="22.2" customHeight="1">
      <c r="B27" s="366"/>
      <c r="D27" s="320"/>
      <c r="E27" s="320"/>
      <c r="F27" s="320"/>
    </row>
    <row r="28" spans="2:14" ht="12" customHeight="1">
      <c r="C28" s="326"/>
      <c r="D28" s="326"/>
      <c r="E28" s="326"/>
      <c r="F28" s="327"/>
      <c r="G28" s="328"/>
      <c r="H28" s="329"/>
      <c r="L28" s="330"/>
      <c r="M28" s="331">
        <f ca="1">((IRR(M32:M393,0.001)+1)^12)-1</f>
        <v>0.10713491845514733</v>
      </c>
      <c r="N28" s="330">
        <f ca="1">SUM(N33:N320)/J22</f>
        <v>3.0123239256417099E-2</v>
      </c>
    </row>
    <row r="29" spans="2:14" ht="4.2" customHeight="1">
      <c r="B29" s="342"/>
      <c r="C29" s="343"/>
      <c r="D29" s="343"/>
      <c r="E29" s="343"/>
      <c r="F29" s="343"/>
      <c r="G29" s="343"/>
      <c r="H29" s="343"/>
      <c r="I29" s="343"/>
      <c r="J29" s="343"/>
    </row>
    <row r="30" spans="2:14" ht="4.2" customHeight="1" thickBot="1"/>
    <row r="31" spans="2:14" ht="46.2" customHeight="1" thickBot="1">
      <c r="B31" s="313" t="s">
        <v>291</v>
      </c>
      <c r="C31" s="314" t="s">
        <v>283</v>
      </c>
      <c r="D31" s="314" t="s">
        <v>76</v>
      </c>
      <c r="E31" s="314" t="s">
        <v>77</v>
      </c>
      <c r="F31" s="314" t="s">
        <v>78</v>
      </c>
      <c r="G31" s="314" t="s">
        <v>17</v>
      </c>
      <c r="H31" s="314" t="s">
        <v>18</v>
      </c>
      <c r="I31" s="314" t="s">
        <v>284</v>
      </c>
      <c r="J31" s="315" t="s">
        <v>80</v>
      </c>
      <c r="M31" s="344" t="s">
        <v>263</v>
      </c>
      <c r="N31" s="344" t="s">
        <v>285</v>
      </c>
    </row>
    <row r="32" spans="2:14" ht="22.2" customHeight="1" thickTop="1" thickBot="1">
      <c r="B32" s="332">
        <f>Sim_SAC!C21</f>
        <v>44747</v>
      </c>
      <c r="C32" s="333">
        <f>D32+E32</f>
        <v>0</v>
      </c>
      <c r="D32" s="333">
        <f>IF($E$18="SAC",Sim_SAC!D21,Sim_PRICE!D21)</f>
        <v>0</v>
      </c>
      <c r="E32" s="333">
        <f>IF($E$18="SAC",Sim_SAC!E21,Sim_PRICE!E21)</f>
        <v>0</v>
      </c>
      <c r="F32" s="333">
        <f ca="1">IF($E$18="SAC",Sim_SAC!G21,Sim_PRICE!F21)</f>
        <v>299726</v>
      </c>
      <c r="G32" s="333">
        <f>IF($E$18="SAC",Sim_SAC!H21,Sim_PRICE!G21)</f>
        <v>0</v>
      </c>
      <c r="H32" s="333">
        <f>IF($E$18="SAC",Sim_SAC!I21,Sim_PRICE!H21)</f>
        <v>0</v>
      </c>
      <c r="I32" s="333">
        <f>IF($E$18="SAC",Sim_SAC!J21,Sim_PRICE!I21)</f>
        <v>0</v>
      </c>
      <c r="J32" s="333">
        <f>IF($E$18="SAC",Sim_SAC!K21,Sim_PRICE!J21)</f>
        <v>0</v>
      </c>
      <c r="K32" s="334"/>
      <c r="M32" s="335">
        <f ca="1">-J23</f>
        <v>-270000</v>
      </c>
      <c r="N32" s="336">
        <v>0</v>
      </c>
    </row>
    <row r="33" spans="2:14" ht="22.2" customHeight="1" thickTop="1" thickBot="1">
      <c r="B33" s="337">
        <f>Sim_SAC!C22</f>
        <v>44757</v>
      </c>
      <c r="C33" s="338">
        <f t="shared" ref="C33:C96" si="0">D33+E33</f>
        <v>0</v>
      </c>
      <c r="D33" s="338">
        <f>IF($E$18="SAC",Sim_SAC!D22,Sim_PRICE!D22)</f>
        <v>0</v>
      </c>
      <c r="E33" s="338">
        <f>IF($E$18="SAC",Sim_SAC!E22,Sim_PRICE!E22)</f>
        <v>0</v>
      </c>
      <c r="F33" s="338">
        <f ca="1">IF($E$18="SAC",Sim_SAC!G22,Sim_PRICE!F22)</f>
        <v>300381.95492847898</v>
      </c>
      <c r="G33" s="338">
        <f>IF($E$18="SAC",Sim_SAC!H22,Sim_PRICE!G22)</f>
        <v>0</v>
      </c>
      <c r="H33" s="338">
        <f>IF($E$18="SAC",Sim_SAC!I22,Sim_PRICE!H22)</f>
        <v>0</v>
      </c>
      <c r="I33" s="338">
        <f>IF($E$18="SAC",Sim_SAC!J22,Sim_PRICE!I22)</f>
        <v>0</v>
      </c>
      <c r="J33" s="338">
        <f>IF($E$18="SAC",Sim_SAC!K22,Sim_PRICE!J22)</f>
        <v>0</v>
      </c>
      <c r="K33" s="334"/>
      <c r="M33" s="335" t="str">
        <f>IF(J33=0,"",J33)</f>
        <v/>
      </c>
      <c r="N33" s="336">
        <f t="shared" ref="N33:N96" si="1">IFERROR((G33+H33)/((1.008)^(12*(B33-$B$32)/365)),"")</f>
        <v>0</v>
      </c>
    </row>
    <row r="34" spans="2:14" ht="22.2" customHeight="1" thickTop="1" thickBot="1">
      <c r="B34" s="332">
        <f>Sim_SAC!C23</f>
        <v>44788</v>
      </c>
      <c r="C34" s="333">
        <f t="shared" si="0"/>
        <v>0</v>
      </c>
      <c r="D34" s="333">
        <f>IF($E$18="SAC",Sim_SAC!D23,Sim_PRICE!D23)</f>
        <v>0</v>
      </c>
      <c r="E34" s="333">
        <f>IF($E$18="SAC",Sim_SAC!E23,Sim_PRICE!E23)</f>
        <v>0</v>
      </c>
      <c r="F34" s="333">
        <f ca="1">IF($E$18="SAC",Sim_SAC!G23,Sim_PRICE!F23)</f>
        <v>302547.0024325276</v>
      </c>
      <c r="G34" s="333">
        <f>IF($E$18="SAC",Sim_SAC!H23,Sim_PRICE!G23)</f>
        <v>0</v>
      </c>
      <c r="H34" s="333">
        <f>IF($E$18="SAC",Sim_SAC!I23,Sim_PRICE!H23)</f>
        <v>0</v>
      </c>
      <c r="I34" s="333">
        <f>IF($E$18="SAC",Sim_SAC!J23,Sim_PRICE!I23)</f>
        <v>0</v>
      </c>
      <c r="J34" s="333">
        <f>IF($E$18="SAC",Sim_SAC!K23,Sim_PRICE!J23)</f>
        <v>0</v>
      </c>
      <c r="L34" s="335"/>
      <c r="M34" s="335">
        <f>J34</f>
        <v>0</v>
      </c>
      <c r="N34" s="336">
        <f t="shared" si="1"/>
        <v>0</v>
      </c>
    </row>
    <row r="35" spans="2:14" ht="22.2" customHeight="1" thickTop="1" thickBot="1">
      <c r="B35" s="337">
        <f>Sim_SAC!C24</f>
        <v>44819</v>
      </c>
      <c r="C35" s="338">
        <f t="shared" ca="1" si="0"/>
        <v>2900.0689269382005</v>
      </c>
      <c r="D35" s="338">
        <f ca="1">IF($E$18="SAC",Sim_SAC!D24,Sim_PRICE!D24)</f>
        <v>842.74931039701278</v>
      </c>
      <c r="E35" s="338">
        <f ca="1">IF($E$18="SAC",Sim_SAC!E24,Sim_PRICE!E24)</f>
        <v>2057.3196165411878</v>
      </c>
      <c r="F35" s="338">
        <f ca="1">IF($E$18="SAC",Sim_SAC!G24,Sim_PRICE!F24)</f>
        <v>301704.25312213058</v>
      </c>
      <c r="G35" s="338">
        <f ca="1">IF($E$18="SAC",Sim_SAC!H24,Sim_PRICE!G24)</f>
        <v>63.357893155647425</v>
      </c>
      <c r="H35" s="338">
        <f>IF($E$18="SAC",Sim_SAC!I24,Sim_PRICE!H24)</f>
        <v>34.369999999999997</v>
      </c>
      <c r="I35" s="338">
        <f>IF($E$18="SAC",Sim_SAC!J24,Sim_PRICE!I24)</f>
        <v>25</v>
      </c>
      <c r="J35" s="338">
        <f ca="1">IF($E$18="SAC",Sim_SAC!K24,Sim_PRICE!J24)</f>
        <v>3022.7968200938481</v>
      </c>
      <c r="L35" s="335"/>
      <c r="M35" s="335">
        <f t="shared" ref="M35:M96" ca="1" si="2">J35</f>
        <v>3022.7968200938481</v>
      </c>
      <c r="N35" s="336">
        <f t="shared" ca="1" si="1"/>
        <v>95.901859949299521</v>
      </c>
    </row>
    <row r="36" spans="2:14" ht="22.2" customHeight="1" thickTop="1" thickBot="1">
      <c r="B36" s="332">
        <f>Sim_SAC!C25</f>
        <v>44849</v>
      </c>
      <c r="C36" s="333">
        <f t="shared" ca="1" si="0"/>
        <v>2894.3382316275006</v>
      </c>
      <c r="D36" s="333">
        <f ca="1">IF($E$18="SAC",Sim_SAC!D25,Sim_PRICE!D25)</f>
        <v>842.74931039701278</v>
      </c>
      <c r="E36" s="333">
        <f ca="1">IF($E$18="SAC",Sim_SAC!E25,Sim_PRICE!E25)</f>
        <v>2051.5889212304878</v>
      </c>
      <c r="F36" s="333">
        <f ca="1">IF($E$18="SAC",Sim_SAC!G25,Sim_PRICE!F25)</f>
        <v>300861.50381173356</v>
      </c>
      <c r="G36" s="333">
        <f ca="1">IF($E$18="SAC",Sim_SAC!H25,Sim_PRICE!G25)</f>
        <v>63.180915800464049</v>
      </c>
      <c r="H36" s="333">
        <f>IF($E$18="SAC",Sim_SAC!I25,Sim_PRICE!H25)</f>
        <v>34.369999999999997</v>
      </c>
      <c r="I36" s="333">
        <f>IF($E$18="SAC",Sim_SAC!J25,Sim_PRICE!I25)</f>
        <v>25</v>
      </c>
      <c r="J36" s="333">
        <f ca="1">IF($E$18="SAC",Sim_SAC!K25,Sim_PRICE!J25)</f>
        <v>3016.8891474279644</v>
      </c>
      <c r="L36" s="335"/>
      <c r="M36" s="335">
        <f t="shared" ca="1" si="2"/>
        <v>3016.8891474279644</v>
      </c>
      <c r="N36" s="336">
        <f t="shared" ca="1" si="1"/>
        <v>94.978808515478477</v>
      </c>
    </row>
    <row r="37" spans="2:14" ht="22.2" customHeight="1" thickTop="1" thickBot="1">
      <c r="B37" s="337">
        <f>Sim_SAC!C26</f>
        <v>44880</v>
      </c>
      <c r="C37" s="338">
        <f t="shared" ca="1" si="0"/>
        <v>2888.6075363168011</v>
      </c>
      <c r="D37" s="338">
        <f ca="1">IF($E$18="SAC",Sim_SAC!D26,Sim_PRICE!D26)</f>
        <v>842.74931039701278</v>
      </c>
      <c r="E37" s="338">
        <f ca="1">IF($E$18="SAC",Sim_SAC!E26,Sim_PRICE!E26)</f>
        <v>2045.8582259197881</v>
      </c>
      <c r="F37" s="338">
        <f ca="1">IF($E$18="SAC",Sim_SAC!G26,Sim_PRICE!F26)</f>
        <v>300018.75450133655</v>
      </c>
      <c r="G37" s="338">
        <f ca="1">IF($E$18="SAC",Sim_SAC!H26,Sim_PRICE!G26)</f>
        <v>63.003938445280674</v>
      </c>
      <c r="H37" s="338">
        <f>IF($E$18="SAC",Sim_SAC!I26,Sim_PRICE!H26)</f>
        <v>34.369999999999997</v>
      </c>
      <c r="I37" s="338">
        <f>IF($E$18="SAC",Sim_SAC!J26,Sim_PRICE!I26)</f>
        <v>25</v>
      </c>
      <c r="J37" s="338">
        <f ca="1">IF($E$18="SAC",Sim_SAC!K26,Sim_PRICE!J26)</f>
        <v>3010.9814747620817</v>
      </c>
      <c r="L37" s="335"/>
      <c r="M37" s="335">
        <f t="shared" ca="1" si="2"/>
        <v>3010.9814747620817</v>
      </c>
      <c r="N37" s="336">
        <f t="shared" ca="1" si="1"/>
        <v>94.039693270585374</v>
      </c>
    </row>
    <row r="38" spans="2:14" ht="22.2" customHeight="1" thickTop="1" thickBot="1">
      <c r="B38" s="332">
        <f>Sim_SAC!C27</f>
        <v>44910</v>
      </c>
      <c r="C38" s="333">
        <f t="shared" ca="1" si="0"/>
        <v>2882.8768410061011</v>
      </c>
      <c r="D38" s="333">
        <f ca="1">IF($E$18="SAC",Sim_SAC!D27,Sim_PRICE!D27)</f>
        <v>842.74931039701278</v>
      </c>
      <c r="E38" s="333">
        <f ca="1">IF($E$18="SAC",Sim_SAC!E27,Sim_PRICE!E27)</f>
        <v>2040.1275306090884</v>
      </c>
      <c r="F38" s="333">
        <f ca="1">IF($E$18="SAC",Sim_SAC!G27,Sim_PRICE!F27)</f>
        <v>299176.00519093953</v>
      </c>
      <c r="G38" s="333">
        <f ca="1">IF($E$18="SAC",Sim_SAC!H27,Sim_PRICE!G27)</f>
        <v>62.826961090097306</v>
      </c>
      <c r="H38" s="333">
        <f>IF($E$18="SAC",Sim_SAC!I27,Sim_PRICE!H27)</f>
        <v>34.369999999999997</v>
      </c>
      <c r="I38" s="333">
        <f>IF($E$18="SAC",Sim_SAC!J27,Sim_PRICE!I27)</f>
        <v>25</v>
      </c>
      <c r="J38" s="333">
        <f ca="1">IF($E$18="SAC",Sim_SAC!K27,Sim_PRICE!J27)</f>
        <v>3005.0738020961985</v>
      </c>
      <c r="L38" s="335"/>
      <c r="M38" s="335">
        <f t="shared" ca="1" si="2"/>
        <v>3005.0738020961985</v>
      </c>
      <c r="N38" s="336">
        <f t="shared" ca="1" si="1"/>
        <v>93.133950924759105</v>
      </c>
    </row>
    <row r="39" spans="2:14" ht="22.2" customHeight="1" thickTop="1" thickBot="1">
      <c r="B39" s="337">
        <f>Sim_SAC!C28</f>
        <v>44941</v>
      </c>
      <c r="C39" s="338">
        <f t="shared" ca="1" si="0"/>
        <v>2877.1461456954012</v>
      </c>
      <c r="D39" s="338">
        <f ca="1">IF($E$18="SAC",Sim_SAC!D28,Sim_PRICE!D28)</f>
        <v>842.74931039701278</v>
      </c>
      <c r="E39" s="338">
        <f ca="1">IF($E$18="SAC",Sim_SAC!E28,Sim_PRICE!E28)</f>
        <v>2034.3968352983886</v>
      </c>
      <c r="F39" s="338">
        <f ca="1">IF($E$18="SAC",Sim_SAC!G28,Sim_PRICE!F28)</f>
        <v>298333.25588054251</v>
      </c>
      <c r="G39" s="338">
        <f ca="1">IF($E$18="SAC",Sim_SAC!H28,Sim_PRICE!G28)</f>
        <v>62.649983734913931</v>
      </c>
      <c r="H39" s="338">
        <f>IF($E$18="SAC",Sim_SAC!I28,Sim_PRICE!H28)</f>
        <v>34.369999999999997</v>
      </c>
      <c r="I39" s="338">
        <f>IF($E$18="SAC",Sim_SAC!J28,Sim_PRICE!I28)</f>
        <v>25</v>
      </c>
      <c r="J39" s="338">
        <f ca="1">IF($E$18="SAC",Sim_SAC!K28,Sim_PRICE!J28)</f>
        <v>2999.1661294303149</v>
      </c>
      <c r="L39" s="335"/>
      <c r="M39" s="335">
        <f t="shared" ca="1" si="2"/>
        <v>2999.1661294303149</v>
      </c>
      <c r="N39" s="336">
        <f t="shared" ca="1" si="1"/>
        <v>92.212466620869861</v>
      </c>
    </row>
    <row r="40" spans="2:14" ht="22.2" customHeight="1" thickTop="1" thickBot="1">
      <c r="B40" s="332">
        <f>Sim_SAC!C29</f>
        <v>44972</v>
      </c>
      <c r="C40" s="333">
        <f t="shared" ca="1" si="0"/>
        <v>2871.4154503847017</v>
      </c>
      <c r="D40" s="333">
        <f ca="1">IF($E$18="SAC",Sim_SAC!D29,Sim_PRICE!D29)</f>
        <v>842.74931039701278</v>
      </c>
      <c r="E40" s="333">
        <f ca="1">IF($E$18="SAC",Sim_SAC!E29,Sim_PRICE!E29)</f>
        <v>2028.6661399876889</v>
      </c>
      <c r="F40" s="333">
        <f ca="1">IF($E$18="SAC",Sim_SAC!G29,Sim_PRICE!F29)</f>
        <v>297490.50657014549</v>
      </c>
      <c r="G40" s="333">
        <f ca="1">IF($E$18="SAC",Sim_SAC!H29,Sim_PRICE!G29)</f>
        <v>62.473006379730556</v>
      </c>
      <c r="H40" s="333">
        <f>IF($E$18="SAC",Sim_SAC!I29,Sim_PRICE!H29)</f>
        <v>34.369999999999997</v>
      </c>
      <c r="I40" s="333">
        <f>IF($E$18="SAC",Sim_SAC!J29,Sim_PRICE!I29)</f>
        <v>25</v>
      </c>
      <c r="J40" s="333">
        <f ca="1">IF($E$18="SAC",Sim_SAC!K29,Sim_PRICE!J29)</f>
        <v>2993.2584567644321</v>
      </c>
      <c r="L40" s="335"/>
      <c r="M40" s="335">
        <f t="shared" ca="1" si="2"/>
        <v>2993.2584567644321</v>
      </c>
      <c r="N40" s="336">
        <f t="shared" ca="1" si="1"/>
        <v>91.29979585327608</v>
      </c>
    </row>
    <row r="41" spans="2:14" ht="22.2" customHeight="1" thickTop="1" thickBot="1">
      <c r="B41" s="337">
        <f>Sim_SAC!C30</f>
        <v>45000</v>
      </c>
      <c r="C41" s="338">
        <f t="shared" ca="1" si="0"/>
        <v>2865.6847550740022</v>
      </c>
      <c r="D41" s="338">
        <f ca="1">IF($E$18="SAC",Sim_SAC!D30,Sim_PRICE!D30)</f>
        <v>842.74931039701278</v>
      </c>
      <c r="E41" s="338">
        <f ca="1">IF($E$18="SAC",Sim_SAC!E30,Sim_PRICE!E30)</f>
        <v>2022.9354446769892</v>
      </c>
      <c r="F41" s="338">
        <f ca="1">IF($E$18="SAC",Sim_SAC!G30,Sim_PRICE!F30)</f>
        <v>296647.75725974847</v>
      </c>
      <c r="G41" s="338">
        <f ca="1">IF($E$18="SAC",Sim_SAC!H30,Sim_PRICE!G30)</f>
        <v>62.296029024547181</v>
      </c>
      <c r="H41" s="338">
        <f>IF($E$18="SAC",Sim_SAC!I30,Sim_PRICE!H30)</f>
        <v>34.369999999999997</v>
      </c>
      <c r="I41" s="338">
        <f>IF($E$18="SAC",Sim_SAC!J30,Sim_PRICE!I30)</f>
        <v>25</v>
      </c>
      <c r="J41" s="338">
        <f ca="1">IF($E$18="SAC",Sim_SAC!K30,Sim_PRICE!J30)</f>
        <v>2987.3507840985494</v>
      </c>
      <c r="L41" s="335"/>
      <c r="M41" s="335">
        <f t="shared" ca="1" si="2"/>
        <v>2987.3507840985494</v>
      </c>
      <c r="N41" s="336">
        <f t="shared" ca="1" si="1"/>
        <v>90.466926510871147</v>
      </c>
    </row>
    <row r="42" spans="2:14" ht="22.2" customHeight="1" thickTop="1" thickBot="1">
      <c r="B42" s="332">
        <f>Sim_SAC!C31</f>
        <v>45031</v>
      </c>
      <c r="C42" s="333">
        <f t="shared" ca="1" si="0"/>
        <v>2859.9540597633022</v>
      </c>
      <c r="D42" s="333">
        <f ca="1">IF($E$18="SAC",Sim_SAC!D31,Sim_PRICE!D31)</f>
        <v>842.74931039701278</v>
      </c>
      <c r="E42" s="333">
        <f ca="1">IF($E$18="SAC",Sim_SAC!E31,Sim_PRICE!E31)</f>
        <v>2017.2047493662894</v>
      </c>
      <c r="F42" s="333">
        <f ca="1">IF($E$18="SAC",Sim_SAC!G31,Sim_PRICE!F31)</f>
        <v>295805.00794935145</v>
      </c>
      <c r="G42" s="333">
        <f ca="1">IF($E$18="SAC",Sim_SAC!H31,Sim_PRICE!G31)</f>
        <v>62.119051669363806</v>
      </c>
      <c r="H42" s="333">
        <f>IF($E$18="SAC",Sim_SAC!I31,Sim_PRICE!H31)</f>
        <v>34.369999999999997</v>
      </c>
      <c r="I42" s="333">
        <f>IF($E$18="SAC",Sim_SAC!J31,Sim_PRICE!I31)</f>
        <v>25</v>
      </c>
      <c r="J42" s="333">
        <f ca="1">IF($E$18="SAC",Sim_SAC!K31,Sim_PRICE!J31)</f>
        <v>2981.4431114326658</v>
      </c>
      <c r="L42" s="335"/>
      <c r="M42" s="335">
        <f t="shared" ca="1" si="2"/>
        <v>2981.4431114326658</v>
      </c>
      <c r="N42" s="336">
        <f t="shared" ca="1" si="1"/>
        <v>89.57093281877637</v>
      </c>
    </row>
    <row r="43" spans="2:14" ht="22.2" customHeight="1" thickTop="1" thickBot="1">
      <c r="B43" s="337">
        <f>Sim_SAC!C32</f>
        <v>45061</v>
      </c>
      <c r="C43" s="338">
        <f t="shared" ca="1" si="0"/>
        <v>2854.2233644526023</v>
      </c>
      <c r="D43" s="338">
        <f ca="1">IF($E$18="SAC",Sim_SAC!D32,Sim_PRICE!D32)</f>
        <v>842.74931039701278</v>
      </c>
      <c r="E43" s="338">
        <f ca="1">IF($E$18="SAC",Sim_SAC!E32,Sim_PRICE!E32)</f>
        <v>2011.4740540555897</v>
      </c>
      <c r="F43" s="338">
        <f ca="1">IF($E$18="SAC",Sim_SAC!G32,Sim_PRICE!F32)</f>
        <v>294962.25863895443</v>
      </c>
      <c r="G43" s="338">
        <f ca="1">IF($E$18="SAC",Sim_SAC!H32,Sim_PRICE!G32)</f>
        <v>61.942074314180431</v>
      </c>
      <c r="H43" s="338">
        <f>IF($E$18="SAC",Sim_SAC!I32,Sim_PRICE!H32)</f>
        <v>34.369999999999997</v>
      </c>
      <c r="I43" s="338">
        <f>IF($E$18="SAC",Sim_SAC!J32,Sim_PRICE!I32)</f>
        <v>25</v>
      </c>
      <c r="J43" s="338">
        <f ca="1">IF($E$18="SAC",Sim_SAC!K32,Sim_PRICE!J32)</f>
        <v>2975.5354387667826</v>
      </c>
      <c r="L43" s="335"/>
      <c r="M43" s="335">
        <f t="shared" ca="1" si="2"/>
        <v>2975.5354387667826</v>
      </c>
      <c r="N43" s="336">
        <f t="shared" ca="1" si="1"/>
        <v>88.706750008709292</v>
      </c>
    </row>
    <row r="44" spans="2:14" ht="22.2" customHeight="1" thickTop="1" thickBot="1">
      <c r="B44" s="332">
        <f>Sim_SAC!C33</f>
        <v>45092</v>
      </c>
      <c r="C44" s="333">
        <f t="shared" ca="1" si="0"/>
        <v>2848.4926691419028</v>
      </c>
      <c r="D44" s="333">
        <f ca="1">IF($E$18="SAC",Sim_SAC!D33,Sim_PRICE!D33)</f>
        <v>842.74931039701278</v>
      </c>
      <c r="E44" s="333">
        <f ca="1">IF($E$18="SAC",Sim_SAC!E33,Sim_PRICE!E33)</f>
        <v>2005.74335874489</v>
      </c>
      <c r="F44" s="333">
        <f ca="1">IF($E$18="SAC",Sim_SAC!G33,Sim_PRICE!F33)</f>
        <v>294119.50932855741</v>
      </c>
      <c r="G44" s="333">
        <f ca="1">IF($E$18="SAC",Sim_SAC!H33,Sim_PRICE!G33)</f>
        <v>61.765096958997056</v>
      </c>
      <c r="H44" s="333">
        <f>IF($E$18="SAC",Sim_SAC!I33,Sim_PRICE!H33)</f>
        <v>34.369999999999997</v>
      </c>
      <c r="I44" s="333">
        <f>IF($E$18="SAC",Sim_SAC!J33,Sim_PRICE!I33)</f>
        <v>25</v>
      </c>
      <c r="J44" s="333">
        <f ca="1">IF($E$18="SAC",Sim_SAC!K33,Sim_PRICE!J33)</f>
        <v>2969.6277661008999</v>
      </c>
      <c r="L44" s="335"/>
      <c r="M44" s="335">
        <f t="shared" ca="1" si="2"/>
        <v>2969.6277661008999</v>
      </c>
      <c r="N44" s="336">
        <f t="shared" ca="1" si="1"/>
        <v>87.82759725901451</v>
      </c>
    </row>
    <row r="45" spans="2:14" ht="22.2" customHeight="1" thickTop="1" thickBot="1">
      <c r="B45" s="337">
        <f>Sim_SAC!C34</f>
        <v>45122</v>
      </c>
      <c r="C45" s="338">
        <f t="shared" ca="1" si="0"/>
        <v>2842.7619738312032</v>
      </c>
      <c r="D45" s="338">
        <f ca="1">IF($E$18="SAC",Sim_SAC!D34,Sim_PRICE!D34)</f>
        <v>842.74931039701278</v>
      </c>
      <c r="E45" s="338">
        <f ca="1">IF($E$18="SAC",Sim_SAC!E34,Sim_PRICE!E34)</f>
        <v>2000.0126634341902</v>
      </c>
      <c r="F45" s="338">
        <f ca="1">IF($E$18="SAC",Sim_SAC!G34,Sim_PRICE!F34)</f>
        <v>293276.76001816039</v>
      </c>
      <c r="G45" s="338">
        <f ca="1">IF($E$18="SAC",Sim_SAC!H34,Sim_PRICE!G34)</f>
        <v>61.588119603813688</v>
      </c>
      <c r="H45" s="338">
        <f>IF($E$18="SAC",Sim_SAC!I34,Sim_PRICE!H34)</f>
        <v>34.369999999999997</v>
      </c>
      <c r="I45" s="338">
        <f>IF($E$18="SAC",Sim_SAC!J34,Sim_PRICE!I34)</f>
        <v>25</v>
      </c>
      <c r="J45" s="338">
        <f ca="1">IF($E$18="SAC",Sim_SAC!K34,Sim_PRICE!J34)</f>
        <v>2963.7200934350167</v>
      </c>
      <c r="L45" s="335"/>
      <c r="M45" s="335">
        <f t="shared" ca="1" si="2"/>
        <v>2963.7200934350167</v>
      </c>
      <c r="N45" s="336">
        <f t="shared" ca="1" si="1"/>
        <v>86.979645729558101</v>
      </c>
    </row>
    <row r="46" spans="2:14" ht="22.2" customHeight="1" thickTop="1" thickBot="1">
      <c r="B46" s="332">
        <f>Sim_SAC!C35</f>
        <v>45153</v>
      </c>
      <c r="C46" s="333">
        <f t="shared" ca="1" si="0"/>
        <v>2837.0312785205033</v>
      </c>
      <c r="D46" s="333">
        <f ca="1">IF($E$18="SAC",Sim_SAC!D35,Sim_PRICE!D35)</f>
        <v>842.74931039701278</v>
      </c>
      <c r="E46" s="333">
        <f ca="1">IF($E$18="SAC",Sim_SAC!E35,Sim_PRICE!E35)</f>
        <v>1994.2819681234905</v>
      </c>
      <c r="F46" s="333">
        <f ca="1">IF($E$18="SAC",Sim_SAC!G35,Sim_PRICE!F35)</f>
        <v>292434.01070776337</v>
      </c>
      <c r="G46" s="333">
        <f ca="1">IF($E$18="SAC",Sim_SAC!H35,Sim_PRICE!G35)</f>
        <v>61.411142248630313</v>
      </c>
      <c r="H46" s="333">
        <f>IF($E$18="SAC",Sim_SAC!I35,Sim_PRICE!H35)</f>
        <v>34.369999999999997</v>
      </c>
      <c r="I46" s="333">
        <f>IF($E$18="SAC",Sim_SAC!J35,Sim_PRICE!I35)</f>
        <v>25</v>
      </c>
      <c r="J46" s="333">
        <f ca="1">IF($E$18="SAC",Sim_SAC!K35,Sim_PRICE!J35)</f>
        <v>2957.8124207691335</v>
      </c>
      <c r="L46" s="335"/>
      <c r="M46" s="335">
        <f t="shared" ca="1" si="2"/>
        <v>2957.8124207691335</v>
      </c>
      <c r="N46" s="336">
        <f t="shared" ca="1" si="1"/>
        <v>86.117025142348126</v>
      </c>
    </row>
    <row r="47" spans="2:14" ht="22.2" customHeight="1" thickTop="1" thickBot="1">
      <c r="B47" s="337">
        <f>Sim_SAC!C36</f>
        <v>45184</v>
      </c>
      <c r="C47" s="338">
        <f t="shared" ca="1" si="0"/>
        <v>2831.3005832098033</v>
      </c>
      <c r="D47" s="338">
        <f ca="1">IF($E$18="SAC",Sim_SAC!D36,Sim_PRICE!D36)</f>
        <v>842.74931039701278</v>
      </c>
      <c r="E47" s="338">
        <f ca="1">IF($E$18="SAC",Sim_SAC!E36,Sim_PRICE!E36)</f>
        <v>1988.5512728127908</v>
      </c>
      <c r="F47" s="338">
        <f ca="1">IF($E$18="SAC",Sim_SAC!G36,Sim_PRICE!F36)</f>
        <v>291591.26139736635</v>
      </c>
      <c r="G47" s="338">
        <f ca="1">IF($E$18="SAC",Sim_SAC!H36,Sim_PRICE!G36)</f>
        <v>61.234164893446938</v>
      </c>
      <c r="H47" s="338">
        <f>IF($E$18="SAC",Sim_SAC!I36,Sim_PRICE!H36)</f>
        <v>34.369999999999997</v>
      </c>
      <c r="I47" s="338">
        <f>IF($E$18="SAC",Sim_SAC!J36,Sim_PRICE!I36)</f>
        <v>25</v>
      </c>
      <c r="J47" s="338">
        <f ca="1">IF($E$18="SAC",Sim_SAC!K36,Sim_PRICE!J36)</f>
        <v>2951.9047481032503</v>
      </c>
      <c r="L47" s="335"/>
      <c r="M47" s="335">
        <f t="shared" ca="1" si="2"/>
        <v>2951.9047481032503</v>
      </c>
      <c r="N47" s="336">
        <f t="shared" ca="1" si="1"/>
        <v>85.262668498629083</v>
      </c>
    </row>
    <row r="48" spans="2:14" ht="22.2" customHeight="1" thickTop="1" thickBot="1">
      <c r="B48" s="332">
        <f>Sim_SAC!C37</f>
        <v>45214</v>
      </c>
      <c r="C48" s="333">
        <f t="shared" ca="1" si="0"/>
        <v>2825.5698878991038</v>
      </c>
      <c r="D48" s="333">
        <f ca="1">IF($E$18="SAC",Sim_SAC!D37,Sim_PRICE!D37)</f>
        <v>842.74931039701278</v>
      </c>
      <c r="E48" s="333">
        <f ca="1">IF($E$18="SAC",Sim_SAC!E37,Sim_PRICE!E37)</f>
        <v>1982.8205775020911</v>
      </c>
      <c r="F48" s="333">
        <f ca="1">IF($E$18="SAC",Sim_SAC!G37,Sim_PRICE!F37)</f>
        <v>290748.51208696933</v>
      </c>
      <c r="G48" s="333">
        <f ca="1">IF($E$18="SAC",Sim_SAC!H37,Sim_PRICE!G37)</f>
        <v>61.057187538263562</v>
      </c>
      <c r="H48" s="333">
        <f>IF($E$18="SAC",Sim_SAC!I37,Sim_PRICE!H37)</f>
        <v>34.369999999999997</v>
      </c>
      <c r="I48" s="333">
        <f>IF($E$18="SAC",Sim_SAC!J37,Sim_PRICE!I37)</f>
        <v>25</v>
      </c>
      <c r="J48" s="333">
        <f ca="1">IF($E$18="SAC",Sim_SAC!K37,Sim_PRICE!J37)</f>
        <v>2945.9970754373671</v>
      </c>
      <c r="L48" s="335"/>
      <c r="M48" s="335">
        <f t="shared" ca="1" si="2"/>
        <v>2945.9970754373671</v>
      </c>
      <c r="N48" s="336">
        <f t="shared" ca="1" si="1"/>
        <v>84.438615801998566</v>
      </c>
    </row>
    <row r="49" spans="2:14" ht="22.2" customHeight="1" thickTop="1" thickBot="1">
      <c r="B49" s="337">
        <f>Sim_SAC!C38</f>
        <v>45245</v>
      </c>
      <c r="C49" s="338">
        <f t="shared" ca="1" si="0"/>
        <v>2819.8391925884043</v>
      </c>
      <c r="D49" s="338">
        <f ca="1">IF($E$18="SAC",Sim_SAC!D38,Sim_PRICE!D38)</f>
        <v>842.74931039701278</v>
      </c>
      <c r="E49" s="338">
        <f ca="1">IF($E$18="SAC",Sim_SAC!E38,Sim_PRICE!E38)</f>
        <v>1977.0898821913913</v>
      </c>
      <c r="F49" s="338">
        <f ca="1">IF($E$18="SAC",Sim_SAC!G38,Sim_PRICE!F38)</f>
        <v>289905.76277657232</v>
      </c>
      <c r="G49" s="338">
        <f ca="1">IF($E$18="SAC",Sim_SAC!H38,Sim_PRICE!G38)</f>
        <v>60.880210183080187</v>
      </c>
      <c r="H49" s="338">
        <f>IF($E$18="SAC",Sim_SAC!I38,Sim_PRICE!H38)</f>
        <v>34.369999999999997</v>
      </c>
      <c r="I49" s="338">
        <f>IF($E$18="SAC",Sim_SAC!J38,Sim_PRICE!I38)</f>
        <v>25</v>
      </c>
      <c r="J49" s="338">
        <f ca="1">IF($E$18="SAC",Sim_SAC!K38,Sim_PRICE!J38)</f>
        <v>2940.0894027714844</v>
      </c>
      <c r="L49" s="335"/>
      <c r="M49" s="335">
        <f t="shared" ca="1" si="2"/>
        <v>2940.0894027714844</v>
      </c>
      <c r="N49" s="336">
        <f t="shared" ca="1" si="1"/>
        <v>83.600336434791686</v>
      </c>
    </row>
    <row r="50" spans="2:14" ht="22.2" customHeight="1" thickTop="1" thickBot="1">
      <c r="B50" s="332">
        <f>Sim_SAC!C39</f>
        <v>45275</v>
      </c>
      <c r="C50" s="333">
        <f t="shared" ca="1" si="0"/>
        <v>2814.1084972777044</v>
      </c>
      <c r="D50" s="333">
        <f ca="1">IF($E$18="SAC",Sim_SAC!D39,Sim_PRICE!D39)</f>
        <v>842.74931039701278</v>
      </c>
      <c r="E50" s="333">
        <f ca="1">IF($E$18="SAC",Sim_SAC!E39,Sim_PRICE!E39)</f>
        <v>1971.3591868806916</v>
      </c>
      <c r="F50" s="333">
        <f ca="1">IF($E$18="SAC",Sim_SAC!G39,Sim_PRICE!F39)</f>
        <v>289063.0134661753</v>
      </c>
      <c r="G50" s="333">
        <f ca="1">IF($E$18="SAC",Sim_SAC!H39,Sim_PRICE!G39)</f>
        <v>60.703232827896812</v>
      </c>
      <c r="H50" s="333">
        <f>IF($E$18="SAC",Sim_SAC!I39,Sim_PRICE!H39)</f>
        <v>34.369999999999997</v>
      </c>
      <c r="I50" s="333">
        <f>IF($E$18="SAC",Sim_SAC!J39,Sim_PRICE!I39)</f>
        <v>25</v>
      </c>
      <c r="J50" s="333">
        <f ca="1">IF($E$18="SAC",Sim_SAC!K39,Sim_PRICE!J39)</f>
        <v>2934.1817301056012</v>
      </c>
      <c r="L50" s="335"/>
      <c r="M50" s="335">
        <f t="shared" ca="1" si="2"/>
        <v>2934.1817301056012</v>
      </c>
      <c r="N50" s="336">
        <f t="shared" ca="1" si="1"/>
        <v>82.791779381897641</v>
      </c>
    </row>
    <row r="51" spans="2:14" ht="22.2" customHeight="1" thickTop="1" thickBot="1">
      <c r="B51" s="337">
        <f>Sim_SAC!C40</f>
        <v>45306</v>
      </c>
      <c r="C51" s="338">
        <f t="shared" ca="1" si="0"/>
        <v>2808.3778019670044</v>
      </c>
      <c r="D51" s="338">
        <f ca="1">IF($E$18="SAC",Sim_SAC!D40,Sim_PRICE!D40)</f>
        <v>842.74931039701278</v>
      </c>
      <c r="E51" s="338">
        <f ca="1">IF($E$18="SAC",Sim_SAC!E40,Sim_PRICE!E40)</f>
        <v>1965.6284915699919</v>
      </c>
      <c r="F51" s="338">
        <f ca="1">IF($E$18="SAC",Sim_SAC!G40,Sim_PRICE!F40)</f>
        <v>288220.26415577828</v>
      </c>
      <c r="G51" s="338">
        <f ca="1">IF($E$18="SAC",Sim_SAC!H40,Sim_PRICE!G40)</f>
        <v>60.526255472713437</v>
      </c>
      <c r="H51" s="338">
        <f>IF($E$18="SAC",Sim_SAC!I40,Sim_PRICE!H40)</f>
        <v>34.369999999999997</v>
      </c>
      <c r="I51" s="338">
        <f>IF($E$18="SAC",Sim_SAC!J40,Sim_PRICE!I40)</f>
        <v>25</v>
      </c>
      <c r="J51" s="338">
        <f ca="1">IF($E$18="SAC",Sim_SAC!K40,Sim_PRICE!J40)</f>
        <v>2928.2740574397176</v>
      </c>
      <c r="L51" s="335"/>
      <c r="M51" s="335">
        <f t="shared" ca="1" si="2"/>
        <v>2928.2740574397176</v>
      </c>
      <c r="N51" s="336">
        <f t="shared" ca="1" si="1"/>
        <v>81.969282259954383</v>
      </c>
    </row>
    <row r="52" spans="2:14" ht="22.2" customHeight="1" thickTop="1" thickBot="1">
      <c r="B52" s="332">
        <f>Sim_SAC!C41</f>
        <v>45337</v>
      </c>
      <c r="C52" s="333">
        <f t="shared" ca="1" si="0"/>
        <v>2802.6471066563049</v>
      </c>
      <c r="D52" s="333">
        <f ca="1">IF($E$18="SAC",Sim_SAC!D41,Sim_PRICE!D41)</f>
        <v>842.74931039701278</v>
      </c>
      <c r="E52" s="333">
        <f ca="1">IF($E$18="SAC",Sim_SAC!E41,Sim_PRICE!E41)</f>
        <v>1959.8977962592921</v>
      </c>
      <c r="F52" s="333">
        <f ca="1">IF($E$18="SAC",Sim_SAC!G41,Sim_PRICE!F41)</f>
        <v>287377.51484538126</v>
      </c>
      <c r="G52" s="333">
        <f ca="1">IF($E$18="SAC",Sim_SAC!H41,Sim_PRICE!G41)</f>
        <v>60.349278117530069</v>
      </c>
      <c r="H52" s="333">
        <f>IF($E$18="SAC",Sim_SAC!I41,Sim_PRICE!H41)</f>
        <v>34.369999999999997</v>
      </c>
      <c r="I52" s="333">
        <f>IF($E$18="SAC",Sim_SAC!J41,Sim_PRICE!I41)</f>
        <v>25</v>
      </c>
      <c r="J52" s="333">
        <f ca="1">IF($E$18="SAC",Sim_SAC!K41,Sim_PRICE!J41)</f>
        <v>2922.3663847738349</v>
      </c>
      <c r="L52" s="335"/>
      <c r="M52" s="335">
        <f t="shared" ca="1" si="2"/>
        <v>2922.3663847738349</v>
      </c>
      <c r="N52" s="336">
        <f t="shared" ca="1" si="1"/>
        <v>81.154673995498541</v>
      </c>
    </row>
    <row r="53" spans="2:14" ht="22.2" customHeight="1" thickTop="1" thickBot="1">
      <c r="B53" s="337">
        <f>Sim_SAC!C42</f>
        <v>45366</v>
      </c>
      <c r="C53" s="338">
        <f t="shared" ca="1" si="0"/>
        <v>2796.9164113456054</v>
      </c>
      <c r="D53" s="338">
        <f ca="1">IF($E$18="SAC",Sim_SAC!D42,Sim_PRICE!D42)</f>
        <v>842.74931039701278</v>
      </c>
      <c r="E53" s="338">
        <f ca="1">IF($E$18="SAC",Sim_SAC!E42,Sim_PRICE!E42)</f>
        <v>1954.1671009485924</v>
      </c>
      <c r="F53" s="338">
        <f ca="1">IF($E$18="SAC",Sim_SAC!G42,Sim_PRICE!F42)</f>
        <v>286534.76553498424</v>
      </c>
      <c r="G53" s="338">
        <f ca="1">IF($E$18="SAC",Sim_SAC!H42,Sim_PRICE!G42)</f>
        <v>60.172300762346694</v>
      </c>
      <c r="H53" s="338">
        <f>IF($E$18="SAC",Sim_SAC!I42,Sim_PRICE!H42)</f>
        <v>34.369999999999997</v>
      </c>
      <c r="I53" s="338">
        <f>IF($E$18="SAC",Sim_SAC!J42,Sim_PRICE!I42)</f>
        <v>25</v>
      </c>
      <c r="J53" s="338">
        <f ca="1">IF($E$18="SAC",Sim_SAC!K42,Sim_PRICE!J42)</f>
        <v>2916.4587121079521</v>
      </c>
      <c r="L53" s="335"/>
      <c r="M53" s="335">
        <f t="shared" ca="1" si="2"/>
        <v>2916.4587121079521</v>
      </c>
      <c r="N53" s="336">
        <f t="shared" ca="1" si="1"/>
        <v>80.389988834495668</v>
      </c>
    </row>
    <row r="54" spans="2:14" ht="22.2" customHeight="1" thickTop="1" thickBot="1">
      <c r="B54" s="332">
        <f>Sim_SAC!C43</f>
        <v>45397</v>
      </c>
      <c r="C54" s="333">
        <f t="shared" ca="1" si="0"/>
        <v>2791.1857160349055</v>
      </c>
      <c r="D54" s="333">
        <f ca="1">IF($E$18="SAC",Sim_SAC!D43,Sim_PRICE!D43)</f>
        <v>842.74931039701278</v>
      </c>
      <c r="E54" s="333">
        <f ca="1">IF($E$18="SAC",Sim_SAC!E43,Sim_PRICE!E43)</f>
        <v>1948.4364056378927</v>
      </c>
      <c r="F54" s="333">
        <f ca="1">IF($E$18="SAC",Sim_SAC!G43,Sim_PRICE!F43)</f>
        <v>285692.01622458722</v>
      </c>
      <c r="G54" s="333">
        <f ca="1">IF($E$18="SAC",Sim_SAC!H43,Sim_PRICE!G43)</f>
        <v>59.995323407163319</v>
      </c>
      <c r="H54" s="333">
        <f>IF($E$18="SAC",Sim_SAC!I43,Sim_PRICE!H43)</f>
        <v>34.369999999999997</v>
      </c>
      <c r="I54" s="333">
        <f>IF($E$18="SAC",Sim_SAC!J43,Sim_PRICE!I43)</f>
        <v>25</v>
      </c>
      <c r="J54" s="333">
        <f ca="1">IF($E$18="SAC",Sim_SAC!K43,Sim_PRICE!J43)</f>
        <v>2910.5510394420685</v>
      </c>
      <c r="L54" s="335"/>
      <c r="M54" s="335">
        <f t="shared" ca="1" si="2"/>
        <v>2910.5510394420685</v>
      </c>
      <c r="N54" s="336">
        <f t="shared" ca="1" si="1"/>
        <v>79.590518784247166</v>
      </c>
    </row>
    <row r="55" spans="2:14" ht="22.2" customHeight="1" thickTop="1" thickBot="1">
      <c r="B55" s="337">
        <f>Sim_SAC!C44</f>
        <v>45427</v>
      </c>
      <c r="C55" s="338">
        <f t="shared" ca="1" si="0"/>
        <v>2785.4550207242055</v>
      </c>
      <c r="D55" s="338">
        <f ca="1">IF($E$18="SAC",Sim_SAC!D44,Sim_PRICE!D44)</f>
        <v>842.74931039701278</v>
      </c>
      <c r="E55" s="338">
        <f ca="1">IF($E$18="SAC",Sim_SAC!E44,Sim_PRICE!E44)</f>
        <v>1942.7057103271929</v>
      </c>
      <c r="F55" s="338">
        <f ca="1">IF($E$18="SAC",Sim_SAC!G44,Sim_PRICE!F44)</f>
        <v>284849.2669141902</v>
      </c>
      <c r="G55" s="338">
        <f ca="1">IF($E$18="SAC",Sim_SAC!H44,Sim_PRICE!G44)</f>
        <v>59.818346051979944</v>
      </c>
      <c r="H55" s="338">
        <f>IF($E$18="SAC",Sim_SAC!I44,Sim_PRICE!H44)</f>
        <v>34.369999999999997</v>
      </c>
      <c r="I55" s="338">
        <f>IF($E$18="SAC",Sim_SAC!J44,Sim_PRICE!I44)</f>
        <v>25</v>
      </c>
      <c r="J55" s="338">
        <f ca="1">IF($E$18="SAC",Sim_SAC!K44,Sim_PRICE!J44)</f>
        <v>2904.6433667761853</v>
      </c>
      <c r="L55" s="335"/>
      <c r="M55" s="335">
        <f t="shared" ca="1" si="2"/>
        <v>2904.6433667761853</v>
      </c>
      <c r="N55" s="336">
        <f t="shared" ca="1" si="1"/>
        <v>78.819367606180322</v>
      </c>
    </row>
    <row r="56" spans="2:14" ht="22.2" customHeight="1" thickTop="1" thickBot="1">
      <c r="B56" s="332">
        <f>Sim_SAC!C45</f>
        <v>45458</v>
      </c>
      <c r="C56" s="333">
        <f t="shared" ca="1" si="0"/>
        <v>2779.724325413506</v>
      </c>
      <c r="D56" s="333">
        <f ca="1">IF($E$18="SAC",Sim_SAC!D45,Sim_PRICE!D45)</f>
        <v>842.74931039701278</v>
      </c>
      <c r="E56" s="333">
        <f ca="1">IF($E$18="SAC",Sim_SAC!E45,Sim_PRICE!E45)</f>
        <v>1936.9750150164932</v>
      </c>
      <c r="F56" s="333">
        <f ca="1">IF($E$18="SAC",Sim_SAC!G45,Sim_PRICE!F45)</f>
        <v>284006.51760379318</v>
      </c>
      <c r="G56" s="333">
        <f ca="1">IF($E$18="SAC",Sim_SAC!H45,Sim_PRICE!G45)</f>
        <v>59.641368696796569</v>
      </c>
      <c r="H56" s="333">
        <f>IF($E$18="SAC",Sim_SAC!I45,Sim_PRICE!H45)</f>
        <v>34.369999999999997</v>
      </c>
      <c r="I56" s="333">
        <f>IF($E$18="SAC",Sim_SAC!J45,Sim_PRICE!I45)</f>
        <v>25</v>
      </c>
      <c r="J56" s="333">
        <f ca="1">IF($E$18="SAC",Sim_SAC!K45,Sim_PRICE!J45)</f>
        <v>2898.7356941103026</v>
      </c>
      <c r="L56" s="335"/>
      <c r="M56" s="335">
        <f t="shared" ca="1" si="2"/>
        <v>2898.7356941103026</v>
      </c>
      <c r="N56" s="336">
        <f t="shared" ca="1" si="1"/>
        <v>78.034967238620567</v>
      </c>
    </row>
    <row r="57" spans="2:14" ht="22.2" customHeight="1" thickTop="1" thickBot="1">
      <c r="B57" s="337">
        <f>Sim_SAC!C46</f>
        <v>45488</v>
      </c>
      <c r="C57" s="338">
        <f t="shared" ca="1" si="0"/>
        <v>2773.9936301028065</v>
      </c>
      <c r="D57" s="338">
        <f ca="1">IF($E$18="SAC",Sim_SAC!D46,Sim_PRICE!D46)</f>
        <v>842.74931039701278</v>
      </c>
      <c r="E57" s="338">
        <f ca="1">IF($E$18="SAC",Sim_SAC!E46,Sim_PRICE!E46)</f>
        <v>1931.2443197057935</v>
      </c>
      <c r="F57" s="338">
        <f ca="1">IF($E$18="SAC",Sim_SAC!G46,Sim_PRICE!F46)</f>
        <v>283163.76829339616</v>
      </c>
      <c r="G57" s="338">
        <f ca="1">IF($E$18="SAC",Sim_SAC!H46,Sim_PRICE!G46)</f>
        <v>59.464391341613194</v>
      </c>
      <c r="H57" s="338">
        <f>IF($E$18="SAC",Sim_SAC!I46,Sim_PRICE!H46)</f>
        <v>34.369999999999997</v>
      </c>
      <c r="I57" s="338">
        <f>IF($E$18="SAC",Sim_SAC!J46,Sim_PRICE!I46)</f>
        <v>25</v>
      </c>
      <c r="J57" s="338">
        <f ca="1">IF($E$18="SAC",Sim_SAC!K46,Sim_PRICE!J46)</f>
        <v>2892.8280214444194</v>
      </c>
      <c r="L57" s="335"/>
      <c r="M57" s="335">
        <f t="shared" ca="1" si="2"/>
        <v>2892.8280214444194</v>
      </c>
      <c r="N57" s="336">
        <f t="shared" ca="1" si="1"/>
        <v>77.278341073383274</v>
      </c>
    </row>
    <row r="58" spans="2:14" ht="22.2" customHeight="1" thickTop="1" thickBot="1">
      <c r="B58" s="332">
        <f>Sim_SAC!C47</f>
        <v>45519</v>
      </c>
      <c r="C58" s="333">
        <f t="shared" ca="1" si="0"/>
        <v>2768.2629347921065</v>
      </c>
      <c r="D58" s="333">
        <f ca="1">IF($E$18="SAC",Sim_SAC!D47,Sim_PRICE!D47)</f>
        <v>842.74931039701278</v>
      </c>
      <c r="E58" s="333">
        <f ca="1">IF($E$18="SAC",Sim_SAC!E47,Sim_PRICE!E47)</f>
        <v>1925.5136243950938</v>
      </c>
      <c r="F58" s="333">
        <f ca="1">IF($E$18="SAC",Sim_SAC!G47,Sim_PRICE!F47)</f>
        <v>282321.01898299914</v>
      </c>
      <c r="G58" s="333">
        <f ca="1">IF($E$18="SAC",Sim_SAC!H47,Sim_PRICE!G47)</f>
        <v>59.287413986429826</v>
      </c>
      <c r="H58" s="333">
        <f>IF($E$18="SAC",Sim_SAC!I47,Sim_PRICE!H47)</f>
        <v>34.369999999999997</v>
      </c>
      <c r="I58" s="333">
        <f>IF($E$18="SAC",Sim_SAC!J47,Sim_PRICE!I47)</f>
        <v>25</v>
      </c>
      <c r="J58" s="333">
        <f ca="1">IF($E$18="SAC",Sim_SAC!K47,Sim_PRICE!J47)</f>
        <v>2886.9203487785362</v>
      </c>
      <c r="L58" s="335"/>
      <c r="M58" s="335">
        <f t="shared" ca="1" si="2"/>
        <v>2886.9203487785362</v>
      </c>
      <c r="N58" s="336">
        <f t="shared" ca="1" si="1"/>
        <v>76.508733510065511</v>
      </c>
    </row>
    <row r="59" spans="2:14" ht="22.2" customHeight="1" thickTop="1" thickBot="1">
      <c r="B59" s="337">
        <f>Sim_SAC!C48</f>
        <v>45550</v>
      </c>
      <c r="C59" s="338">
        <f t="shared" ca="1" si="0"/>
        <v>2762.5322394814066</v>
      </c>
      <c r="D59" s="338">
        <f ca="1">IF($E$18="SAC",Sim_SAC!D48,Sim_PRICE!D48)</f>
        <v>842.74931039701278</v>
      </c>
      <c r="E59" s="338">
        <f ca="1">IF($E$18="SAC",Sim_SAC!E48,Sim_PRICE!E48)</f>
        <v>1919.782929084394</v>
      </c>
      <c r="F59" s="338">
        <f ca="1">IF($E$18="SAC",Sim_SAC!G48,Sim_PRICE!F48)</f>
        <v>281478.26967260212</v>
      </c>
      <c r="G59" s="338">
        <f ca="1">IF($E$18="SAC",Sim_SAC!H48,Sim_PRICE!G48)</f>
        <v>59.110436631246451</v>
      </c>
      <c r="H59" s="338">
        <f>IF($E$18="SAC",Sim_SAC!I48,Sim_PRICE!H48)</f>
        <v>34.369999999999997</v>
      </c>
      <c r="I59" s="338">
        <f>IF($E$18="SAC",Sim_SAC!J48,Sim_PRICE!I48)</f>
        <v>25</v>
      </c>
      <c r="J59" s="338">
        <f ca="1">IF($E$18="SAC",Sim_SAC!K48,Sim_PRICE!J48)</f>
        <v>2881.012676112653</v>
      </c>
      <c r="L59" s="335"/>
      <c r="M59" s="335">
        <f t="shared" ca="1" si="2"/>
        <v>2881.012676112653</v>
      </c>
      <c r="N59" s="336">
        <f t="shared" ca="1" si="1"/>
        <v>75.746519926781687</v>
      </c>
    </row>
    <row r="60" spans="2:14" ht="22.2" customHeight="1" thickTop="1" thickBot="1">
      <c r="B60" s="332">
        <f>Sim_SAC!C49</f>
        <v>45580</v>
      </c>
      <c r="C60" s="333">
        <f t="shared" ca="1" si="0"/>
        <v>2756.8015441707071</v>
      </c>
      <c r="D60" s="333">
        <f ca="1">IF($E$18="SAC",Sim_SAC!D49,Sim_PRICE!D49)</f>
        <v>842.74931039701278</v>
      </c>
      <c r="E60" s="333">
        <f ca="1">IF($E$18="SAC",Sim_SAC!E49,Sim_PRICE!E49)</f>
        <v>1914.0522337736943</v>
      </c>
      <c r="F60" s="333">
        <f ca="1">IF($E$18="SAC",Sim_SAC!G49,Sim_PRICE!F49)</f>
        <v>280635.5203622051</v>
      </c>
      <c r="G60" s="333">
        <f ca="1">IF($E$18="SAC",Sim_SAC!H49,Sim_PRICE!G49)</f>
        <v>58.933459276063076</v>
      </c>
      <c r="H60" s="333">
        <f>IF($E$18="SAC",Sim_SAC!I49,Sim_PRICE!H49)</f>
        <v>34.369999999999997</v>
      </c>
      <c r="I60" s="333">
        <f>IF($E$18="SAC",Sim_SAC!J49,Sim_PRICE!I49)</f>
        <v>25</v>
      </c>
      <c r="J60" s="333">
        <f ca="1">IF($E$18="SAC",Sim_SAC!K49,Sim_PRICE!J49)</f>
        <v>2875.1050034467698</v>
      </c>
      <c r="L60" s="335"/>
      <c r="M60" s="335">
        <f t="shared" ca="1" si="2"/>
        <v>2875.1050034467698</v>
      </c>
      <c r="N60" s="336">
        <f t="shared" ca="1" si="1"/>
        <v>75.011278985390518</v>
      </c>
    </row>
    <row r="61" spans="2:14" ht="22.2" customHeight="1" thickTop="1" thickBot="1">
      <c r="B61" s="337">
        <f>Sim_SAC!C50</f>
        <v>45611</v>
      </c>
      <c r="C61" s="338">
        <f t="shared" ca="1" si="0"/>
        <v>2751.0708488600076</v>
      </c>
      <c r="D61" s="338">
        <f ca="1">IF($E$18="SAC",Sim_SAC!D50,Sim_PRICE!D50)</f>
        <v>842.74931039701278</v>
      </c>
      <c r="E61" s="338">
        <f ca="1">IF($E$18="SAC",Sim_SAC!E50,Sim_PRICE!E50)</f>
        <v>1908.3215384629946</v>
      </c>
      <c r="F61" s="338">
        <f ca="1">IF($E$18="SAC",Sim_SAC!G50,Sim_PRICE!F50)</f>
        <v>279792.77105180809</v>
      </c>
      <c r="G61" s="338">
        <f ca="1">IF($E$18="SAC",Sim_SAC!H50,Sim_PRICE!G50)</f>
        <v>58.7564819208797</v>
      </c>
      <c r="H61" s="338">
        <f>IF($E$18="SAC",Sim_SAC!I50,Sim_PRICE!H50)</f>
        <v>34.369999999999997</v>
      </c>
      <c r="I61" s="338">
        <f>IF($E$18="SAC",Sim_SAC!J50,Sim_PRICE!I50)</f>
        <v>25</v>
      </c>
      <c r="J61" s="338">
        <f ca="1">IF($E$18="SAC",Sim_SAC!K50,Sim_PRICE!J50)</f>
        <v>2869.1973307808871</v>
      </c>
      <c r="L61" s="335"/>
      <c r="M61" s="335">
        <f t="shared" ca="1" si="2"/>
        <v>2869.1973307808871</v>
      </c>
      <c r="N61" s="336">
        <f t="shared" ca="1" si="1"/>
        <v>74.263450335526386</v>
      </c>
    </row>
    <row r="62" spans="2:14" ht="22.2" customHeight="1" thickTop="1" thickBot="1">
      <c r="B62" s="332">
        <f>Sim_SAC!C51</f>
        <v>45641</v>
      </c>
      <c r="C62" s="333">
        <f t="shared" ca="1" si="0"/>
        <v>2745.3401535493076</v>
      </c>
      <c r="D62" s="333">
        <f ca="1">IF($E$18="SAC",Sim_SAC!D51,Sim_PRICE!D51)</f>
        <v>842.74931039701278</v>
      </c>
      <c r="E62" s="333">
        <f ca="1">IF($E$18="SAC",Sim_SAC!E51,Sim_PRICE!E51)</f>
        <v>1902.5908431522948</v>
      </c>
      <c r="F62" s="333">
        <f ca="1">IF($E$18="SAC",Sim_SAC!G51,Sim_PRICE!F51)</f>
        <v>278950.02174141107</v>
      </c>
      <c r="G62" s="333">
        <f ca="1">IF($E$18="SAC",Sim_SAC!H51,Sim_PRICE!G51)</f>
        <v>58.579504565696325</v>
      </c>
      <c r="H62" s="333">
        <f>IF($E$18="SAC",Sim_SAC!I51,Sim_PRICE!H51)</f>
        <v>34.369999999999997</v>
      </c>
      <c r="I62" s="333">
        <f>IF($E$18="SAC",Sim_SAC!J51,Sim_PRICE!I51)</f>
        <v>25</v>
      </c>
      <c r="J62" s="333">
        <f ca="1">IF($E$18="SAC",Sim_SAC!K51,Sim_PRICE!J51)</f>
        <v>2863.2896581150039</v>
      </c>
      <c r="L62" s="335"/>
      <c r="M62" s="335">
        <f t="shared" ca="1" si="2"/>
        <v>2863.2896581150039</v>
      </c>
      <c r="N62" s="336">
        <f t="shared" ca="1" si="1"/>
        <v>73.542074760589898</v>
      </c>
    </row>
    <row r="63" spans="2:14" ht="22.2" customHeight="1" thickTop="1" thickBot="1">
      <c r="B63" s="337">
        <f>Sim_SAC!C52</f>
        <v>45672</v>
      </c>
      <c r="C63" s="338">
        <f t="shared" ca="1" si="0"/>
        <v>2739.6094582386077</v>
      </c>
      <c r="D63" s="338">
        <f ca="1">IF($E$18="SAC",Sim_SAC!D52,Sim_PRICE!D52)</f>
        <v>842.74931039701278</v>
      </c>
      <c r="E63" s="338">
        <f ca="1">IF($E$18="SAC",Sim_SAC!E52,Sim_PRICE!E52)</f>
        <v>1896.8601478415951</v>
      </c>
      <c r="F63" s="338">
        <f ca="1">IF($E$18="SAC",Sim_SAC!G52,Sim_PRICE!F52)</f>
        <v>278107.27243101405</v>
      </c>
      <c r="G63" s="338">
        <f ca="1">IF($E$18="SAC",Sim_SAC!H52,Sim_PRICE!G52)</f>
        <v>58.40252721051295</v>
      </c>
      <c r="H63" s="338">
        <f>IF($E$18="SAC",Sim_SAC!I52,Sim_PRICE!H52)</f>
        <v>34.369999999999997</v>
      </c>
      <c r="I63" s="338">
        <f>IF($E$18="SAC",Sim_SAC!J52,Sim_PRICE!I52)</f>
        <v>25</v>
      </c>
      <c r="J63" s="338">
        <f ca="1">IF($E$18="SAC",Sim_SAC!K52,Sim_PRICE!J52)</f>
        <v>2857.3819854491203</v>
      </c>
      <c r="L63" s="335"/>
      <c r="M63" s="335">
        <f t="shared" ca="1" si="2"/>
        <v>2857.3819854491203</v>
      </c>
      <c r="N63" s="336">
        <f t="shared" ca="1" si="1"/>
        <v>72.808366513152379</v>
      </c>
    </row>
    <row r="64" spans="2:14" ht="22.2" customHeight="1" thickTop="1" thickBot="1">
      <c r="B64" s="332">
        <f>Sim_SAC!C53</f>
        <v>45703</v>
      </c>
      <c r="C64" s="333">
        <f t="shared" ca="1" si="0"/>
        <v>2733.8787629279082</v>
      </c>
      <c r="D64" s="333">
        <f ca="1">IF($E$18="SAC",Sim_SAC!D53,Sim_PRICE!D53)</f>
        <v>842.74931039701278</v>
      </c>
      <c r="E64" s="333">
        <f ca="1">IF($E$18="SAC",Sim_SAC!E53,Sim_PRICE!E53)</f>
        <v>1891.1294525308954</v>
      </c>
      <c r="F64" s="333">
        <f ca="1">IF($E$18="SAC",Sim_SAC!G53,Sim_PRICE!F53)</f>
        <v>277264.52312061703</v>
      </c>
      <c r="G64" s="333">
        <f ca="1">IF($E$18="SAC",Sim_SAC!H53,Sim_PRICE!G53)</f>
        <v>58.225549855329575</v>
      </c>
      <c r="H64" s="333">
        <f>IF($E$18="SAC",Sim_SAC!I53,Sim_PRICE!H53)</f>
        <v>34.369999999999997</v>
      </c>
      <c r="I64" s="333">
        <f>IF($E$18="SAC",Sim_SAC!J53,Sim_PRICE!I53)</f>
        <v>25</v>
      </c>
      <c r="J64" s="333">
        <f ca="1">IF($E$18="SAC",Sim_SAC!K53,Sim_PRICE!J53)</f>
        <v>2851.4743127832376</v>
      </c>
      <c r="L64" s="335"/>
      <c r="M64" s="335">
        <f t="shared" ca="1" si="2"/>
        <v>2851.4743127832376</v>
      </c>
      <c r="N64" s="336">
        <f t="shared" ca="1" si="1"/>
        <v>72.081715947945241</v>
      </c>
    </row>
    <row r="65" spans="2:14" ht="22.2" customHeight="1" thickTop="1" thickBot="1">
      <c r="B65" s="337">
        <f>Sim_SAC!C54</f>
        <v>45731</v>
      </c>
      <c r="C65" s="338">
        <f t="shared" ca="1" si="0"/>
        <v>2728.1480676172087</v>
      </c>
      <c r="D65" s="338">
        <f ca="1">IF($E$18="SAC",Sim_SAC!D54,Sim_PRICE!D54)</f>
        <v>842.74931039701278</v>
      </c>
      <c r="E65" s="338">
        <f ca="1">IF($E$18="SAC",Sim_SAC!E54,Sim_PRICE!E54)</f>
        <v>1885.3987572201956</v>
      </c>
      <c r="F65" s="338">
        <f ca="1">IF($E$18="SAC",Sim_SAC!G54,Sim_PRICE!F54)</f>
        <v>276421.77381022001</v>
      </c>
      <c r="G65" s="338">
        <f ca="1">IF($E$18="SAC",Sim_SAC!H54,Sim_PRICE!G54)</f>
        <v>58.048572500146207</v>
      </c>
      <c r="H65" s="338">
        <f>IF($E$18="SAC",Sim_SAC!I54,Sim_PRICE!H54)</f>
        <v>34.369999999999997</v>
      </c>
      <c r="I65" s="338">
        <f>IF($E$18="SAC",Sim_SAC!J54,Sim_PRICE!I54)</f>
        <v>25</v>
      </c>
      <c r="J65" s="338">
        <f ca="1">IF($E$18="SAC",Sim_SAC!K54,Sim_PRICE!J54)</f>
        <v>2845.5666401173548</v>
      </c>
      <c r="L65" s="335"/>
      <c r="M65" s="335">
        <f t="shared" ca="1" si="2"/>
        <v>2845.5666401173548</v>
      </c>
      <c r="N65" s="336">
        <f t="shared" ca="1" si="1"/>
        <v>71.418162498870501</v>
      </c>
    </row>
    <row r="66" spans="2:14" ht="22.2" customHeight="1" thickTop="1" thickBot="1">
      <c r="B66" s="332">
        <f>Sim_SAC!C55</f>
        <v>45762</v>
      </c>
      <c r="C66" s="333">
        <f t="shared" ca="1" si="0"/>
        <v>2722.4173723065087</v>
      </c>
      <c r="D66" s="333">
        <f ca="1">IF($E$18="SAC",Sim_SAC!D55,Sim_PRICE!D55)</f>
        <v>842.74931039701278</v>
      </c>
      <c r="E66" s="333">
        <f ca="1">IF($E$18="SAC",Sim_SAC!E55,Sim_PRICE!E55)</f>
        <v>1879.6680619094959</v>
      </c>
      <c r="F66" s="333">
        <f ca="1">IF($E$18="SAC",Sim_SAC!G55,Sim_PRICE!F55)</f>
        <v>275579.02449982299</v>
      </c>
      <c r="G66" s="333">
        <f ca="1">IF($E$18="SAC",Sim_SAC!H55,Sim_PRICE!G55)</f>
        <v>57.871595144962832</v>
      </c>
      <c r="H66" s="333">
        <f>IF($E$18="SAC",Sim_SAC!I55,Sim_PRICE!H55)</f>
        <v>34.369999999999997</v>
      </c>
      <c r="I66" s="333">
        <f>IF($E$18="SAC",Sim_SAC!J55,Sim_PRICE!I55)</f>
        <v>25</v>
      </c>
      <c r="J66" s="333">
        <f ca="1">IF($E$18="SAC",Sim_SAC!K55,Sim_PRICE!J55)</f>
        <v>2839.6589674514712</v>
      </c>
      <c r="L66" s="335"/>
      <c r="M66" s="335">
        <f t="shared" ca="1" si="2"/>
        <v>2839.6589674514712</v>
      </c>
      <c r="N66" s="336">
        <f t="shared" ca="1" si="1"/>
        <v>70.704869040852586</v>
      </c>
    </row>
    <row r="67" spans="2:14" ht="22.2" customHeight="1" thickTop="1" thickBot="1">
      <c r="B67" s="337">
        <f>Sim_SAC!C56</f>
        <v>45792</v>
      </c>
      <c r="C67" s="338">
        <f t="shared" ca="1" si="0"/>
        <v>2716.6866769958087</v>
      </c>
      <c r="D67" s="338">
        <f ca="1">IF($E$18="SAC",Sim_SAC!D56,Sim_PRICE!D56)</f>
        <v>842.74931039701278</v>
      </c>
      <c r="E67" s="338">
        <f ca="1">IF($E$18="SAC",Sim_SAC!E56,Sim_PRICE!E56)</f>
        <v>1873.9373665987962</v>
      </c>
      <c r="F67" s="338">
        <f ca="1">IF($E$18="SAC",Sim_SAC!G56,Sim_PRICE!F56)</f>
        <v>274736.27518942597</v>
      </c>
      <c r="G67" s="338">
        <f ca="1">IF($E$18="SAC",Sim_SAC!H56,Sim_PRICE!G56)</f>
        <v>57.694617789779457</v>
      </c>
      <c r="H67" s="338">
        <f>IF($E$18="SAC",Sim_SAC!I56,Sim_PRICE!H56)</f>
        <v>34.369999999999997</v>
      </c>
      <c r="I67" s="338">
        <f>IF($E$18="SAC",Sim_SAC!J56,Sim_PRICE!I56)</f>
        <v>25</v>
      </c>
      <c r="J67" s="338">
        <f ca="1">IF($E$18="SAC",Sim_SAC!K56,Sim_PRICE!J56)</f>
        <v>2833.751294785588</v>
      </c>
      <c r="L67" s="335"/>
      <c r="M67" s="335">
        <f t="shared" ca="1" si="2"/>
        <v>2833.751294785588</v>
      </c>
      <c r="N67" s="336">
        <f t="shared" ca="1" si="1"/>
        <v>70.01678167153635</v>
      </c>
    </row>
    <row r="68" spans="2:14" ht="22.2" customHeight="1" thickTop="1" thickBot="1">
      <c r="B68" s="332">
        <f>Sim_SAC!C57</f>
        <v>45823</v>
      </c>
      <c r="C68" s="333">
        <f t="shared" ca="1" si="0"/>
        <v>2710.9559816851092</v>
      </c>
      <c r="D68" s="333">
        <f ca="1">IF($E$18="SAC",Sim_SAC!D57,Sim_PRICE!D57)</f>
        <v>842.74931039701278</v>
      </c>
      <c r="E68" s="333">
        <f ca="1">IF($E$18="SAC",Sim_SAC!E57,Sim_PRICE!E57)</f>
        <v>1868.2066712880965</v>
      </c>
      <c r="F68" s="333">
        <f ca="1">IF($E$18="SAC",Sim_SAC!G57,Sim_PRICE!F57)</f>
        <v>273893.52587902895</v>
      </c>
      <c r="G68" s="333">
        <f ca="1">IF($E$18="SAC",Sim_SAC!H57,Sim_PRICE!G57)</f>
        <v>57.517640434596082</v>
      </c>
      <c r="H68" s="333">
        <f>IF($E$18="SAC",Sim_SAC!I57,Sim_PRICE!H57)</f>
        <v>34.369999999999997</v>
      </c>
      <c r="I68" s="333">
        <f>IF($E$18="SAC",Sim_SAC!J57,Sim_PRICE!I57)</f>
        <v>25</v>
      </c>
      <c r="J68" s="333">
        <f ca="1">IF($E$18="SAC",Sim_SAC!K57,Sim_PRICE!J57)</f>
        <v>2827.8436221197053</v>
      </c>
      <c r="L68" s="335"/>
      <c r="M68" s="335">
        <f t="shared" ca="1" si="2"/>
        <v>2827.8436221197053</v>
      </c>
      <c r="N68" s="336">
        <f t="shared" ca="1" si="1"/>
        <v>69.316973278893556</v>
      </c>
    </row>
    <row r="69" spans="2:14" ht="22.2" customHeight="1" thickTop="1" thickBot="1">
      <c r="B69" s="337">
        <f>Sim_SAC!C58</f>
        <v>45853</v>
      </c>
      <c r="C69" s="338">
        <f t="shared" ca="1" si="0"/>
        <v>2705.2252863744097</v>
      </c>
      <c r="D69" s="338">
        <f ca="1">IF($E$18="SAC",Sim_SAC!D58,Sim_PRICE!D58)</f>
        <v>842.74931039701278</v>
      </c>
      <c r="E69" s="338">
        <f ca="1">IF($E$18="SAC",Sim_SAC!E58,Sim_PRICE!E58)</f>
        <v>1862.4759759773967</v>
      </c>
      <c r="F69" s="338">
        <f ca="1">IF($E$18="SAC",Sim_SAC!G58,Sim_PRICE!F58)</f>
        <v>273050.77656863193</v>
      </c>
      <c r="G69" s="338">
        <f ca="1">IF($E$18="SAC",Sim_SAC!H58,Sim_PRICE!G58)</f>
        <v>57.340663079412707</v>
      </c>
      <c r="H69" s="338">
        <f>IF($E$18="SAC",Sim_SAC!I58,Sim_PRICE!H58)</f>
        <v>34.369999999999997</v>
      </c>
      <c r="I69" s="338">
        <f>IF($E$18="SAC",Sim_SAC!J58,Sim_PRICE!I58)</f>
        <v>25</v>
      </c>
      <c r="J69" s="338">
        <f ca="1">IF($E$18="SAC",Sim_SAC!K58,Sim_PRICE!J58)</f>
        <v>2821.9359494538221</v>
      </c>
      <c r="L69" s="335"/>
      <c r="M69" s="335">
        <f t="shared" ca="1" si="2"/>
        <v>2821.9359494538221</v>
      </c>
      <c r="N69" s="336">
        <f t="shared" ca="1" si="1"/>
        <v>68.641884381634554</v>
      </c>
    </row>
    <row r="70" spans="2:14" ht="22.2" customHeight="1" thickTop="1" thickBot="1">
      <c r="B70" s="332">
        <f>Sim_SAC!C59</f>
        <v>45884</v>
      </c>
      <c r="C70" s="333">
        <f t="shared" ca="1" si="0"/>
        <v>2699.4945910637098</v>
      </c>
      <c r="D70" s="333">
        <f ca="1">IF($E$18="SAC",Sim_SAC!D59,Sim_PRICE!D59)</f>
        <v>842.74931039701278</v>
      </c>
      <c r="E70" s="333">
        <f ca="1">IF($E$18="SAC",Sim_SAC!E59,Sim_PRICE!E59)</f>
        <v>1856.745280666697</v>
      </c>
      <c r="F70" s="333">
        <f ca="1">IF($E$18="SAC",Sim_SAC!G59,Sim_PRICE!F59)</f>
        <v>272208.02725823491</v>
      </c>
      <c r="G70" s="333">
        <f ca="1">IF($E$18="SAC",Sim_SAC!H59,Sim_PRICE!G59)</f>
        <v>57.163685724229332</v>
      </c>
      <c r="H70" s="333">
        <f>IF($E$18="SAC",Sim_SAC!I59,Sim_PRICE!H59)</f>
        <v>34.369999999999997</v>
      </c>
      <c r="I70" s="333">
        <f>IF($E$18="SAC",Sim_SAC!J59,Sim_PRICE!I59)</f>
        <v>25</v>
      </c>
      <c r="J70" s="333">
        <f ca="1">IF($E$18="SAC",Sim_SAC!K59,Sim_PRICE!J59)</f>
        <v>2816.0282767879389</v>
      </c>
      <c r="L70" s="335"/>
      <c r="M70" s="335">
        <f t="shared" ca="1" si="2"/>
        <v>2816.0282767879389</v>
      </c>
      <c r="N70" s="336">
        <f t="shared" ca="1" si="1"/>
        <v>67.955312760100526</v>
      </c>
    </row>
    <row r="71" spans="2:14" ht="22.2" customHeight="1" thickTop="1" thickBot="1">
      <c r="B71" s="337">
        <f>Sim_SAC!C60</f>
        <v>45915</v>
      </c>
      <c r="C71" s="338">
        <f t="shared" ca="1" si="0"/>
        <v>2693.7638957530098</v>
      </c>
      <c r="D71" s="338">
        <f ca="1">IF($E$18="SAC",Sim_SAC!D60,Sim_PRICE!D60)</f>
        <v>842.74931039701278</v>
      </c>
      <c r="E71" s="338">
        <f ca="1">IF($E$18="SAC",Sim_SAC!E60,Sim_PRICE!E60)</f>
        <v>1851.0145853559973</v>
      </c>
      <c r="F71" s="338">
        <f ca="1">IF($E$18="SAC",Sim_SAC!G60,Sim_PRICE!F60)</f>
        <v>271365.27794783789</v>
      </c>
      <c r="G71" s="338">
        <f ca="1">IF($E$18="SAC",Sim_SAC!H60,Sim_PRICE!G60)</f>
        <v>56.986708369045964</v>
      </c>
      <c r="H71" s="338">
        <f>IF($E$18="SAC",Sim_SAC!I60,Sim_PRICE!H60)</f>
        <v>34.369999999999997</v>
      </c>
      <c r="I71" s="338">
        <f>IF($E$18="SAC",Sim_SAC!J60,Sim_PRICE!I60)</f>
        <v>25</v>
      </c>
      <c r="J71" s="338">
        <f ca="1">IF($E$18="SAC",Sim_SAC!K60,Sim_PRICE!J60)</f>
        <v>2810.1206041220557</v>
      </c>
      <c r="L71" s="335"/>
      <c r="M71" s="335">
        <f t="shared" ca="1" si="2"/>
        <v>2810.1206041220557</v>
      </c>
      <c r="N71" s="336">
        <f t="shared" ca="1" si="1"/>
        <v>67.275356886868607</v>
      </c>
    </row>
    <row r="72" spans="2:14" ht="22.2" customHeight="1" thickTop="1" thickBot="1">
      <c r="B72" s="332">
        <f>Sim_SAC!C61</f>
        <v>45945</v>
      </c>
      <c r="C72" s="333">
        <f t="shared" ca="1" si="0"/>
        <v>2688.0332004423103</v>
      </c>
      <c r="D72" s="333">
        <f ca="1">IF($E$18="SAC",Sim_SAC!D61,Sim_PRICE!D61)</f>
        <v>842.74931039701278</v>
      </c>
      <c r="E72" s="333">
        <f ca="1">IF($E$18="SAC",Sim_SAC!E61,Sim_PRICE!E61)</f>
        <v>1845.2838900452975</v>
      </c>
      <c r="F72" s="333">
        <f ca="1">IF($E$18="SAC",Sim_SAC!G61,Sim_PRICE!F61)</f>
        <v>270522.52863744088</v>
      </c>
      <c r="G72" s="333">
        <f ca="1">IF($E$18="SAC",Sim_SAC!H61,Sim_PRICE!G61)</f>
        <v>56.809731013862589</v>
      </c>
      <c r="H72" s="333">
        <f>IF($E$18="SAC",Sim_SAC!I61,Sim_PRICE!H61)</f>
        <v>34.369999999999997</v>
      </c>
      <c r="I72" s="333">
        <f>IF($E$18="SAC",Sim_SAC!J61,Sim_PRICE!I61)</f>
        <v>25</v>
      </c>
      <c r="J72" s="333">
        <f ca="1">IF($E$18="SAC",Sim_SAC!K61,Sim_PRICE!J61)</f>
        <v>2804.212931456173</v>
      </c>
      <c r="L72" s="335"/>
      <c r="M72" s="335">
        <f t="shared" ca="1" si="2"/>
        <v>2804.212931456173</v>
      </c>
      <c r="N72" s="336">
        <f t="shared" ca="1" si="1"/>
        <v>66.619404472517587</v>
      </c>
    </row>
    <row r="73" spans="2:14" ht="22.2" customHeight="1" thickTop="1" thickBot="1">
      <c r="B73" s="337">
        <f>Sim_SAC!C62</f>
        <v>45976</v>
      </c>
      <c r="C73" s="338">
        <f t="shared" ca="1" si="0"/>
        <v>2682.3025051316108</v>
      </c>
      <c r="D73" s="338">
        <f ca="1">IF($E$18="SAC",Sim_SAC!D62,Sim_PRICE!D62)</f>
        <v>842.74931039701278</v>
      </c>
      <c r="E73" s="338">
        <f ca="1">IF($E$18="SAC",Sim_SAC!E62,Sim_PRICE!E62)</f>
        <v>1839.5531947345978</v>
      </c>
      <c r="F73" s="338">
        <f ca="1">IF($E$18="SAC",Sim_SAC!G62,Sim_PRICE!F62)</f>
        <v>269679.77932704386</v>
      </c>
      <c r="G73" s="338">
        <f ca="1">IF($E$18="SAC",Sim_SAC!H62,Sim_PRICE!G62)</f>
        <v>56.632753658679214</v>
      </c>
      <c r="H73" s="338">
        <f>IF($E$18="SAC",Sim_SAC!I62,Sim_PRICE!H62)</f>
        <v>34.369999999999997</v>
      </c>
      <c r="I73" s="338">
        <f>IF($E$18="SAC",Sim_SAC!J62,Sim_PRICE!I62)</f>
        <v>25</v>
      </c>
      <c r="J73" s="338">
        <f ca="1">IF($E$18="SAC",Sim_SAC!K62,Sim_PRICE!J62)</f>
        <v>2798.3052587902898</v>
      </c>
      <c r="L73" s="335"/>
      <c r="M73" s="335">
        <f t="shared" ca="1" si="2"/>
        <v>2798.3052587902898</v>
      </c>
      <c r="N73" s="336">
        <f t="shared" ca="1" si="1"/>
        <v>65.952319624358367</v>
      </c>
    </row>
    <row r="74" spans="2:14" ht="22.2" customHeight="1" thickTop="1" thickBot="1">
      <c r="B74" s="332">
        <f>Sim_SAC!C63</f>
        <v>46006</v>
      </c>
      <c r="C74" s="333">
        <f t="shared" ca="1" si="0"/>
        <v>2676.5718098209109</v>
      </c>
      <c r="D74" s="333">
        <f ca="1">IF($E$18="SAC",Sim_SAC!D63,Sim_PRICE!D63)</f>
        <v>842.74931039701278</v>
      </c>
      <c r="E74" s="333">
        <f ca="1">IF($E$18="SAC",Sim_SAC!E63,Sim_PRICE!E63)</f>
        <v>1833.8224994238981</v>
      </c>
      <c r="F74" s="333">
        <f ca="1">IF($E$18="SAC",Sim_SAC!G63,Sim_PRICE!F63)</f>
        <v>268837.03001664684</v>
      </c>
      <c r="G74" s="333">
        <f ca="1">IF($E$18="SAC",Sim_SAC!H63,Sim_PRICE!G63)</f>
        <v>56.455776303495838</v>
      </c>
      <c r="H74" s="333">
        <f>IF($E$18="SAC",Sim_SAC!I63,Sim_PRICE!H63)</f>
        <v>34.369999999999997</v>
      </c>
      <c r="I74" s="333">
        <f>IF($E$18="SAC",Sim_SAC!J63,Sim_PRICE!I63)</f>
        <v>25</v>
      </c>
      <c r="J74" s="333">
        <f ca="1">IF($E$18="SAC",Sim_SAC!K63,Sim_PRICE!J63)</f>
        <v>2792.3975861244066</v>
      </c>
      <c r="L74" s="335"/>
      <c r="M74" s="335">
        <f t="shared" ca="1" si="2"/>
        <v>2792.3975861244066</v>
      </c>
      <c r="N74" s="336">
        <f t="shared" ca="1" si="1"/>
        <v>65.308774125187057</v>
      </c>
    </row>
    <row r="75" spans="2:14" ht="22.2" customHeight="1" thickTop="1" thickBot="1">
      <c r="B75" s="337">
        <f>Sim_SAC!C64</f>
        <v>46037</v>
      </c>
      <c r="C75" s="338">
        <f t="shared" ca="1" si="0"/>
        <v>2670.8411145102109</v>
      </c>
      <c r="D75" s="338">
        <f ca="1">IF($E$18="SAC",Sim_SAC!D64,Sim_PRICE!D64)</f>
        <v>842.74931039701278</v>
      </c>
      <c r="E75" s="338">
        <f ca="1">IF($E$18="SAC",Sim_SAC!E64,Sim_PRICE!E64)</f>
        <v>1828.0918041131984</v>
      </c>
      <c r="F75" s="338">
        <f ca="1">IF($E$18="SAC",Sim_SAC!G64,Sim_PRICE!F64)</f>
        <v>267994.28070624982</v>
      </c>
      <c r="G75" s="338">
        <f ca="1">IF($E$18="SAC",Sim_SAC!H64,Sim_PRICE!G64)</f>
        <v>56.278798948312463</v>
      </c>
      <c r="H75" s="338">
        <f>IF($E$18="SAC",Sim_SAC!I64,Sim_PRICE!H64)</f>
        <v>34.369999999999997</v>
      </c>
      <c r="I75" s="338">
        <f>IF($E$18="SAC",Sim_SAC!J64,Sim_PRICE!I64)</f>
        <v>25</v>
      </c>
      <c r="J75" s="338">
        <f ca="1">IF($E$18="SAC",Sim_SAC!K64,Sim_PRICE!J64)</f>
        <v>2786.4899134585235</v>
      </c>
      <c r="L75" s="335"/>
      <c r="M75" s="335">
        <f t="shared" ca="1" si="2"/>
        <v>2786.4899134585235</v>
      </c>
      <c r="N75" s="336">
        <f t="shared" ca="1" si="1"/>
        <v>64.654323098273522</v>
      </c>
    </row>
    <row r="76" spans="2:14" ht="22.2" customHeight="1" thickTop="1" thickBot="1">
      <c r="B76" s="332">
        <f>Sim_SAC!C65</f>
        <v>46068</v>
      </c>
      <c r="C76" s="333">
        <f t="shared" ca="1" si="0"/>
        <v>2665.1104191995114</v>
      </c>
      <c r="D76" s="333">
        <f ca="1">IF($E$18="SAC",Sim_SAC!D65,Sim_PRICE!D65)</f>
        <v>842.74931039701278</v>
      </c>
      <c r="E76" s="333">
        <f ca="1">IF($E$18="SAC",Sim_SAC!E65,Sim_PRICE!E65)</f>
        <v>1822.3611088024986</v>
      </c>
      <c r="F76" s="333">
        <f ca="1">IF($E$18="SAC",Sim_SAC!G65,Sim_PRICE!F65)</f>
        <v>267151.5313958528</v>
      </c>
      <c r="G76" s="333">
        <f ca="1">IF($E$18="SAC",Sim_SAC!H65,Sim_PRICE!G65)</f>
        <v>56.101821593129088</v>
      </c>
      <c r="H76" s="333">
        <f>IF($E$18="SAC",Sim_SAC!I65,Sim_PRICE!H65)</f>
        <v>34.369999999999997</v>
      </c>
      <c r="I76" s="333">
        <f>IF($E$18="SAC",Sim_SAC!J65,Sim_PRICE!I65)</f>
        <v>25</v>
      </c>
      <c r="J76" s="333">
        <f ca="1">IF($E$18="SAC",Sim_SAC!K65,Sim_PRICE!J65)</f>
        <v>2780.5822407926403</v>
      </c>
      <c r="L76" s="335"/>
      <c r="M76" s="335">
        <f t="shared" ca="1" si="2"/>
        <v>2780.5822407926403</v>
      </c>
      <c r="N76" s="336">
        <f t="shared" ca="1" si="1"/>
        <v>64.006186273801504</v>
      </c>
    </row>
    <row r="77" spans="2:14" ht="22.2" customHeight="1" thickTop="1" thickBot="1">
      <c r="B77" s="337">
        <f>Sim_SAC!C66</f>
        <v>46096</v>
      </c>
      <c r="C77" s="338">
        <f t="shared" ca="1" si="0"/>
        <v>2659.3797238888119</v>
      </c>
      <c r="D77" s="338">
        <f ca="1">IF($E$18="SAC",Sim_SAC!D66,Sim_PRICE!D66)</f>
        <v>842.74931039701278</v>
      </c>
      <c r="E77" s="338">
        <f ca="1">IF($E$18="SAC",Sim_SAC!E66,Sim_PRICE!E66)</f>
        <v>1816.6304134917989</v>
      </c>
      <c r="F77" s="338">
        <f ca="1">IF($E$18="SAC",Sim_SAC!G66,Sim_PRICE!F66)</f>
        <v>266308.78208545578</v>
      </c>
      <c r="G77" s="338">
        <f ca="1">IF($E$18="SAC",Sim_SAC!H66,Sim_PRICE!G66)</f>
        <v>55.924844237945713</v>
      </c>
      <c r="H77" s="338">
        <f>IF($E$18="SAC",Sim_SAC!I66,Sim_PRICE!H66)</f>
        <v>34.369999999999997</v>
      </c>
      <c r="I77" s="338">
        <f>IF($E$18="SAC",Sim_SAC!J66,Sim_PRICE!I66)</f>
        <v>25</v>
      </c>
      <c r="J77" s="338">
        <f ca="1">IF($E$18="SAC",Sim_SAC!K66,Sim_PRICE!J66)</f>
        <v>2774.6745681267575</v>
      </c>
      <c r="L77" s="335"/>
      <c r="M77" s="335">
        <f t="shared" ca="1" si="2"/>
        <v>2774.6745681267575</v>
      </c>
      <c r="N77" s="336">
        <f t="shared" ca="1" si="1"/>
        <v>63.414122009978989</v>
      </c>
    </row>
    <row r="78" spans="2:14" ht="22.2" customHeight="1" thickTop="1" thickBot="1">
      <c r="B78" s="332">
        <f>Sim_SAC!C67</f>
        <v>46127</v>
      </c>
      <c r="C78" s="333">
        <f t="shared" ca="1" si="0"/>
        <v>2653.6490285781119</v>
      </c>
      <c r="D78" s="333">
        <f ca="1">IF($E$18="SAC",Sim_SAC!D67,Sim_PRICE!D67)</f>
        <v>842.74931039701278</v>
      </c>
      <c r="E78" s="333">
        <f ca="1">IF($E$18="SAC",Sim_SAC!E67,Sim_PRICE!E67)</f>
        <v>1810.8997181810992</v>
      </c>
      <c r="F78" s="333">
        <f ca="1">IF($E$18="SAC",Sim_SAC!G67,Sim_PRICE!F67)</f>
        <v>265466.03277505876</v>
      </c>
      <c r="G78" s="333">
        <f ca="1">IF($E$18="SAC",Sim_SAC!H67,Sim_PRICE!G67)</f>
        <v>55.747866882762345</v>
      </c>
      <c r="H78" s="333">
        <f>IF($E$18="SAC",Sim_SAC!I67,Sim_PRICE!H67)</f>
        <v>34.369999999999997</v>
      </c>
      <c r="I78" s="333">
        <f>IF($E$18="SAC",Sim_SAC!J67,Sim_PRICE!I67)</f>
        <v>25</v>
      </c>
      <c r="J78" s="333">
        <f ca="1">IF($E$18="SAC",Sim_SAC!K67,Sim_PRICE!J67)</f>
        <v>2768.7668954608744</v>
      </c>
      <c r="L78" s="335"/>
      <c r="M78" s="335">
        <f t="shared" ca="1" si="2"/>
        <v>2768.7668954608744</v>
      </c>
      <c r="N78" s="336">
        <f t="shared" ca="1" si="1"/>
        <v>62.777936372074386</v>
      </c>
    </row>
    <row r="79" spans="2:14" ht="22.2" customHeight="1" thickTop="1" thickBot="1">
      <c r="B79" s="337">
        <f>Sim_SAC!C68</f>
        <v>46157</v>
      </c>
      <c r="C79" s="338">
        <f t="shared" ca="1" si="0"/>
        <v>2647.918333267412</v>
      </c>
      <c r="D79" s="338">
        <f ca="1">IF($E$18="SAC",Sim_SAC!D68,Sim_PRICE!D68)</f>
        <v>842.74931039701278</v>
      </c>
      <c r="E79" s="338">
        <f ca="1">IF($E$18="SAC",Sim_SAC!E68,Sim_PRICE!E68)</f>
        <v>1805.1690228703994</v>
      </c>
      <c r="F79" s="338">
        <f ca="1">IF($E$18="SAC",Sim_SAC!G68,Sim_PRICE!F68)</f>
        <v>264623.28346466174</v>
      </c>
      <c r="G79" s="338">
        <f ca="1">IF($E$18="SAC",Sim_SAC!H68,Sim_PRICE!G68)</f>
        <v>55.57088952757897</v>
      </c>
      <c r="H79" s="338">
        <f>IF($E$18="SAC",Sim_SAC!I68,Sim_PRICE!H68)</f>
        <v>34.369999999999997</v>
      </c>
      <c r="I79" s="338">
        <f>IF($E$18="SAC",Sim_SAC!J68,Sim_PRICE!I68)</f>
        <v>25</v>
      </c>
      <c r="J79" s="338">
        <f ca="1">IF($E$18="SAC",Sim_SAC!K68,Sim_PRICE!J68)</f>
        <v>2762.8592227949907</v>
      </c>
      <c r="L79" s="335"/>
      <c r="M79" s="335">
        <f t="shared" ca="1" si="2"/>
        <v>2762.8592227949907</v>
      </c>
      <c r="N79" s="336">
        <f t="shared" ca="1" si="1"/>
        <v>62.164176258824192</v>
      </c>
    </row>
    <row r="80" spans="2:14" ht="22.2" customHeight="1" thickTop="1" thickBot="1">
      <c r="B80" s="332">
        <f>Sim_SAC!C69</f>
        <v>46188</v>
      </c>
      <c r="C80" s="333">
        <f t="shared" ca="1" si="0"/>
        <v>2642.1876379567125</v>
      </c>
      <c r="D80" s="333">
        <f ca="1">IF($E$18="SAC",Sim_SAC!D69,Sim_PRICE!D69)</f>
        <v>842.74931039701278</v>
      </c>
      <c r="E80" s="333">
        <f ca="1">IF($E$18="SAC",Sim_SAC!E69,Sim_PRICE!E69)</f>
        <v>1799.4383275596997</v>
      </c>
      <c r="F80" s="333">
        <f ca="1">IF($E$18="SAC",Sim_SAC!G69,Sim_PRICE!F69)</f>
        <v>263780.53415426472</v>
      </c>
      <c r="G80" s="333">
        <f ca="1">IF($E$18="SAC",Sim_SAC!H69,Sim_PRICE!G69)</f>
        <v>55.393912172395595</v>
      </c>
      <c r="H80" s="333">
        <f>IF($E$18="SAC",Sim_SAC!I69,Sim_PRICE!H69)</f>
        <v>34.369999999999997</v>
      </c>
      <c r="I80" s="333">
        <f>IF($E$18="SAC",Sim_SAC!J69,Sim_PRICE!I69)</f>
        <v>25</v>
      </c>
      <c r="J80" s="333">
        <f ca="1">IF($E$18="SAC",Sim_SAC!K69,Sim_PRICE!J69)</f>
        <v>2756.951550129108</v>
      </c>
      <c r="L80" s="335"/>
      <c r="M80" s="335">
        <f t="shared" ca="1" si="2"/>
        <v>2756.951550129108</v>
      </c>
      <c r="N80" s="336">
        <f t="shared" ca="1" si="1"/>
        <v>61.540054757334914</v>
      </c>
    </row>
    <row r="81" spans="2:14" ht="22.2" customHeight="1" thickTop="1" thickBot="1">
      <c r="B81" s="337">
        <f>Sim_SAC!C70</f>
        <v>46218</v>
      </c>
      <c r="C81" s="338">
        <f t="shared" ca="1" si="0"/>
        <v>2636.456942646013</v>
      </c>
      <c r="D81" s="338">
        <f ca="1">IF($E$18="SAC",Sim_SAC!D70,Sim_PRICE!D70)</f>
        <v>842.74931039701278</v>
      </c>
      <c r="E81" s="338">
        <f ca="1">IF($E$18="SAC",Sim_SAC!E70,Sim_PRICE!E70)</f>
        <v>1793.707632249</v>
      </c>
      <c r="F81" s="338">
        <f ca="1">IF($E$18="SAC",Sim_SAC!G70,Sim_PRICE!F70)</f>
        <v>262937.7848438677</v>
      </c>
      <c r="G81" s="338">
        <f ca="1">IF($E$18="SAC",Sim_SAC!H70,Sim_PRICE!G70)</f>
        <v>55.21693481721222</v>
      </c>
      <c r="H81" s="338">
        <f>IF($E$18="SAC",Sim_SAC!I70,Sim_PRICE!H70)</f>
        <v>34.369999999999997</v>
      </c>
      <c r="I81" s="338">
        <f>IF($E$18="SAC",Sim_SAC!J70,Sim_PRICE!I70)</f>
        <v>25</v>
      </c>
      <c r="J81" s="338">
        <f ca="1">IF($E$18="SAC",Sim_SAC!K70,Sim_PRICE!J70)</f>
        <v>2751.0438774632253</v>
      </c>
      <c r="L81" s="335"/>
      <c r="M81" s="335">
        <f t="shared" ca="1" si="2"/>
        <v>2751.0438774632253</v>
      </c>
      <c r="N81" s="336">
        <f t="shared" ca="1" si="1"/>
        <v>60.937924201007512</v>
      </c>
    </row>
    <row r="82" spans="2:14" ht="22.2" customHeight="1" thickTop="1" thickBot="1">
      <c r="B82" s="332">
        <f>Sim_SAC!C71</f>
        <v>46249</v>
      </c>
      <c r="C82" s="333">
        <f t="shared" ca="1" si="0"/>
        <v>2630.726247335313</v>
      </c>
      <c r="D82" s="333">
        <f ca="1">IF($E$18="SAC",Sim_SAC!D71,Sim_PRICE!D71)</f>
        <v>842.74931039701278</v>
      </c>
      <c r="E82" s="333">
        <f ca="1">IF($E$18="SAC",Sim_SAC!E71,Sim_PRICE!E71)</f>
        <v>1787.9769369383002</v>
      </c>
      <c r="F82" s="333">
        <f ca="1">IF($E$18="SAC",Sim_SAC!G71,Sim_PRICE!F71)</f>
        <v>262095.03553347068</v>
      </c>
      <c r="G82" s="333">
        <f ca="1">IF($E$18="SAC",Sim_SAC!H71,Sim_PRICE!G71)</f>
        <v>55.039957462028845</v>
      </c>
      <c r="H82" s="333">
        <f>IF($E$18="SAC",Sim_SAC!I71,Sim_PRICE!H71)</f>
        <v>34.369999999999997</v>
      </c>
      <c r="I82" s="333">
        <f>IF($E$18="SAC",Sim_SAC!J71,Sim_PRICE!I71)</f>
        <v>25</v>
      </c>
      <c r="J82" s="333">
        <f ca="1">IF($E$18="SAC",Sim_SAC!K71,Sim_PRICE!J71)</f>
        <v>2745.1362047973416</v>
      </c>
      <c r="L82" s="335"/>
      <c r="M82" s="335">
        <f t="shared" ca="1" si="2"/>
        <v>2745.1362047973416</v>
      </c>
      <c r="N82" s="336">
        <f t="shared" ca="1" si="1"/>
        <v>60.325644215086939</v>
      </c>
    </row>
    <row r="83" spans="2:14" ht="22.2" customHeight="1" thickTop="1" thickBot="1">
      <c r="B83" s="337">
        <f>Sim_SAC!C72</f>
        <v>46280</v>
      </c>
      <c r="C83" s="338">
        <f t="shared" ca="1" si="0"/>
        <v>2624.9955520246131</v>
      </c>
      <c r="D83" s="338">
        <f ca="1">IF($E$18="SAC",Sim_SAC!D72,Sim_PRICE!D72)</f>
        <v>842.74931039701278</v>
      </c>
      <c r="E83" s="338">
        <f ca="1">IF($E$18="SAC",Sim_SAC!E72,Sim_PRICE!E72)</f>
        <v>1782.2462416276005</v>
      </c>
      <c r="F83" s="338">
        <f ca="1">IF($E$18="SAC",Sim_SAC!G72,Sim_PRICE!F72)</f>
        <v>261252.28622307366</v>
      </c>
      <c r="G83" s="338">
        <f ca="1">IF($E$18="SAC",Sim_SAC!H72,Sim_PRICE!G72)</f>
        <v>54.86298010684547</v>
      </c>
      <c r="H83" s="338">
        <f>IF($E$18="SAC",Sim_SAC!I72,Sim_PRICE!H72)</f>
        <v>34.369999999999997</v>
      </c>
      <c r="I83" s="338">
        <f>IF($E$18="SAC",Sim_SAC!J72,Sim_PRICE!I72)</f>
        <v>25</v>
      </c>
      <c r="J83" s="338">
        <f ca="1">IF($E$18="SAC",Sim_SAC!K72,Sim_PRICE!J72)</f>
        <v>2739.2285321314585</v>
      </c>
      <c r="L83" s="335"/>
      <c r="M83" s="335">
        <f t="shared" ca="1" si="2"/>
        <v>2739.2285321314585</v>
      </c>
      <c r="N83" s="336">
        <f t="shared" ca="1" si="1"/>
        <v>59.719282193915227</v>
      </c>
    </row>
    <row r="84" spans="2:14" ht="22.2" customHeight="1" thickTop="1" thickBot="1">
      <c r="B84" s="332">
        <f>Sim_SAC!C73</f>
        <v>46310</v>
      </c>
      <c r="C84" s="333">
        <f t="shared" ca="1" si="0"/>
        <v>2619.2648567139136</v>
      </c>
      <c r="D84" s="333">
        <f ca="1">IF($E$18="SAC",Sim_SAC!D73,Sim_PRICE!D73)</f>
        <v>842.74931039701278</v>
      </c>
      <c r="E84" s="333">
        <f ca="1">IF($E$18="SAC",Sim_SAC!E73,Sim_PRICE!E73)</f>
        <v>1776.5155463169008</v>
      </c>
      <c r="F84" s="333">
        <f ca="1">IF($E$18="SAC",Sim_SAC!G73,Sim_PRICE!F73)</f>
        <v>260409.53691267665</v>
      </c>
      <c r="G84" s="333">
        <f ca="1">IF($E$18="SAC",Sim_SAC!H73,Sim_PRICE!G73)</f>
        <v>54.686002751662095</v>
      </c>
      <c r="H84" s="333">
        <f>IF($E$18="SAC",Sim_SAC!I73,Sim_PRICE!H73)</f>
        <v>34.369999999999997</v>
      </c>
      <c r="I84" s="333">
        <f>IF($E$18="SAC",Sim_SAC!J73,Sim_PRICE!I73)</f>
        <v>25</v>
      </c>
      <c r="J84" s="333">
        <f ca="1">IF($E$18="SAC",Sim_SAC!K73,Sim_PRICE!J73)</f>
        <v>2733.3208594655757</v>
      </c>
      <c r="L84" s="335"/>
      <c r="M84" s="335">
        <f t="shared" ca="1" si="2"/>
        <v>2733.3208594655757</v>
      </c>
      <c r="N84" s="336">
        <f t="shared" ca="1" si="1"/>
        <v>59.134271672971401</v>
      </c>
    </row>
    <row r="85" spans="2:14" ht="22.2" customHeight="1" thickTop="1" thickBot="1">
      <c r="B85" s="337">
        <f>Sim_SAC!C74</f>
        <v>46341</v>
      </c>
      <c r="C85" s="338">
        <f t="shared" ca="1" si="0"/>
        <v>2613.5341614032141</v>
      </c>
      <c r="D85" s="338">
        <f ca="1">IF($E$18="SAC",Sim_SAC!D74,Sim_PRICE!D74)</f>
        <v>842.74931039701278</v>
      </c>
      <c r="E85" s="338">
        <f ca="1">IF($E$18="SAC",Sim_SAC!E74,Sim_PRICE!E74)</f>
        <v>1770.7848510062011</v>
      </c>
      <c r="F85" s="338">
        <f ca="1">IF($E$18="SAC",Sim_SAC!G74,Sim_PRICE!F74)</f>
        <v>259566.78760227963</v>
      </c>
      <c r="G85" s="338">
        <f ca="1">IF($E$18="SAC",Sim_SAC!H74,Sim_PRICE!G74)</f>
        <v>54.509025396478727</v>
      </c>
      <c r="H85" s="338">
        <f>IF($E$18="SAC",Sim_SAC!I74,Sim_PRICE!H74)</f>
        <v>34.369999999999997</v>
      </c>
      <c r="I85" s="338">
        <f>IF($E$18="SAC",Sim_SAC!J74,Sim_PRICE!I74)</f>
        <v>25</v>
      </c>
      <c r="J85" s="338">
        <f ca="1">IF($E$18="SAC",Sim_SAC!K74,Sim_PRICE!J74)</f>
        <v>2727.4131867996925</v>
      </c>
      <c r="L85" s="335"/>
      <c r="M85" s="335">
        <f t="shared" ca="1" si="2"/>
        <v>2727.4131867996925</v>
      </c>
      <c r="N85" s="336">
        <f t="shared" ca="1" si="1"/>
        <v>58.539423255107891</v>
      </c>
    </row>
    <row r="86" spans="2:14" ht="22.2" customHeight="1" thickTop="1" thickBot="1">
      <c r="B86" s="332">
        <f>Sim_SAC!C75</f>
        <v>46371</v>
      </c>
      <c r="C86" s="333">
        <f t="shared" ca="1" si="0"/>
        <v>2607.8034660925141</v>
      </c>
      <c r="D86" s="333">
        <f ca="1">IF($E$18="SAC",Sim_SAC!D75,Sim_PRICE!D75)</f>
        <v>842.74931039701278</v>
      </c>
      <c r="E86" s="333">
        <f ca="1">IF($E$18="SAC",Sim_SAC!E75,Sim_PRICE!E75)</f>
        <v>1765.0541556955013</v>
      </c>
      <c r="F86" s="333">
        <f ca="1">IF($E$18="SAC",Sim_SAC!G75,Sim_PRICE!F75)</f>
        <v>258724.03829188261</v>
      </c>
      <c r="G86" s="333">
        <f ca="1">IF($E$18="SAC",Sim_SAC!H75,Sim_PRICE!G75)</f>
        <v>54.332048041295351</v>
      </c>
      <c r="H86" s="333">
        <f>IF($E$18="SAC",Sim_SAC!I75,Sim_PRICE!H75)</f>
        <v>34.369999999999997</v>
      </c>
      <c r="I86" s="333">
        <f>IF($E$18="SAC",Sim_SAC!J75,Sim_PRICE!I75)</f>
        <v>25</v>
      </c>
      <c r="J86" s="333">
        <f ca="1">IF($E$18="SAC",Sim_SAC!K75,Sim_PRICE!J75)</f>
        <v>2721.5055141338094</v>
      </c>
      <c r="L86" s="335"/>
      <c r="M86" s="335">
        <f t="shared" ca="1" si="2"/>
        <v>2721.5055141338094</v>
      </c>
      <c r="N86" s="336">
        <f t="shared" ca="1" si="1"/>
        <v>57.965511890927374</v>
      </c>
    </row>
    <row r="87" spans="2:14" ht="22.2" customHeight="1" thickTop="1" thickBot="1">
      <c r="B87" s="337">
        <f>Sim_SAC!C76</f>
        <v>46402</v>
      </c>
      <c r="C87" s="338">
        <f t="shared" ca="1" si="0"/>
        <v>2602.0727707818141</v>
      </c>
      <c r="D87" s="338">
        <f ca="1">IF($E$18="SAC",Sim_SAC!D76,Sim_PRICE!D76)</f>
        <v>842.74931039701278</v>
      </c>
      <c r="E87" s="338">
        <f ca="1">IF($E$18="SAC",Sim_SAC!E76,Sim_PRICE!E76)</f>
        <v>1759.3234603848016</v>
      </c>
      <c r="F87" s="338">
        <f ca="1">IF($E$18="SAC",Sim_SAC!G76,Sim_PRICE!F76)</f>
        <v>257881.28898148559</v>
      </c>
      <c r="G87" s="338">
        <f ca="1">IF($E$18="SAC",Sim_SAC!H76,Sim_PRICE!G76)</f>
        <v>54.155070686111976</v>
      </c>
      <c r="H87" s="338">
        <f>IF($E$18="SAC",Sim_SAC!I76,Sim_PRICE!H76)</f>
        <v>34.369999999999997</v>
      </c>
      <c r="I87" s="338">
        <f>IF($E$18="SAC",Sim_SAC!J76,Sim_PRICE!I76)</f>
        <v>25</v>
      </c>
      <c r="J87" s="338">
        <f ca="1">IF($E$18="SAC",Sim_SAC!K76,Sim_PRICE!J76)</f>
        <v>2715.5978414679262</v>
      </c>
      <c r="L87" s="335"/>
      <c r="M87" s="335">
        <f t="shared" ca="1" si="2"/>
        <v>2715.5978414679262</v>
      </c>
      <c r="N87" s="336">
        <f t="shared" ca="1" si="1"/>
        <v>57.381964415527683</v>
      </c>
    </row>
    <row r="88" spans="2:14" ht="22.2" customHeight="1" thickTop="1" thickBot="1">
      <c r="B88" s="332">
        <f>Sim_SAC!C77</f>
        <v>46433</v>
      </c>
      <c r="C88" s="333">
        <f t="shared" ca="1" si="0"/>
        <v>2596.3420754711146</v>
      </c>
      <c r="D88" s="333">
        <f ca="1">IF($E$18="SAC",Sim_SAC!D77,Sim_PRICE!D77)</f>
        <v>842.74931039701278</v>
      </c>
      <c r="E88" s="333">
        <f ca="1">IF($E$18="SAC",Sim_SAC!E77,Sim_PRICE!E77)</f>
        <v>1753.5927650741019</v>
      </c>
      <c r="F88" s="333">
        <f ca="1">IF($E$18="SAC",Sim_SAC!G77,Sim_PRICE!F77)</f>
        <v>257038.53967108857</v>
      </c>
      <c r="G88" s="333">
        <f ca="1">IF($E$18="SAC",Sim_SAC!H77,Sim_PRICE!G77)</f>
        <v>53.978093330928601</v>
      </c>
      <c r="H88" s="333">
        <f>IF($E$18="SAC",Sim_SAC!I77,Sim_PRICE!H77)</f>
        <v>34.369999999999997</v>
      </c>
      <c r="I88" s="333">
        <f>IF($E$18="SAC",Sim_SAC!J77,Sim_PRICE!I77)</f>
        <v>25</v>
      </c>
      <c r="J88" s="333">
        <f ca="1">IF($E$18="SAC",Sim_SAC!K77,Sim_PRICE!J77)</f>
        <v>2709.690168802043</v>
      </c>
      <c r="L88" s="335"/>
      <c r="M88" s="335">
        <f t="shared" ca="1" si="2"/>
        <v>2709.690168802043</v>
      </c>
      <c r="N88" s="336">
        <f t="shared" ca="1" si="1"/>
        <v>56.804064569432185</v>
      </c>
    </row>
    <row r="89" spans="2:14" ht="22.2" customHeight="1" thickTop="1" thickBot="1">
      <c r="B89" s="337">
        <f>Sim_SAC!C78</f>
        <v>46461</v>
      </c>
      <c r="C89" s="338">
        <f t="shared" ca="1" si="0"/>
        <v>2590.6113801604151</v>
      </c>
      <c r="D89" s="338">
        <f ca="1">IF($E$18="SAC",Sim_SAC!D78,Sim_PRICE!D78)</f>
        <v>842.74931039701278</v>
      </c>
      <c r="E89" s="338">
        <f ca="1">IF($E$18="SAC",Sim_SAC!E78,Sim_PRICE!E78)</f>
        <v>1747.8620697634021</v>
      </c>
      <c r="F89" s="338">
        <f ca="1">IF($E$18="SAC",Sim_SAC!G78,Sim_PRICE!F78)</f>
        <v>256195.79036069155</v>
      </c>
      <c r="G89" s="338">
        <f ca="1">IF($E$18="SAC",Sim_SAC!H78,Sim_PRICE!G78)</f>
        <v>53.801115975745226</v>
      </c>
      <c r="H89" s="338">
        <f>IF($E$18="SAC",Sim_SAC!I78,Sim_PRICE!H78)</f>
        <v>34.369999999999997</v>
      </c>
      <c r="I89" s="338">
        <f>IF($E$18="SAC",Sim_SAC!J78,Sim_PRICE!I78)</f>
        <v>25</v>
      </c>
      <c r="J89" s="338">
        <f ca="1">IF($E$18="SAC",Sim_SAC!K78,Sim_PRICE!J78)</f>
        <v>2703.7824961361603</v>
      </c>
      <c r="L89" s="335"/>
      <c r="M89" s="335">
        <f t="shared" ca="1" si="2"/>
        <v>2703.7824961361603</v>
      </c>
      <c r="N89" s="336">
        <f t="shared" ca="1" si="1"/>
        <v>56.275969172784762</v>
      </c>
    </row>
    <row r="90" spans="2:14" ht="22.2" customHeight="1" thickTop="1" thickBot="1">
      <c r="B90" s="332">
        <f>Sim_SAC!C79</f>
        <v>46492</v>
      </c>
      <c r="C90" s="333">
        <f t="shared" ca="1" si="0"/>
        <v>2584.8806848497152</v>
      </c>
      <c r="D90" s="333">
        <f ca="1">IF($E$18="SAC",Sim_SAC!D79,Sim_PRICE!D79)</f>
        <v>842.74931039701278</v>
      </c>
      <c r="E90" s="333">
        <f ca="1">IF($E$18="SAC",Sim_SAC!E79,Sim_PRICE!E79)</f>
        <v>1742.1313744527024</v>
      </c>
      <c r="F90" s="333">
        <f ca="1">IF($E$18="SAC",Sim_SAC!G79,Sim_PRICE!F79)</f>
        <v>255353.04105029453</v>
      </c>
      <c r="G90" s="333">
        <f ca="1">IF($E$18="SAC",Sim_SAC!H79,Sim_PRICE!G79)</f>
        <v>53.624138620561851</v>
      </c>
      <c r="H90" s="333">
        <f>IF($E$18="SAC",Sim_SAC!I79,Sim_PRICE!H79)</f>
        <v>34.369999999999997</v>
      </c>
      <c r="I90" s="333">
        <f>IF($E$18="SAC",Sim_SAC!J79,Sim_PRICE!I79)</f>
        <v>25</v>
      </c>
      <c r="J90" s="333">
        <f ca="1">IF($E$18="SAC",Sim_SAC!K79,Sim_PRICE!J79)</f>
        <v>2697.8748234702771</v>
      </c>
      <c r="L90" s="335"/>
      <c r="M90" s="335">
        <f t="shared" ca="1" si="2"/>
        <v>2697.8748234702771</v>
      </c>
      <c r="N90" s="336">
        <f t="shared" ca="1" si="1"/>
        <v>55.708759931455241</v>
      </c>
    </row>
    <row r="91" spans="2:14" ht="22.2" customHeight="1" thickTop="1" thickBot="1">
      <c r="B91" s="337">
        <f>Sim_SAC!C80</f>
        <v>46522</v>
      </c>
      <c r="C91" s="338">
        <f t="shared" ca="1" si="0"/>
        <v>2579.1499895390152</v>
      </c>
      <c r="D91" s="338">
        <f ca="1">IF($E$18="SAC",Sim_SAC!D80,Sim_PRICE!D80)</f>
        <v>842.74931039701278</v>
      </c>
      <c r="E91" s="338">
        <f ca="1">IF($E$18="SAC",Sim_SAC!E80,Sim_PRICE!E80)</f>
        <v>1736.4006791420027</v>
      </c>
      <c r="F91" s="338">
        <f ca="1">IF($E$18="SAC",Sim_SAC!G80,Sim_PRICE!F80)</f>
        <v>254510.29173989751</v>
      </c>
      <c r="G91" s="338">
        <f ca="1">IF($E$18="SAC",Sim_SAC!H80,Sim_PRICE!G80)</f>
        <v>53.447161265378483</v>
      </c>
      <c r="H91" s="338">
        <f>IF($E$18="SAC",Sim_SAC!I80,Sim_PRICE!H80)</f>
        <v>34.369999999999997</v>
      </c>
      <c r="I91" s="338">
        <f>IF($E$18="SAC",Sim_SAC!J80,Sim_PRICE!I80)</f>
        <v>25</v>
      </c>
      <c r="J91" s="338">
        <f ca="1">IF($E$18="SAC",Sim_SAC!K80,Sim_PRICE!J80)</f>
        <v>2691.9671508043934</v>
      </c>
      <c r="L91" s="335"/>
      <c r="M91" s="335">
        <f t="shared" ca="1" si="2"/>
        <v>2691.9671508043934</v>
      </c>
      <c r="N91" s="336">
        <f t="shared" ca="1" si="1"/>
        <v>55.161493164802607</v>
      </c>
    </row>
    <row r="92" spans="2:14" ht="22.2" customHeight="1" thickTop="1" thickBot="1">
      <c r="B92" s="332">
        <f>Sim_SAC!C81</f>
        <v>46553</v>
      </c>
      <c r="C92" s="333">
        <f t="shared" ca="1" si="0"/>
        <v>2573.4192942283157</v>
      </c>
      <c r="D92" s="333">
        <f ca="1">IF($E$18="SAC",Sim_SAC!D81,Sim_PRICE!D81)</f>
        <v>842.74931039701278</v>
      </c>
      <c r="E92" s="333">
        <f ca="1">IF($E$18="SAC",Sim_SAC!E81,Sim_PRICE!E81)</f>
        <v>1730.6699838313029</v>
      </c>
      <c r="F92" s="333">
        <f ca="1">IF($E$18="SAC",Sim_SAC!G81,Sim_PRICE!F81)</f>
        <v>253667.54242950049</v>
      </c>
      <c r="G92" s="333">
        <f ca="1">IF($E$18="SAC",Sim_SAC!H81,Sim_PRICE!G81)</f>
        <v>53.270183910195108</v>
      </c>
      <c r="H92" s="333">
        <f>IF($E$18="SAC",Sim_SAC!I81,Sim_PRICE!H81)</f>
        <v>34.369999999999997</v>
      </c>
      <c r="I92" s="333">
        <f>IF($E$18="SAC",Sim_SAC!J81,Sim_PRICE!I81)</f>
        <v>25</v>
      </c>
      <c r="J92" s="333">
        <f ca="1">IF($E$18="SAC",Sim_SAC!K81,Sim_PRICE!J81)</f>
        <v>2686.0594781385107</v>
      </c>
      <c r="L92" s="335"/>
      <c r="M92" s="335">
        <f t="shared" ca="1" si="2"/>
        <v>2686.0594781385107</v>
      </c>
      <c r="N92" s="336">
        <f t="shared" ca="1" si="1"/>
        <v>54.605074142911356</v>
      </c>
    </row>
    <row r="93" spans="2:14" ht="22.2" customHeight="1" thickTop="1" thickBot="1">
      <c r="B93" s="337">
        <f>Sim_SAC!C82</f>
        <v>46583</v>
      </c>
      <c r="C93" s="338">
        <f t="shared" ca="1" si="0"/>
        <v>2567.6885989176162</v>
      </c>
      <c r="D93" s="338">
        <f ca="1">IF($E$18="SAC",Sim_SAC!D82,Sim_PRICE!D82)</f>
        <v>842.74931039701278</v>
      </c>
      <c r="E93" s="338">
        <f ca="1">IF($E$18="SAC",Sim_SAC!E82,Sim_PRICE!E82)</f>
        <v>1724.9392885206032</v>
      </c>
      <c r="F93" s="338">
        <f ca="1">IF($E$18="SAC",Sim_SAC!G82,Sim_PRICE!F82)</f>
        <v>252824.79311910347</v>
      </c>
      <c r="G93" s="338">
        <f ca="1">IF($E$18="SAC",Sim_SAC!H82,Sim_PRICE!G82)</f>
        <v>53.093206555011733</v>
      </c>
      <c r="H93" s="338">
        <f>IF($E$18="SAC",Sim_SAC!I82,Sim_PRICE!H82)</f>
        <v>34.369999999999997</v>
      </c>
      <c r="I93" s="338">
        <f>IF($E$18="SAC",Sim_SAC!J82,Sim_PRICE!I82)</f>
        <v>25</v>
      </c>
      <c r="J93" s="338">
        <f ca="1">IF($E$18="SAC",Sim_SAC!K82,Sim_PRICE!J82)</f>
        <v>2680.151805472628</v>
      </c>
      <c r="L93" s="335"/>
      <c r="M93" s="335">
        <f t="shared" ca="1" si="2"/>
        <v>2680.151805472628</v>
      </c>
      <c r="N93" s="336">
        <f t="shared" ca="1" si="1"/>
        <v>54.068209590088117</v>
      </c>
    </row>
    <row r="94" spans="2:14" ht="22.2" customHeight="1" thickTop="1" thickBot="1">
      <c r="B94" s="332">
        <f>Sim_SAC!C83</f>
        <v>46614</v>
      </c>
      <c r="C94" s="333">
        <f t="shared" ca="1" si="0"/>
        <v>2561.9579036069163</v>
      </c>
      <c r="D94" s="333">
        <f ca="1">IF($E$18="SAC",Sim_SAC!D83,Sim_PRICE!D83)</f>
        <v>842.74931039701278</v>
      </c>
      <c r="E94" s="333">
        <f ca="1">IF($E$18="SAC",Sim_SAC!E83,Sim_PRICE!E83)</f>
        <v>1719.2085932099035</v>
      </c>
      <c r="F94" s="333">
        <f ca="1">IF($E$18="SAC",Sim_SAC!G83,Sim_PRICE!F83)</f>
        <v>251982.04380870645</v>
      </c>
      <c r="G94" s="333">
        <f ca="1">IF($E$18="SAC",Sim_SAC!H83,Sim_PRICE!G83)</f>
        <v>52.916229199828358</v>
      </c>
      <c r="H94" s="333">
        <f>IF($E$18="SAC",Sim_SAC!I83,Sim_PRICE!H83)</f>
        <v>34.369999999999997</v>
      </c>
      <c r="I94" s="333">
        <f>IF($E$18="SAC",Sim_SAC!J83,Sim_PRICE!I83)</f>
        <v>25</v>
      </c>
      <c r="J94" s="333">
        <f ca="1">IF($E$18="SAC",Sim_SAC!K83,Sim_PRICE!J83)</f>
        <v>2674.2441328067443</v>
      </c>
      <c r="L94" s="335"/>
      <c r="M94" s="335">
        <f t="shared" ca="1" si="2"/>
        <v>2674.2441328067443</v>
      </c>
      <c r="N94" s="336">
        <f t="shared" ca="1" si="1"/>
        <v>53.522381222616247</v>
      </c>
    </row>
    <row r="95" spans="2:14" ht="22.2" customHeight="1" thickTop="1" thickBot="1">
      <c r="B95" s="337">
        <f>Sim_SAC!C84</f>
        <v>46645</v>
      </c>
      <c r="C95" s="338">
        <f t="shared" ca="1" si="0"/>
        <v>2556.2272082962163</v>
      </c>
      <c r="D95" s="338">
        <f ca="1">IF($E$18="SAC",Sim_SAC!D84,Sim_PRICE!D84)</f>
        <v>842.74931039701278</v>
      </c>
      <c r="E95" s="338">
        <f ca="1">IF($E$18="SAC",Sim_SAC!E84,Sim_PRICE!E84)</f>
        <v>1713.4778978992038</v>
      </c>
      <c r="F95" s="338">
        <f ca="1">IF($E$18="SAC",Sim_SAC!G84,Sim_PRICE!F84)</f>
        <v>251139.29449830943</v>
      </c>
      <c r="G95" s="338">
        <f ca="1">IF($E$18="SAC",Sim_SAC!H84,Sim_PRICE!G84)</f>
        <v>52.739251844644983</v>
      </c>
      <c r="H95" s="338">
        <f>IF($E$18="SAC",Sim_SAC!I84,Sim_PRICE!H84)</f>
        <v>34.369999999999997</v>
      </c>
      <c r="I95" s="338">
        <f>IF($E$18="SAC",Sim_SAC!J84,Sim_PRICE!I84)</f>
        <v>25</v>
      </c>
      <c r="J95" s="338">
        <f ca="1">IF($E$18="SAC",Sim_SAC!K84,Sim_PRICE!J84)</f>
        <v>2668.3364601408612</v>
      </c>
      <c r="L95" s="335"/>
      <c r="M95" s="335">
        <f t="shared" ca="1" si="2"/>
        <v>2668.3364601408612</v>
      </c>
      <c r="N95" s="336">
        <f t="shared" ca="1" si="1"/>
        <v>52.981845283876645</v>
      </c>
    </row>
    <row r="96" spans="2:14" ht="22.2" customHeight="1" thickTop="1" thickBot="1">
      <c r="B96" s="332">
        <f>Sim_SAC!C85</f>
        <v>46675</v>
      </c>
      <c r="C96" s="333">
        <f t="shared" ca="1" si="0"/>
        <v>2550.4965129855168</v>
      </c>
      <c r="D96" s="333">
        <f ca="1">IF($E$18="SAC",Sim_SAC!D85,Sim_PRICE!D85)</f>
        <v>842.74931039701278</v>
      </c>
      <c r="E96" s="333">
        <f ca="1">IF($E$18="SAC",Sim_SAC!E85,Sim_PRICE!E85)</f>
        <v>1707.747202588504</v>
      </c>
      <c r="F96" s="333">
        <f ca="1">IF($E$18="SAC",Sim_SAC!G85,Sim_PRICE!F85)</f>
        <v>250296.54518791242</v>
      </c>
      <c r="G96" s="333">
        <f ca="1">IF($E$18="SAC",Sim_SAC!H85,Sim_PRICE!G85)</f>
        <v>52.562274489461608</v>
      </c>
      <c r="H96" s="333">
        <f>IF($E$18="SAC",Sim_SAC!I85,Sim_PRICE!H85)</f>
        <v>34.369999999999997</v>
      </c>
      <c r="I96" s="333">
        <f>IF($E$18="SAC",Sim_SAC!J85,Sim_PRICE!I85)</f>
        <v>25</v>
      </c>
      <c r="J96" s="333">
        <f ca="1">IF($E$18="SAC",Sim_SAC!K85,Sim_PRICE!J85)</f>
        <v>2662.4287874749784</v>
      </c>
      <c r="L96" s="335"/>
      <c r="M96" s="335">
        <f t="shared" ca="1" si="2"/>
        <v>2662.4287874749784</v>
      </c>
      <c r="N96" s="336">
        <f t="shared" ca="1" si="1"/>
        <v>52.460292946378793</v>
      </c>
    </row>
    <row r="97" spans="2:14" ht="22.2" customHeight="1" thickTop="1" thickBot="1">
      <c r="B97" s="337">
        <f>Sim_SAC!C86</f>
        <v>46706</v>
      </c>
      <c r="C97" s="338">
        <f t="shared" ref="C97:C160" ca="1" si="3">D97+E97</f>
        <v>2544.7658176748173</v>
      </c>
      <c r="D97" s="338">
        <f ca="1">IF($E$18="SAC",Sim_SAC!D86,Sim_PRICE!D86)</f>
        <v>842.74931039701278</v>
      </c>
      <c r="E97" s="338">
        <f ca="1">IF($E$18="SAC",Sim_SAC!E86,Sim_PRICE!E86)</f>
        <v>1702.0165072778043</v>
      </c>
      <c r="F97" s="338">
        <f ca="1">IF($E$18="SAC",Sim_SAC!G86,Sim_PRICE!F86)</f>
        <v>249453.7958775154</v>
      </c>
      <c r="G97" s="338">
        <f ca="1">IF($E$18="SAC",Sim_SAC!H86,Sim_PRICE!G86)</f>
        <v>52.385297134278233</v>
      </c>
      <c r="H97" s="338">
        <f>IF($E$18="SAC",Sim_SAC!I86,Sim_PRICE!H86)</f>
        <v>34.369999999999997</v>
      </c>
      <c r="I97" s="338">
        <f>IF($E$18="SAC",Sim_SAC!J86,Sim_PRICE!I86)</f>
        <v>25</v>
      </c>
      <c r="J97" s="338">
        <f ca="1">IF($E$18="SAC",Sim_SAC!K86,Sim_PRICE!J86)</f>
        <v>2656.5211148090953</v>
      </c>
      <c r="L97" s="335"/>
      <c r="M97" s="335">
        <f t="shared" ref="M97:M160" ca="1" si="4">J97</f>
        <v>2656.5211148090953</v>
      </c>
      <c r="N97" s="336">
        <f t="shared" ref="N97:N160" ca="1" si="5">IFERROR((G97+H97)/((1.008)^(12*(B97-$B$32)/365)),"")</f>
        <v>51.930053724863015</v>
      </c>
    </row>
    <row r="98" spans="2:14" ht="22.2" customHeight="1" thickTop="1" thickBot="1">
      <c r="B98" s="332">
        <f>Sim_SAC!C87</f>
        <v>46736</v>
      </c>
      <c r="C98" s="333">
        <f t="shared" ca="1" si="3"/>
        <v>2539.0351223641173</v>
      </c>
      <c r="D98" s="333">
        <f ca="1">IF($E$18="SAC",Sim_SAC!D87,Sim_PRICE!D87)</f>
        <v>842.74931039701278</v>
      </c>
      <c r="E98" s="333">
        <f ca="1">IF($E$18="SAC",Sim_SAC!E87,Sim_PRICE!E87)</f>
        <v>1696.2858119671046</v>
      </c>
      <c r="F98" s="333">
        <f ca="1">IF($E$18="SAC",Sim_SAC!G87,Sim_PRICE!F87)</f>
        <v>248611.04656711838</v>
      </c>
      <c r="G98" s="333">
        <f ca="1">IF($E$18="SAC",Sim_SAC!H87,Sim_PRICE!G87)</f>
        <v>52.208319779094865</v>
      </c>
      <c r="H98" s="333">
        <f>IF($E$18="SAC",Sim_SAC!I87,Sim_PRICE!H87)</f>
        <v>34.369999999999997</v>
      </c>
      <c r="I98" s="333">
        <f>IF($E$18="SAC",Sim_SAC!J87,Sim_PRICE!I87)</f>
        <v>25</v>
      </c>
      <c r="J98" s="333">
        <f ca="1">IF($E$18="SAC",Sim_SAC!K87,Sim_PRICE!J87)</f>
        <v>2650.6134421432121</v>
      </c>
      <c r="L98" s="335"/>
      <c r="M98" s="335">
        <f t="shared" ca="1" si="4"/>
        <v>2650.6134421432121</v>
      </c>
      <c r="N98" s="336">
        <f t="shared" ca="1" si="5"/>
        <v>51.418428123166372</v>
      </c>
    </row>
    <row r="99" spans="2:14" ht="22.2" customHeight="1" thickTop="1" thickBot="1">
      <c r="B99" s="337">
        <f>Sim_SAC!C88</f>
        <v>46767</v>
      </c>
      <c r="C99" s="338">
        <f t="shared" ca="1" si="3"/>
        <v>2533.3044270534174</v>
      </c>
      <c r="D99" s="338">
        <f ca="1">IF($E$18="SAC",Sim_SAC!D88,Sim_PRICE!D88)</f>
        <v>842.74931039701278</v>
      </c>
      <c r="E99" s="338">
        <f ca="1">IF($E$18="SAC",Sim_SAC!E88,Sim_PRICE!E88)</f>
        <v>1690.5551166564048</v>
      </c>
      <c r="F99" s="338">
        <f ca="1">IF($E$18="SAC",Sim_SAC!G88,Sim_PRICE!F88)</f>
        <v>247768.29725672136</v>
      </c>
      <c r="G99" s="338">
        <f ca="1">IF($E$18="SAC",Sim_SAC!H88,Sim_PRICE!G88)</f>
        <v>52.031342423911489</v>
      </c>
      <c r="H99" s="338">
        <f>IF($E$18="SAC",Sim_SAC!I88,Sim_PRICE!H88)</f>
        <v>34.369999999999997</v>
      </c>
      <c r="I99" s="338">
        <f>IF($E$18="SAC",Sim_SAC!J88,Sim_PRICE!I88)</f>
        <v>25</v>
      </c>
      <c r="J99" s="338">
        <f ca="1">IF($E$18="SAC",Sim_SAC!K88,Sim_PRICE!J88)</f>
        <v>2644.7057694773289</v>
      </c>
      <c r="L99" s="335"/>
      <c r="M99" s="335">
        <f t="shared" ca="1" si="4"/>
        <v>2644.7057694773289</v>
      </c>
      <c r="N99" s="336">
        <f t="shared" ca="1" si="5"/>
        <v>50.898294997365767</v>
      </c>
    </row>
    <row r="100" spans="2:14" ht="22.2" customHeight="1" thickTop="1" thickBot="1">
      <c r="B100" s="332">
        <f>Sim_SAC!C89</f>
        <v>46798</v>
      </c>
      <c r="C100" s="333">
        <f t="shared" ca="1" si="3"/>
        <v>2527.5737317427179</v>
      </c>
      <c r="D100" s="333">
        <f ca="1">IF($E$18="SAC",Sim_SAC!D89,Sim_PRICE!D89)</f>
        <v>842.74931039701278</v>
      </c>
      <c r="E100" s="333">
        <f ca="1">IF($E$18="SAC",Sim_SAC!E89,Sim_PRICE!E89)</f>
        <v>1684.8244213457051</v>
      </c>
      <c r="F100" s="333">
        <f ca="1">IF($E$18="SAC",Sim_SAC!G89,Sim_PRICE!F89)</f>
        <v>246925.54794632434</v>
      </c>
      <c r="G100" s="333">
        <f ca="1">IF($E$18="SAC",Sim_SAC!H89,Sim_PRICE!G89)</f>
        <v>51.854365068728114</v>
      </c>
      <c r="H100" s="333">
        <f>IF($E$18="SAC",Sim_SAC!I89,Sim_PRICE!H89)</f>
        <v>34.369999999999997</v>
      </c>
      <c r="I100" s="333">
        <f>IF($E$18="SAC",Sim_SAC!J89,Sim_PRICE!I89)</f>
        <v>25</v>
      </c>
      <c r="J100" s="333">
        <f ca="1">IF($E$18="SAC",Sim_SAC!K89,Sim_PRICE!J89)</f>
        <v>2638.7980968114457</v>
      </c>
      <c r="L100" s="335"/>
      <c r="M100" s="335">
        <f t="shared" ca="1" si="4"/>
        <v>2638.7980968114457</v>
      </c>
      <c r="N100" s="336">
        <f t="shared" ca="1" si="5"/>
        <v>50.383211990660669</v>
      </c>
    </row>
    <row r="101" spans="2:14" ht="22.2" customHeight="1" thickTop="1" thickBot="1">
      <c r="B101" s="337">
        <f>Sim_SAC!C90</f>
        <v>46827</v>
      </c>
      <c r="C101" s="338">
        <f t="shared" ca="1" si="3"/>
        <v>2521.8430364320184</v>
      </c>
      <c r="D101" s="338">
        <f ca="1">IF($E$18="SAC",Sim_SAC!D90,Sim_PRICE!D90)</f>
        <v>842.74931039701278</v>
      </c>
      <c r="E101" s="338">
        <f ca="1">IF($E$18="SAC",Sim_SAC!E90,Sim_PRICE!E90)</f>
        <v>1679.0937260350054</v>
      </c>
      <c r="F101" s="338">
        <f ca="1">IF($E$18="SAC",Sim_SAC!G90,Sim_PRICE!F90)</f>
        <v>246082.79863592732</v>
      </c>
      <c r="G101" s="338">
        <f ca="1">IF($E$18="SAC",Sim_SAC!H90,Sim_PRICE!G90)</f>
        <v>51.677387713544739</v>
      </c>
      <c r="H101" s="338">
        <f>IF($E$18="SAC",Sim_SAC!I90,Sim_PRICE!H90)</f>
        <v>34.369999999999997</v>
      </c>
      <c r="I101" s="338">
        <f>IF($E$18="SAC",Sim_SAC!J90,Sim_PRICE!I90)</f>
        <v>25</v>
      </c>
      <c r="J101" s="338">
        <f ca="1">IF($E$18="SAC",Sim_SAC!K90,Sim_PRICE!J90)</f>
        <v>2632.890424145563</v>
      </c>
      <c r="L101" s="335"/>
      <c r="M101" s="335">
        <f t="shared" ca="1" si="4"/>
        <v>2632.890424145563</v>
      </c>
      <c r="N101" s="336">
        <f t="shared" ca="1" si="5"/>
        <v>49.899268534844559</v>
      </c>
    </row>
    <row r="102" spans="2:14" ht="22.2" customHeight="1" thickTop="1" thickBot="1">
      <c r="B102" s="332">
        <f>Sim_SAC!C91</f>
        <v>46858</v>
      </c>
      <c r="C102" s="333">
        <f t="shared" ca="1" si="3"/>
        <v>2516.1123411213184</v>
      </c>
      <c r="D102" s="333">
        <f ca="1">IF($E$18="SAC",Sim_SAC!D91,Sim_PRICE!D91)</f>
        <v>842.74931039701278</v>
      </c>
      <c r="E102" s="333">
        <f ca="1">IF($E$18="SAC",Sim_SAC!E91,Sim_PRICE!E91)</f>
        <v>1673.3630307243056</v>
      </c>
      <c r="F102" s="333">
        <f ca="1">IF($E$18="SAC",Sim_SAC!G91,Sim_PRICE!F91)</f>
        <v>245240.0493255303</v>
      </c>
      <c r="G102" s="333">
        <f ca="1">IF($E$18="SAC",Sim_SAC!H91,Sim_PRICE!G91)</f>
        <v>51.500410358361364</v>
      </c>
      <c r="H102" s="333">
        <f>IF($E$18="SAC",Sim_SAC!I91,Sim_PRICE!H91)</f>
        <v>34.369999999999997</v>
      </c>
      <c r="I102" s="333">
        <f>IF($E$18="SAC",Sim_SAC!J91,Sim_PRICE!I91)</f>
        <v>25</v>
      </c>
      <c r="J102" s="333">
        <f ca="1">IF($E$18="SAC",Sim_SAC!K91,Sim_PRICE!J91)</f>
        <v>2626.9827514796798</v>
      </c>
      <c r="L102" s="335"/>
      <c r="M102" s="335">
        <f t="shared" ca="1" si="4"/>
        <v>2626.9827514796798</v>
      </c>
      <c r="N102" s="336">
        <f t="shared" ca="1" si="5"/>
        <v>49.393878487133328</v>
      </c>
    </row>
    <row r="103" spans="2:14" ht="22.2" customHeight="1" thickTop="1" thickBot="1">
      <c r="B103" s="337">
        <f>Sim_SAC!C92</f>
        <v>46888</v>
      </c>
      <c r="C103" s="338">
        <f t="shared" ca="1" si="3"/>
        <v>2510.3816458106185</v>
      </c>
      <c r="D103" s="338">
        <f ca="1">IF($E$18="SAC",Sim_SAC!D92,Sim_PRICE!D92)</f>
        <v>842.74931039701278</v>
      </c>
      <c r="E103" s="338">
        <f ca="1">IF($E$18="SAC",Sim_SAC!E92,Sim_PRICE!E92)</f>
        <v>1667.6323354136059</v>
      </c>
      <c r="F103" s="338">
        <f ca="1">IF($E$18="SAC",Sim_SAC!G92,Sim_PRICE!F92)</f>
        <v>244397.30001513328</v>
      </c>
      <c r="G103" s="338">
        <f ca="1">IF($E$18="SAC",Sim_SAC!H92,Sim_PRICE!G92)</f>
        <v>51.323433003177989</v>
      </c>
      <c r="H103" s="338">
        <f>IF($E$18="SAC",Sim_SAC!I92,Sim_PRICE!H92)</f>
        <v>34.369999999999997</v>
      </c>
      <c r="I103" s="338">
        <f>IF($E$18="SAC",Sim_SAC!J92,Sim_PRICE!I92)</f>
        <v>25</v>
      </c>
      <c r="J103" s="338">
        <f ca="1">IF($E$18="SAC",Sim_SAC!K92,Sim_PRICE!J92)</f>
        <v>2621.0750788137962</v>
      </c>
      <c r="L103" s="335"/>
      <c r="M103" s="335">
        <f t="shared" ca="1" si="4"/>
        <v>2621.0750788137962</v>
      </c>
      <c r="N103" s="336">
        <f t="shared" ca="1" si="5"/>
        <v>48.906209596803016</v>
      </c>
    </row>
    <row r="104" spans="2:14" ht="22.2" customHeight="1" thickTop="1" thickBot="1">
      <c r="B104" s="332">
        <f>Sim_SAC!C93</f>
        <v>46919</v>
      </c>
      <c r="C104" s="333">
        <f t="shared" ca="1" si="3"/>
        <v>2504.650950499919</v>
      </c>
      <c r="D104" s="333">
        <f ca="1">IF($E$18="SAC",Sim_SAC!D93,Sim_PRICE!D93)</f>
        <v>842.74931039701278</v>
      </c>
      <c r="E104" s="333">
        <f ca="1">IF($E$18="SAC",Sim_SAC!E93,Sim_PRICE!E93)</f>
        <v>1661.9016401029062</v>
      </c>
      <c r="F104" s="333">
        <f ca="1">IF($E$18="SAC",Sim_SAC!G93,Sim_PRICE!F93)</f>
        <v>243554.55070473626</v>
      </c>
      <c r="G104" s="333">
        <f ca="1">IF($E$18="SAC",Sim_SAC!H93,Sim_PRICE!G93)</f>
        <v>51.146455647994614</v>
      </c>
      <c r="H104" s="333">
        <f>IF($E$18="SAC",Sim_SAC!I93,Sim_PRICE!H93)</f>
        <v>34.369999999999997</v>
      </c>
      <c r="I104" s="333">
        <f>IF($E$18="SAC",Sim_SAC!J93,Sim_PRICE!I93)</f>
        <v>25</v>
      </c>
      <c r="J104" s="333">
        <f ca="1">IF($E$18="SAC",Sim_SAC!K93,Sim_PRICE!J93)</f>
        <v>2615.1674061479134</v>
      </c>
      <c r="L104" s="335"/>
      <c r="M104" s="335">
        <f t="shared" ca="1" si="4"/>
        <v>2615.1674061479134</v>
      </c>
      <c r="N104" s="336">
        <f t="shared" ca="1" si="5"/>
        <v>48.410465340215659</v>
      </c>
    </row>
    <row r="105" spans="2:14" ht="22.2" customHeight="1" thickTop="1" thickBot="1">
      <c r="B105" s="337">
        <f>Sim_SAC!C94</f>
        <v>46949</v>
      </c>
      <c r="C105" s="338">
        <f t="shared" ca="1" si="3"/>
        <v>2498.9202551892195</v>
      </c>
      <c r="D105" s="338">
        <f ca="1">IF($E$18="SAC",Sim_SAC!D94,Sim_PRICE!D94)</f>
        <v>842.74931039701278</v>
      </c>
      <c r="E105" s="338">
        <f ca="1">IF($E$18="SAC",Sim_SAC!E94,Sim_PRICE!E94)</f>
        <v>1656.1709447922065</v>
      </c>
      <c r="F105" s="338">
        <f ca="1">IF($E$18="SAC",Sim_SAC!G94,Sim_PRICE!F94)</f>
        <v>242711.80139433924</v>
      </c>
      <c r="G105" s="338">
        <f ca="1">IF($E$18="SAC",Sim_SAC!H94,Sim_PRICE!G94)</f>
        <v>50.969478292811246</v>
      </c>
      <c r="H105" s="338">
        <f>IF($E$18="SAC",Sim_SAC!I94,Sim_PRICE!H94)</f>
        <v>34.369999999999997</v>
      </c>
      <c r="I105" s="338">
        <f>IF($E$18="SAC",Sim_SAC!J94,Sim_PRICE!I94)</f>
        <v>25</v>
      </c>
      <c r="J105" s="338">
        <f ca="1">IF($E$18="SAC",Sim_SAC!K94,Sim_PRICE!J94)</f>
        <v>2609.2597334820307</v>
      </c>
      <c r="L105" s="335"/>
      <c r="M105" s="335">
        <f t="shared" ca="1" si="4"/>
        <v>2609.2597334820307</v>
      </c>
      <c r="N105" s="336">
        <f t="shared" ca="1" si="5"/>
        <v>47.932096019660918</v>
      </c>
    </row>
    <row r="106" spans="2:14" ht="22.2" customHeight="1" thickTop="1" thickBot="1">
      <c r="B106" s="332">
        <f>Sim_SAC!C95</f>
        <v>46980</v>
      </c>
      <c r="C106" s="333">
        <f t="shared" ca="1" si="3"/>
        <v>2493.1895598785195</v>
      </c>
      <c r="D106" s="333">
        <f ca="1">IF($E$18="SAC",Sim_SAC!D95,Sim_PRICE!D95)</f>
        <v>842.74931039701278</v>
      </c>
      <c r="E106" s="333">
        <f ca="1">IF($E$18="SAC",Sim_SAC!E95,Sim_PRICE!E95)</f>
        <v>1650.4402494815067</v>
      </c>
      <c r="F106" s="333">
        <f ca="1">IF($E$18="SAC",Sim_SAC!G95,Sim_PRICE!F95)</f>
        <v>241869.05208394222</v>
      </c>
      <c r="G106" s="333">
        <f ca="1">IF($E$18="SAC",Sim_SAC!H95,Sim_PRICE!G95)</f>
        <v>50.792500937627871</v>
      </c>
      <c r="H106" s="333">
        <f>IF($E$18="SAC",Sim_SAC!I95,Sim_PRICE!H95)</f>
        <v>34.369999999999997</v>
      </c>
      <c r="I106" s="333">
        <f>IF($E$18="SAC",Sim_SAC!J95,Sim_PRICE!I95)</f>
        <v>25</v>
      </c>
      <c r="J106" s="333">
        <f ca="1">IF($E$18="SAC",Sim_SAC!K95,Sim_PRICE!J95)</f>
        <v>2603.3520608161471</v>
      </c>
      <c r="L106" s="335"/>
      <c r="M106" s="335">
        <f t="shared" ca="1" si="4"/>
        <v>2603.3520608161471</v>
      </c>
      <c r="N106" s="336">
        <f t="shared" ca="1" si="5"/>
        <v>47.445818738170011</v>
      </c>
    </row>
    <row r="107" spans="2:14" ht="22.2" customHeight="1" thickTop="1" thickBot="1">
      <c r="B107" s="337">
        <f>Sim_SAC!C96</f>
        <v>47011</v>
      </c>
      <c r="C107" s="338">
        <f t="shared" ca="1" si="3"/>
        <v>2487.4588645678195</v>
      </c>
      <c r="D107" s="338">
        <f ca="1">IF($E$18="SAC",Sim_SAC!D96,Sim_PRICE!D96)</f>
        <v>842.74931039701278</v>
      </c>
      <c r="E107" s="338">
        <f ca="1">IF($E$18="SAC",Sim_SAC!E96,Sim_PRICE!E96)</f>
        <v>1644.709554170807</v>
      </c>
      <c r="F107" s="338">
        <f ca="1">IF($E$18="SAC",Sim_SAC!G96,Sim_PRICE!F96)</f>
        <v>241026.30277354521</v>
      </c>
      <c r="G107" s="338">
        <f ca="1">IF($E$18="SAC",Sim_SAC!H96,Sim_PRICE!G96)</f>
        <v>50.615523582444496</v>
      </c>
      <c r="H107" s="338">
        <f>IF($E$18="SAC",Sim_SAC!I96,Sim_PRICE!H96)</f>
        <v>34.369999999999997</v>
      </c>
      <c r="I107" s="338">
        <f>IF($E$18="SAC",Sim_SAC!J96,Sim_PRICE!I96)</f>
        <v>25</v>
      </c>
      <c r="J107" s="338">
        <f ca="1">IF($E$18="SAC",Sim_SAC!K96,Sim_PRICE!J96)</f>
        <v>2597.4443881502639</v>
      </c>
      <c r="L107" s="335"/>
      <c r="M107" s="335">
        <f t="shared" ca="1" si="4"/>
        <v>2597.4443881502639</v>
      </c>
      <c r="N107" s="336">
        <f t="shared" ca="1" si="5"/>
        <v>46.964271983539192</v>
      </c>
    </row>
    <row r="108" spans="2:14" ht="22.2" customHeight="1" thickTop="1" thickBot="1">
      <c r="B108" s="332">
        <f>Sim_SAC!C97</f>
        <v>47041</v>
      </c>
      <c r="C108" s="333">
        <f t="shared" ca="1" si="3"/>
        <v>2481.72816925712</v>
      </c>
      <c r="D108" s="333">
        <f ca="1">IF($E$18="SAC",Sim_SAC!D97,Sim_PRICE!D97)</f>
        <v>842.74931039701278</v>
      </c>
      <c r="E108" s="333">
        <f ca="1">IF($E$18="SAC",Sim_SAC!E97,Sim_PRICE!E97)</f>
        <v>1638.9788588601073</v>
      </c>
      <c r="F108" s="333">
        <f ca="1">IF($E$18="SAC",Sim_SAC!G97,Sim_PRICE!F97)</f>
        <v>240183.55346314819</v>
      </c>
      <c r="G108" s="333">
        <f ca="1">IF($E$18="SAC",Sim_SAC!H97,Sim_PRICE!G97)</f>
        <v>50.438546227261121</v>
      </c>
      <c r="H108" s="333">
        <f>IF($E$18="SAC",Sim_SAC!I97,Sim_PRICE!H97)</f>
        <v>34.369999999999997</v>
      </c>
      <c r="I108" s="333">
        <f>IF($E$18="SAC",Sim_SAC!J97,Sim_PRICE!I97)</f>
        <v>25</v>
      </c>
      <c r="J108" s="333">
        <f ca="1">IF($E$18="SAC",Sim_SAC!K97,Sim_PRICE!J97)</f>
        <v>2591.5367154843811</v>
      </c>
      <c r="L108" s="335"/>
      <c r="M108" s="335">
        <f t="shared" ca="1" si="4"/>
        <v>2591.5367154843811</v>
      </c>
      <c r="N108" s="336">
        <f t="shared" ca="1" si="5"/>
        <v>46.499590817980049</v>
      </c>
    </row>
    <row r="109" spans="2:14" ht="22.2" customHeight="1" thickTop="1" thickBot="1">
      <c r="B109" s="337">
        <f>Sim_SAC!C98</f>
        <v>47072</v>
      </c>
      <c r="C109" s="338">
        <f t="shared" ca="1" si="3"/>
        <v>2475.9974739464205</v>
      </c>
      <c r="D109" s="338">
        <f ca="1">IF($E$18="SAC",Sim_SAC!D98,Sim_PRICE!D98)</f>
        <v>842.74931039701278</v>
      </c>
      <c r="E109" s="338">
        <f ca="1">IF($E$18="SAC",Sim_SAC!E98,Sim_PRICE!E98)</f>
        <v>1633.2481635494075</v>
      </c>
      <c r="F109" s="338">
        <f ca="1">IF($E$18="SAC",Sim_SAC!G98,Sim_PRICE!F98)</f>
        <v>239340.80415275117</v>
      </c>
      <c r="G109" s="338">
        <f ca="1">IF($E$18="SAC",Sim_SAC!H98,Sim_PRICE!G98)</f>
        <v>50.261568872077746</v>
      </c>
      <c r="H109" s="338">
        <f>IF($E$18="SAC",Sim_SAC!I98,Sim_PRICE!H98)</f>
        <v>34.369999999999997</v>
      </c>
      <c r="I109" s="338">
        <f>IF($E$18="SAC",Sim_SAC!J98,Sim_PRICE!I98)</f>
        <v>25</v>
      </c>
      <c r="J109" s="338">
        <f ca="1">IF($E$18="SAC",Sim_SAC!K98,Sim_PRICE!J98)</f>
        <v>2585.629042818498</v>
      </c>
      <c r="L109" s="335"/>
      <c r="M109" s="335">
        <f t="shared" ca="1" si="4"/>
        <v>2585.629042818498</v>
      </c>
      <c r="N109" s="336">
        <f t="shared" ca="1" si="5"/>
        <v>46.0272476757454</v>
      </c>
    </row>
    <row r="110" spans="2:14" ht="22.2" customHeight="1" thickTop="1" thickBot="1">
      <c r="B110" s="332">
        <f>Sim_SAC!C99</f>
        <v>47102</v>
      </c>
      <c r="C110" s="333">
        <f t="shared" ca="1" si="3"/>
        <v>2470.2667786357206</v>
      </c>
      <c r="D110" s="333">
        <f ca="1">IF($E$18="SAC",Sim_SAC!D99,Sim_PRICE!D99)</f>
        <v>842.74931039701278</v>
      </c>
      <c r="E110" s="333">
        <f ca="1">IF($E$18="SAC",Sim_SAC!E99,Sim_PRICE!E99)</f>
        <v>1627.5174682387078</v>
      </c>
      <c r="F110" s="333">
        <f ca="1">IF($E$18="SAC",Sim_SAC!G99,Sim_PRICE!F99)</f>
        <v>238498.05484235415</v>
      </c>
      <c r="G110" s="333">
        <f ca="1">IF($E$18="SAC",Sim_SAC!H99,Sim_PRICE!G99)</f>
        <v>50.08459151689437</v>
      </c>
      <c r="H110" s="333">
        <f>IF($E$18="SAC",Sim_SAC!I99,Sim_PRICE!H99)</f>
        <v>34.369999999999997</v>
      </c>
      <c r="I110" s="333">
        <f>IF($E$18="SAC",Sim_SAC!J99,Sim_PRICE!I99)</f>
        <v>25</v>
      </c>
      <c r="J110" s="333">
        <f ca="1">IF($E$18="SAC",Sim_SAC!K99,Sim_PRICE!J99)</f>
        <v>2579.7213701526148</v>
      </c>
      <c r="L110" s="335"/>
      <c r="M110" s="335">
        <f t="shared" ca="1" si="4"/>
        <v>2579.7213701526148</v>
      </c>
      <c r="N110" s="336">
        <f t="shared" ca="1" si="5"/>
        <v>45.571440029610805</v>
      </c>
    </row>
    <row r="111" spans="2:14" ht="22.2" customHeight="1" thickTop="1" thickBot="1">
      <c r="B111" s="337">
        <f>Sim_SAC!C100</f>
        <v>47133</v>
      </c>
      <c r="C111" s="338">
        <f t="shared" ca="1" si="3"/>
        <v>2464.5360833250206</v>
      </c>
      <c r="D111" s="338">
        <f ca="1">IF($E$18="SAC",Sim_SAC!D100,Sim_PRICE!D100)</f>
        <v>842.74931039701278</v>
      </c>
      <c r="E111" s="338">
        <f ca="1">IF($E$18="SAC",Sim_SAC!E100,Sim_PRICE!E100)</f>
        <v>1621.7867729280081</v>
      </c>
      <c r="F111" s="338">
        <f ca="1">IF($E$18="SAC",Sim_SAC!G100,Sim_PRICE!F100)</f>
        <v>237655.30553195713</v>
      </c>
      <c r="G111" s="338">
        <f ca="1">IF($E$18="SAC",Sim_SAC!H100,Sim_PRICE!G100)</f>
        <v>49.907614161711003</v>
      </c>
      <c r="H111" s="338">
        <f>IF($E$18="SAC",Sim_SAC!I100,Sim_PRICE!H100)</f>
        <v>34.369999999999997</v>
      </c>
      <c r="I111" s="338">
        <f>IF($E$18="SAC",Sim_SAC!J100,Sim_PRICE!I100)</f>
        <v>25</v>
      </c>
      <c r="J111" s="338">
        <f ca="1">IF($E$18="SAC",Sim_SAC!K100,Sim_PRICE!J100)</f>
        <v>2573.8136974867316</v>
      </c>
      <c r="L111" s="335"/>
      <c r="M111" s="335">
        <f t="shared" ca="1" si="4"/>
        <v>2573.8136974867316</v>
      </c>
      <c r="N111" s="336">
        <f t="shared" ca="1" si="5"/>
        <v>45.108129711223953</v>
      </c>
    </row>
    <row r="112" spans="2:14" ht="22.2" customHeight="1" thickTop="1" thickBot="1">
      <c r="B112" s="332">
        <f>Sim_SAC!C101</f>
        <v>47164</v>
      </c>
      <c r="C112" s="333">
        <f t="shared" ca="1" si="3"/>
        <v>2458.8053880143211</v>
      </c>
      <c r="D112" s="333">
        <f ca="1">IF($E$18="SAC",Sim_SAC!D101,Sim_PRICE!D101)</f>
        <v>842.74931039701278</v>
      </c>
      <c r="E112" s="333">
        <f ca="1">IF($E$18="SAC",Sim_SAC!E101,Sim_PRICE!E101)</f>
        <v>1616.0560776173083</v>
      </c>
      <c r="F112" s="333">
        <f ca="1">IF($E$18="SAC",Sim_SAC!G101,Sim_PRICE!F101)</f>
        <v>236812.55622156011</v>
      </c>
      <c r="G112" s="333">
        <f ca="1">IF($E$18="SAC",Sim_SAC!H101,Sim_PRICE!G101)</f>
        <v>49.730636806527627</v>
      </c>
      <c r="H112" s="333">
        <f>IF($E$18="SAC",Sim_SAC!I101,Sim_PRICE!H101)</f>
        <v>34.369999999999997</v>
      </c>
      <c r="I112" s="333">
        <f>IF($E$18="SAC",Sim_SAC!J101,Sim_PRICE!I101)</f>
        <v>25</v>
      </c>
      <c r="J112" s="333">
        <f ca="1">IF($E$18="SAC",Sim_SAC!K101,Sim_PRICE!J101)</f>
        <v>2567.9060248208489</v>
      </c>
      <c r="L112" s="335"/>
      <c r="M112" s="335">
        <f t="shared" ca="1" si="4"/>
        <v>2567.9060248208489</v>
      </c>
      <c r="N112" s="336">
        <f t="shared" ca="1" si="5"/>
        <v>44.64933282941255</v>
      </c>
    </row>
    <row r="113" spans="2:14" ht="22.2" customHeight="1" thickTop="1" thickBot="1">
      <c r="B113" s="337">
        <f>Sim_SAC!C102</f>
        <v>47192</v>
      </c>
      <c r="C113" s="338">
        <f t="shared" ca="1" si="3"/>
        <v>2453.0746927036216</v>
      </c>
      <c r="D113" s="338">
        <f ca="1">IF($E$18="SAC",Sim_SAC!D102,Sim_PRICE!D102)</f>
        <v>842.74931039701278</v>
      </c>
      <c r="E113" s="338">
        <f ca="1">IF($E$18="SAC",Sim_SAC!E102,Sim_PRICE!E102)</f>
        <v>1610.3253823066086</v>
      </c>
      <c r="F113" s="338">
        <f ca="1">IF($E$18="SAC",Sim_SAC!G102,Sim_PRICE!F102)</f>
        <v>235969.80691116309</v>
      </c>
      <c r="G113" s="338">
        <f ca="1">IF($E$18="SAC",Sim_SAC!H102,Sim_PRICE!G102)</f>
        <v>49.553659451344252</v>
      </c>
      <c r="H113" s="338">
        <f>IF($E$18="SAC",Sim_SAC!I102,Sim_PRICE!H102)</f>
        <v>34.369999999999997</v>
      </c>
      <c r="I113" s="338">
        <f>IF($E$18="SAC",Sim_SAC!J102,Sim_PRICE!I102)</f>
        <v>25</v>
      </c>
      <c r="J113" s="338">
        <f ca="1">IF($E$18="SAC",Sim_SAC!K102,Sim_PRICE!J102)</f>
        <v>2561.9983521549657</v>
      </c>
      <c r="L113" s="335"/>
      <c r="M113" s="335">
        <f t="shared" ca="1" si="4"/>
        <v>2561.9983521549657</v>
      </c>
      <c r="N113" s="336">
        <f t="shared" ca="1" si="5"/>
        <v>44.229753263669018</v>
      </c>
    </row>
    <row r="114" spans="2:14" ht="22.2" customHeight="1" thickTop="1" thickBot="1">
      <c r="B114" s="332">
        <f>Sim_SAC!C103</f>
        <v>47223</v>
      </c>
      <c r="C114" s="333">
        <f t="shared" ca="1" si="3"/>
        <v>2447.3439973929217</v>
      </c>
      <c r="D114" s="333">
        <f ca="1">IF($E$18="SAC",Sim_SAC!D103,Sim_PRICE!D103)</f>
        <v>842.74931039701278</v>
      </c>
      <c r="E114" s="333">
        <f ca="1">IF($E$18="SAC",Sim_SAC!E103,Sim_PRICE!E103)</f>
        <v>1604.5946869959089</v>
      </c>
      <c r="F114" s="333">
        <f ca="1">IF($E$18="SAC",Sim_SAC!G103,Sim_PRICE!F103)</f>
        <v>235127.05760076607</v>
      </c>
      <c r="G114" s="333">
        <f ca="1">IF($E$18="SAC",Sim_SAC!H103,Sim_PRICE!G103)</f>
        <v>49.376682096160877</v>
      </c>
      <c r="H114" s="333">
        <f>IF($E$18="SAC",Sim_SAC!I103,Sim_PRICE!H103)</f>
        <v>34.369999999999997</v>
      </c>
      <c r="I114" s="333">
        <f>IF($E$18="SAC",Sim_SAC!J103,Sim_PRICE!I103)</f>
        <v>25</v>
      </c>
      <c r="J114" s="333">
        <f ca="1">IF($E$18="SAC",Sim_SAC!K103,Sim_PRICE!J103)</f>
        <v>2556.0906794890825</v>
      </c>
      <c r="L114" s="335"/>
      <c r="M114" s="335">
        <f t="shared" ca="1" si="4"/>
        <v>2556.0906794890825</v>
      </c>
      <c r="N114" s="336">
        <f t="shared" ca="1" si="5"/>
        <v>43.77950183103124</v>
      </c>
    </row>
    <row r="115" spans="2:14" ht="22.2" customHeight="1" thickTop="1" thickBot="1">
      <c r="B115" s="337">
        <f>Sim_SAC!C104</f>
        <v>47253</v>
      </c>
      <c r="C115" s="338">
        <f t="shared" ca="1" si="3"/>
        <v>2441.6133020822217</v>
      </c>
      <c r="D115" s="338">
        <f ca="1">IF($E$18="SAC",Sim_SAC!D104,Sim_PRICE!D104)</f>
        <v>842.74931039701278</v>
      </c>
      <c r="E115" s="338">
        <f ca="1">IF($E$18="SAC",Sim_SAC!E104,Sim_PRICE!E104)</f>
        <v>1598.8639916852092</v>
      </c>
      <c r="F115" s="338">
        <f ca="1">IF($E$18="SAC",Sim_SAC!G104,Sim_PRICE!F104)</f>
        <v>234284.30829036905</v>
      </c>
      <c r="G115" s="338">
        <f ca="1">IF($E$18="SAC",Sim_SAC!H104,Sim_PRICE!G104)</f>
        <v>49.199704740977502</v>
      </c>
      <c r="H115" s="338">
        <f>IF($E$18="SAC",Sim_SAC!I104,Sim_PRICE!H104)</f>
        <v>34.369999999999997</v>
      </c>
      <c r="I115" s="338">
        <f>IF($E$18="SAC",Sim_SAC!J104,Sim_PRICE!I104)</f>
        <v>25</v>
      </c>
      <c r="J115" s="338">
        <f ca="1">IF($E$18="SAC",Sim_SAC!K104,Sim_PRICE!J104)</f>
        <v>2550.1830068231993</v>
      </c>
      <c r="L115" s="335"/>
      <c r="M115" s="335">
        <f t="shared" ca="1" si="4"/>
        <v>2550.1830068231993</v>
      </c>
      <c r="N115" s="336">
        <f t="shared" ca="1" si="5"/>
        <v>43.344993841850602</v>
      </c>
    </row>
    <row r="116" spans="2:14" ht="22.2" customHeight="1" thickTop="1" thickBot="1">
      <c r="B116" s="332">
        <f>Sim_SAC!C105</f>
        <v>47284</v>
      </c>
      <c r="C116" s="333">
        <f t="shared" ca="1" si="3"/>
        <v>2435.8826067715222</v>
      </c>
      <c r="D116" s="333">
        <f ca="1">IF($E$18="SAC",Sim_SAC!D105,Sim_PRICE!D105)</f>
        <v>842.74931039701278</v>
      </c>
      <c r="E116" s="333">
        <f ca="1">IF($E$18="SAC",Sim_SAC!E105,Sim_PRICE!E105)</f>
        <v>1593.1332963745094</v>
      </c>
      <c r="F116" s="333">
        <f ca="1">IF($E$18="SAC",Sim_SAC!G105,Sim_PRICE!F105)</f>
        <v>233441.55897997203</v>
      </c>
      <c r="G116" s="333">
        <f ca="1">IF($E$18="SAC",Sim_SAC!H105,Sim_PRICE!G105)</f>
        <v>49.022727385794127</v>
      </c>
      <c r="H116" s="333">
        <f>IF($E$18="SAC",Sim_SAC!I105,Sim_PRICE!H105)</f>
        <v>34.369999999999997</v>
      </c>
      <c r="I116" s="333">
        <f>IF($E$18="SAC",Sim_SAC!J105,Sim_PRICE!I105)</f>
        <v>25</v>
      </c>
      <c r="J116" s="333">
        <f ca="1">IF($E$18="SAC",Sim_SAC!K105,Sim_PRICE!J105)</f>
        <v>2544.2753341573161</v>
      </c>
      <c r="L116" s="335"/>
      <c r="M116" s="335">
        <f t="shared" ca="1" si="4"/>
        <v>2544.2753341573161</v>
      </c>
      <c r="N116" s="336">
        <f t="shared" ca="1" si="5"/>
        <v>42.903365099546811</v>
      </c>
    </row>
    <row r="117" spans="2:14" ht="22.2" customHeight="1" thickTop="1" thickBot="1">
      <c r="B117" s="337">
        <f>Sim_SAC!C106</f>
        <v>47314</v>
      </c>
      <c r="C117" s="338">
        <f t="shared" ca="1" si="3"/>
        <v>2430.1519114608227</v>
      </c>
      <c r="D117" s="338">
        <f ca="1">IF($E$18="SAC",Sim_SAC!D106,Sim_PRICE!D106)</f>
        <v>842.74931039701278</v>
      </c>
      <c r="E117" s="338">
        <f ca="1">IF($E$18="SAC",Sim_SAC!E106,Sim_PRICE!E106)</f>
        <v>1587.4026010638097</v>
      </c>
      <c r="F117" s="338">
        <f ca="1">IF($E$18="SAC",Sim_SAC!G106,Sim_PRICE!F106)</f>
        <v>232598.80966957501</v>
      </c>
      <c r="G117" s="338">
        <f ca="1">IF($E$18="SAC",Sim_SAC!H106,Sim_PRICE!G106)</f>
        <v>48.845750030610752</v>
      </c>
      <c r="H117" s="338">
        <f>IF($E$18="SAC",Sim_SAC!I106,Sim_PRICE!H106)</f>
        <v>34.369999999999997</v>
      </c>
      <c r="I117" s="338">
        <f>IF($E$18="SAC",Sim_SAC!J106,Sim_PRICE!I106)</f>
        <v>25</v>
      </c>
      <c r="J117" s="338">
        <f ca="1">IF($E$18="SAC",Sim_SAC!K106,Sim_PRICE!J106)</f>
        <v>2538.3676614914334</v>
      </c>
      <c r="L117" s="335"/>
      <c r="M117" s="335">
        <f t="shared" ca="1" si="4"/>
        <v>2538.3676614914334</v>
      </c>
      <c r="N117" s="336">
        <f t="shared" ca="1" si="5"/>
        <v>42.477170885577287</v>
      </c>
    </row>
    <row r="118" spans="2:14" ht="22.2" customHeight="1" thickTop="1" thickBot="1">
      <c r="B118" s="332">
        <f>Sim_SAC!C107</f>
        <v>47345</v>
      </c>
      <c r="C118" s="333">
        <f t="shared" ca="1" si="3"/>
        <v>2424.4212161501227</v>
      </c>
      <c r="D118" s="333">
        <f ca="1">IF($E$18="SAC",Sim_SAC!D107,Sim_PRICE!D107)</f>
        <v>842.74931039701278</v>
      </c>
      <c r="E118" s="333">
        <f ca="1">IF($E$18="SAC",Sim_SAC!E107,Sim_PRICE!E107)</f>
        <v>1581.67190575311</v>
      </c>
      <c r="F118" s="333">
        <f ca="1">IF($E$18="SAC",Sim_SAC!G107,Sim_PRICE!F107)</f>
        <v>231756.06035917799</v>
      </c>
      <c r="G118" s="333">
        <f ca="1">IF($E$18="SAC",Sim_SAC!H107,Sim_PRICE!G107)</f>
        <v>48.668772675427384</v>
      </c>
      <c r="H118" s="333">
        <f>IF($E$18="SAC",Sim_SAC!I107,Sim_PRICE!H107)</f>
        <v>34.369999999999997</v>
      </c>
      <c r="I118" s="333">
        <f>IF($E$18="SAC",Sim_SAC!J107,Sim_PRICE!I107)</f>
        <v>25</v>
      </c>
      <c r="J118" s="333">
        <f ca="1">IF($E$18="SAC",Sim_SAC!K107,Sim_PRICE!J107)</f>
        <v>2532.4599888255502</v>
      </c>
      <c r="L118" s="335"/>
      <c r="M118" s="335">
        <f t="shared" ca="1" si="4"/>
        <v>2532.4599888255502</v>
      </c>
      <c r="N118" s="336">
        <f t="shared" ca="1" si="5"/>
        <v>42.044004598708113</v>
      </c>
    </row>
    <row r="119" spans="2:14" ht="22.2" customHeight="1" thickTop="1" thickBot="1">
      <c r="B119" s="337">
        <f>Sim_SAC!C108</f>
        <v>47376</v>
      </c>
      <c r="C119" s="338">
        <f t="shared" ca="1" si="3"/>
        <v>2418.6905208394228</v>
      </c>
      <c r="D119" s="338">
        <f ca="1">IF($E$18="SAC",Sim_SAC!D108,Sim_PRICE!D108)</f>
        <v>842.74931039701278</v>
      </c>
      <c r="E119" s="338">
        <f ca="1">IF($E$18="SAC",Sim_SAC!E108,Sim_PRICE!E108)</f>
        <v>1575.9412104424102</v>
      </c>
      <c r="F119" s="338">
        <f ca="1">IF($E$18="SAC",Sim_SAC!G108,Sim_PRICE!F108)</f>
        <v>230913.31104878098</v>
      </c>
      <c r="G119" s="338">
        <f ca="1">IF($E$18="SAC",Sim_SAC!H108,Sim_PRICE!G108)</f>
        <v>48.491795320244009</v>
      </c>
      <c r="H119" s="338">
        <f>IF($E$18="SAC",Sim_SAC!I108,Sim_PRICE!H108)</f>
        <v>34.369999999999997</v>
      </c>
      <c r="I119" s="338">
        <f>IF($E$18="SAC",Sim_SAC!J108,Sim_PRICE!I108)</f>
        <v>25</v>
      </c>
      <c r="J119" s="338">
        <f ca="1">IF($E$18="SAC",Sim_SAC!K108,Sim_PRICE!J108)</f>
        <v>2526.5523161596666</v>
      </c>
      <c r="L119" s="335"/>
      <c r="M119" s="335">
        <f t="shared" ca="1" si="4"/>
        <v>2526.5523161596666</v>
      </c>
      <c r="N119" s="336">
        <f t="shared" ca="1" si="5"/>
        <v>41.61506655147825</v>
      </c>
    </row>
    <row r="120" spans="2:14" ht="22.2" customHeight="1" thickTop="1" thickBot="1">
      <c r="B120" s="332">
        <f>Sim_SAC!C109</f>
        <v>47406</v>
      </c>
      <c r="C120" s="333">
        <f t="shared" ca="1" si="3"/>
        <v>2412.9598255287233</v>
      </c>
      <c r="D120" s="333">
        <f ca="1">IF($E$18="SAC",Sim_SAC!D109,Sim_PRICE!D109)</f>
        <v>842.74931039701278</v>
      </c>
      <c r="E120" s="333">
        <f ca="1">IF($E$18="SAC",Sim_SAC!E109,Sim_PRICE!E109)</f>
        <v>1570.2105151317105</v>
      </c>
      <c r="F120" s="333">
        <f ca="1">IF($E$18="SAC",Sim_SAC!G109,Sim_PRICE!F109)</f>
        <v>230070.56173838396</v>
      </c>
      <c r="G120" s="333">
        <f ca="1">IF($E$18="SAC",Sim_SAC!H109,Sim_PRICE!G109)</f>
        <v>48.314817965060634</v>
      </c>
      <c r="H120" s="333">
        <f>IF($E$18="SAC",Sim_SAC!I109,Sim_PRICE!H109)</f>
        <v>34.369999999999997</v>
      </c>
      <c r="I120" s="333">
        <f>IF($E$18="SAC",Sim_SAC!J109,Sim_PRICE!I109)</f>
        <v>25</v>
      </c>
      <c r="J120" s="333">
        <f ca="1">IF($E$18="SAC",Sim_SAC!K109,Sim_PRICE!J109)</f>
        <v>2520.6446434937839</v>
      </c>
      <c r="L120" s="335"/>
      <c r="M120" s="335">
        <f t="shared" ca="1" si="4"/>
        <v>2520.6446434937839</v>
      </c>
      <c r="N120" s="336">
        <f t="shared" ca="1" si="5"/>
        <v>41.201108609948129</v>
      </c>
    </row>
    <row r="121" spans="2:14" ht="22.2" customHeight="1" thickTop="1" thickBot="1">
      <c r="B121" s="337">
        <f>Sim_SAC!C110</f>
        <v>47437</v>
      </c>
      <c r="C121" s="338">
        <f t="shared" ca="1" si="3"/>
        <v>2407.2291302180238</v>
      </c>
      <c r="D121" s="338">
        <f ca="1">IF($E$18="SAC",Sim_SAC!D110,Sim_PRICE!D110)</f>
        <v>842.74931039701278</v>
      </c>
      <c r="E121" s="338">
        <f ca="1">IF($E$18="SAC",Sim_SAC!E110,Sim_PRICE!E110)</f>
        <v>1564.4798198210108</v>
      </c>
      <c r="F121" s="338">
        <f ca="1">IF($E$18="SAC",Sim_SAC!G110,Sim_PRICE!F110)</f>
        <v>229227.81242798694</v>
      </c>
      <c r="G121" s="338">
        <f ca="1">IF($E$18="SAC",Sim_SAC!H110,Sim_PRICE!G110)</f>
        <v>48.137840609877259</v>
      </c>
      <c r="H121" s="338">
        <f>IF($E$18="SAC",Sim_SAC!I110,Sim_PRICE!H110)</f>
        <v>34.369999999999997</v>
      </c>
      <c r="I121" s="338">
        <f>IF($E$18="SAC",Sim_SAC!J110,Sim_PRICE!I110)</f>
        <v>25</v>
      </c>
      <c r="J121" s="338">
        <f ca="1">IF($E$18="SAC",Sim_SAC!K110,Sim_PRICE!J110)</f>
        <v>2514.7369708279011</v>
      </c>
      <c r="L121" s="335"/>
      <c r="M121" s="335">
        <f t="shared" ca="1" si="4"/>
        <v>2514.7369708279011</v>
      </c>
      <c r="N121" s="336">
        <f t="shared" ca="1" si="5"/>
        <v>40.780397034458062</v>
      </c>
    </row>
    <row r="122" spans="2:14" ht="22.2" customHeight="1" thickTop="1" thickBot="1">
      <c r="B122" s="332">
        <f>Sim_SAC!C111</f>
        <v>47467</v>
      </c>
      <c r="C122" s="333">
        <f t="shared" ca="1" si="3"/>
        <v>2401.4984349073238</v>
      </c>
      <c r="D122" s="333">
        <f ca="1">IF($E$18="SAC",Sim_SAC!D111,Sim_PRICE!D111)</f>
        <v>842.74931039701278</v>
      </c>
      <c r="E122" s="333">
        <f ca="1">IF($E$18="SAC",Sim_SAC!E111,Sim_PRICE!E111)</f>
        <v>1558.749124510311</v>
      </c>
      <c r="F122" s="333">
        <f ca="1">IF($E$18="SAC",Sim_SAC!G111,Sim_PRICE!F111)</f>
        <v>228385.06311758992</v>
      </c>
      <c r="G122" s="333">
        <f ca="1">IF($E$18="SAC",Sim_SAC!H111,Sim_PRICE!G111)</f>
        <v>47.960863254693884</v>
      </c>
      <c r="H122" s="333">
        <f>IF($E$18="SAC",Sim_SAC!I111,Sim_PRICE!H111)</f>
        <v>34.369999999999997</v>
      </c>
      <c r="I122" s="333">
        <f>IF($E$18="SAC",Sim_SAC!J111,Sim_PRICE!I111)</f>
        <v>25</v>
      </c>
      <c r="J122" s="333">
        <f ca="1">IF($E$18="SAC",Sim_SAC!K111,Sim_PRICE!J111)</f>
        <v>2508.8292981620175</v>
      </c>
      <c r="L122" s="335"/>
      <c r="M122" s="335">
        <f t="shared" ca="1" si="4"/>
        <v>2508.8292981620175</v>
      </c>
      <c r="N122" s="336">
        <f t="shared" ca="1" si="5"/>
        <v>40.374371081886309</v>
      </c>
    </row>
    <row r="123" spans="2:14" ht="22.2" customHeight="1" thickTop="1" thickBot="1">
      <c r="B123" s="337">
        <f>Sim_SAC!C112</f>
        <v>47498</v>
      </c>
      <c r="C123" s="338">
        <f t="shared" ca="1" si="3"/>
        <v>2395.7677395966239</v>
      </c>
      <c r="D123" s="338">
        <f ca="1">IF($E$18="SAC",Sim_SAC!D112,Sim_PRICE!D112)</f>
        <v>842.74931039701278</v>
      </c>
      <c r="E123" s="338">
        <f ca="1">IF($E$18="SAC",Sim_SAC!E112,Sim_PRICE!E112)</f>
        <v>1553.0184291996113</v>
      </c>
      <c r="F123" s="338">
        <f ca="1">IF($E$18="SAC",Sim_SAC!G112,Sim_PRICE!F112)</f>
        <v>227542.3138071929</v>
      </c>
      <c r="G123" s="338">
        <f ca="1">IF($E$18="SAC",Sim_SAC!H112,Sim_PRICE!G112)</f>
        <v>47.783885899510508</v>
      </c>
      <c r="H123" s="338">
        <f>IF($E$18="SAC",Sim_SAC!I112,Sim_PRICE!H112)</f>
        <v>34.369999999999997</v>
      </c>
      <c r="I123" s="338">
        <f>IF($E$18="SAC",Sim_SAC!J112,Sim_PRICE!I112)</f>
        <v>25</v>
      </c>
      <c r="J123" s="338">
        <f ca="1">IF($E$18="SAC",Sim_SAC!K112,Sim_PRICE!J112)</f>
        <v>2502.9216254961343</v>
      </c>
      <c r="L123" s="335"/>
      <c r="M123" s="335">
        <f t="shared" ca="1" si="4"/>
        <v>2502.9216254961343</v>
      </c>
      <c r="N123" s="336">
        <f t="shared" ca="1" si="5"/>
        <v>39.961732949314076</v>
      </c>
    </row>
    <row r="124" spans="2:14" ht="22.2" customHeight="1" thickTop="1" thickBot="1">
      <c r="B124" s="332">
        <f>Sim_SAC!C113</f>
        <v>47529</v>
      </c>
      <c r="C124" s="333">
        <f t="shared" ca="1" si="3"/>
        <v>2390.0370442859244</v>
      </c>
      <c r="D124" s="333">
        <f ca="1">IF($E$18="SAC",Sim_SAC!D113,Sim_PRICE!D113)</f>
        <v>842.74931039701278</v>
      </c>
      <c r="E124" s="333">
        <f ca="1">IF($E$18="SAC",Sim_SAC!E113,Sim_PRICE!E113)</f>
        <v>1547.2877338889116</v>
      </c>
      <c r="F124" s="333">
        <f ca="1">IF($E$18="SAC",Sim_SAC!G113,Sim_PRICE!F113)</f>
        <v>226699.56449679588</v>
      </c>
      <c r="G124" s="333">
        <f ca="1">IF($E$18="SAC",Sim_SAC!H113,Sim_PRICE!G113)</f>
        <v>47.606908544327133</v>
      </c>
      <c r="H124" s="333">
        <f>IF($E$18="SAC",Sim_SAC!I113,Sim_PRICE!H113)</f>
        <v>34.369999999999997</v>
      </c>
      <c r="I124" s="333">
        <f>IF($E$18="SAC",Sim_SAC!J113,Sim_PRICE!I113)</f>
        <v>25</v>
      </c>
      <c r="J124" s="333">
        <f ca="1">IF($E$18="SAC",Sim_SAC!K113,Sim_PRICE!J113)</f>
        <v>2497.0139528302516</v>
      </c>
      <c r="L124" s="335"/>
      <c r="M124" s="335">
        <f t="shared" ca="1" si="4"/>
        <v>2497.0139528302516</v>
      </c>
      <c r="N124" s="336">
        <f t="shared" ca="1" si="5"/>
        <v>39.553128548482583</v>
      </c>
    </row>
    <row r="125" spans="2:14" ht="22.2" customHeight="1" thickTop="1" thickBot="1">
      <c r="B125" s="337">
        <f>Sim_SAC!C114</f>
        <v>47557</v>
      </c>
      <c r="C125" s="338">
        <f t="shared" ca="1" si="3"/>
        <v>2384.3063489752249</v>
      </c>
      <c r="D125" s="338">
        <f ca="1">IF($E$18="SAC",Sim_SAC!D114,Sim_PRICE!D114)</f>
        <v>842.74931039701278</v>
      </c>
      <c r="E125" s="338">
        <f ca="1">IF($E$18="SAC",Sim_SAC!E114,Sim_PRICE!E114)</f>
        <v>1541.5570385782119</v>
      </c>
      <c r="F125" s="338">
        <f ca="1">IF($E$18="SAC",Sim_SAC!G114,Sim_PRICE!F114)</f>
        <v>225856.81518639886</v>
      </c>
      <c r="G125" s="338">
        <f ca="1">IF($E$18="SAC",Sim_SAC!H114,Sim_PRICE!G114)</f>
        <v>47.429931189143765</v>
      </c>
      <c r="H125" s="338">
        <f>IF($E$18="SAC",Sim_SAC!I114,Sim_PRICE!H114)</f>
        <v>34.369999999999997</v>
      </c>
      <c r="I125" s="338">
        <f>IF($E$18="SAC",Sim_SAC!J114,Sim_PRICE!I114)</f>
        <v>25</v>
      </c>
      <c r="J125" s="338">
        <f ca="1">IF($E$18="SAC",Sim_SAC!K114,Sim_PRICE!J114)</f>
        <v>2491.1062801643684</v>
      </c>
      <c r="L125" s="335"/>
      <c r="M125" s="335">
        <f t="shared" ca="1" si="4"/>
        <v>2491.1062801643684</v>
      </c>
      <c r="N125" s="336">
        <f t="shared" ca="1" si="5"/>
        <v>39.179298602398681</v>
      </c>
    </row>
    <row r="126" spans="2:14" ht="22.2" customHeight="1" thickTop="1" thickBot="1">
      <c r="B126" s="332">
        <f>Sim_SAC!C115</f>
        <v>47588</v>
      </c>
      <c r="C126" s="333">
        <f t="shared" ca="1" si="3"/>
        <v>2378.5756536645249</v>
      </c>
      <c r="D126" s="333">
        <f ca="1">IF($E$18="SAC",Sim_SAC!D115,Sim_PRICE!D115)</f>
        <v>842.74931039701278</v>
      </c>
      <c r="E126" s="333">
        <f ca="1">IF($E$18="SAC",Sim_SAC!E115,Sim_PRICE!E115)</f>
        <v>1535.8263432675121</v>
      </c>
      <c r="F126" s="333">
        <f ca="1">IF($E$18="SAC",Sim_SAC!G115,Sim_PRICE!F115)</f>
        <v>225014.06587600184</v>
      </c>
      <c r="G126" s="333">
        <f ca="1">IF($E$18="SAC",Sim_SAC!H115,Sim_PRICE!G115)</f>
        <v>47.25295383396039</v>
      </c>
      <c r="H126" s="333">
        <f>IF($E$18="SAC",Sim_SAC!I115,Sim_PRICE!H115)</f>
        <v>34.369999999999997</v>
      </c>
      <c r="I126" s="333">
        <f>IF($E$18="SAC",Sim_SAC!J115,Sim_PRICE!I115)</f>
        <v>25</v>
      </c>
      <c r="J126" s="333">
        <f ca="1">IF($E$18="SAC",Sim_SAC!K115,Sim_PRICE!J115)</f>
        <v>2485.1986074984852</v>
      </c>
      <c r="L126" s="335"/>
      <c r="M126" s="335">
        <f t="shared" ca="1" si="4"/>
        <v>2485.1986074984852</v>
      </c>
      <c r="N126" s="336">
        <f t="shared" ca="1" si="5"/>
        <v>38.778332253443828</v>
      </c>
    </row>
    <row r="127" spans="2:14" ht="22.2" customHeight="1" thickTop="1" thickBot="1">
      <c r="B127" s="337">
        <f>Sim_SAC!C116</f>
        <v>47618</v>
      </c>
      <c r="C127" s="338">
        <f t="shared" ca="1" si="3"/>
        <v>2372.8449583538249</v>
      </c>
      <c r="D127" s="338">
        <f ca="1">IF($E$18="SAC",Sim_SAC!D116,Sim_PRICE!D116)</f>
        <v>842.74931039701278</v>
      </c>
      <c r="E127" s="338">
        <f ca="1">IF($E$18="SAC",Sim_SAC!E116,Sim_PRICE!E116)</f>
        <v>1530.0956479568124</v>
      </c>
      <c r="F127" s="338">
        <f ca="1">IF($E$18="SAC",Sim_SAC!G116,Sim_PRICE!F116)</f>
        <v>224171.31656560482</v>
      </c>
      <c r="G127" s="338">
        <f ca="1">IF($E$18="SAC",Sim_SAC!H116,Sim_PRICE!G116)</f>
        <v>47.075976478777015</v>
      </c>
      <c r="H127" s="338">
        <f>IF($E$18="SAC",Sim_SAC!I116,Sim_PRICE!H116)</f>
        <v>34.369999999999997</v>
      </c>
      <c r="I127" s="338">
        <f>IF($E$18="SAC",Sim_SAC!J116,Sim_PRICE!I116)</f>
        <v>25</v>
      </c>
      <c r="J127" s="338">
        <f ca="1">IF($E$18="SAC",Sim_SAC!K116,Sim_PRICE!J116)</f>
        <v>2479.290934832602</v>
      </c>
      <c r="L127" s="335"/>
      <c r="M127" s="335">
        <f t="shared" ca="1" si="4"/>
        <v>2479.290934832602</v>
      </c>
      <c r="N127" s="336">
        <f t="shared" ca="1" si="5"/>
        <v>38.39134496636251</v>
      </c>
    </row>
    <row r="128" spans="2:14" ht="22.2" customHeight="1" thickTop="1" thickBot="1">
      <c r="B128" s="332">
        <f>Sim_SAC!C117</f>
        <v>47649</v>
      </c>
      <c r="C128" s="333">
        <f t="shared" ca="1" si="3"/>
        <v>2367.1142630431254</v>
      </c>
      <c r="D128" s="333">
        <f ca="1">IF($E$18="SAC",Sim_SAC!D117,Sim_PRICE!D117)</f>
        <v>842.74931039701278</v>
      </c>
      <c r="E128" s="333">
        <f ca="1">IF($E$18="SAC",Sim_SAC!E117,Sim_PRICE!E117)</f>
        <v>1524.3649526461127</v>
      </c>
      <c r="F128" s="333">
        <f ca="1">IF($E$18="SAC",Sim_SAC!G117,Sim_PRICE!F117)</f>
        <v>223328.5672552078</v>
      </c>
      <c r="G128" s="333">
        <f ca="1">IF($E$18="SAC",Sim_SAC!H117,Sim_PRICE!G117)</f>
        <v>46.89899912359364</v>
      </c>
      <c r="H128" s="333">
        <f>IF($E$18="SAC",Sim_SAC!I117,Sim_PRICE!H117)</f>
        <v>34.369999999999997</v>
      </c>
      <c r="I128" s="333">
        <f>IF($E$18="SAC",Sim_SAC!J117,Sim_PRICE!I117)</f>
        <v>25</v>
      </c>
      <c r="J128" s="333">
        <f ca="1">IF($E$18="SAC",Sim_SAC!K117,Sim_PRICE!J117)</f>
        <v>2473.3832621667189</v>
      </c>
      <c r="L128" s="335"/>
      <c r="M128" s="335">
        <f t="shared" ca="1" si="4"/>
        <v>2473.3832621667189</v>
      </c>
      <c r="N128" s="336">
        <f t="shared" ca="1" si="5"/>
        <v>37.998084589066991</v>
      </c>
    </row>
    <row r="129" spans="2:14" ht="22.2" customHeight="1" thickTop="1" thickBot="1">
      <c r="B129" s="337">
        <f>Sim_SAC!C118</f>
        <v>47679</v>
      </c>
      <c r="C129" s="338">
        <f t="shared" ca="1" si="3"/>
        <v>2361.3835677324259</v>
      </c>
      <c r="D129" s="338">
        <f ca="1">IF($E$18="SAC",Sim_SAC!D118,Sim_PRICE!D118)</f>
        <v>842.74931039701278</v>
      </c>
      <c r="E129" s="338">
        <f ca="1">IF($E$18="SAC",Sim_SAC!E118,Sim_PRICE!E118)</f>
        <v>1518.6342573354129</v>
      </c>
      <c r="F129" s="338">
        <f ca="1">IF($E$18="SAC",Sim_SAC!G118,Sim_PRICE!F118)</f>
        <v>222485.81794481078</v>
      </c>
      <c r="G129" s="338">
        <f ca="1">IF($E$18="SAC",Sim_SAC!H118,Sim_PRICE!G118)</f>
        <v>46.722021768410265</v>
      </c>
      <c r="H129" s="338">
        <f>IF($E$18="SAC",Sim_SAC!I118,Sim_PRICE!H118)</f>
        <v>34.369999999999997</v>
      </c>
      <c r="I129" s="338">
        <f>IF($E$18="SAC",Sim_SAC!J118,Sim_PRICE!I118)</f>
        <v>25</v>
      </c>
      <c r="J129" s="338">
        <f ca="1">IF($E$18="SAC",Sim_SAC!K118,Sim_PRICE!J118)</f>
        <v>2467.4755895008361</v>
      </c>
      <c r="L129" s="335"/>
      <c r="M129" s="335">
        <f t="shared" ca="1" si="4"/>
        <v>2467.4755895008361</v>
      </c>
      <c r="N129" s="336">
        <f t="shared" ca="1" si="5"/>
        <v>37.618527739894454</v>
      </c>
    </row>
    <row r="130" spans="2:14" ht="22.2" customHeight="1" thickTop="1" thickBot="1">
      <c r="B130" s="332">
        <f>Sim_SAC!C119</f>
        <v>47710</v>
      </c>
      <c r="C130" s="333">
        <f t="shared" ca="1" si="3"/>
        <v>2355.652872421726</v>
      </c>
      <c r="D130" s="333">
        <f ca="1">IF($E$18="SAC",Sim_SAC!D119,Sim_PRICE!D119)</f>
        <v>842.74931039701278</v>
      </c>
      <c r="E130" s="333">
        <f ca="1">IF($E$18="SAC",Sim_SAC!E119,Sim_PRICE!E119)</f>
        <v>1512.9035620247132</v>
      </c>
      <c r="F130" s="333">
        <f ca="1">IF($E$18="SAC",Sim_SAC!G119,Sim_PRICE!F119)</f>
        <v>221643.06863441376</v>
      </c>
      <c r="G130" s="333">
        <f ca="1">IF($E$18="SAC",Sim_SAC!H119,Sim_PRICE!G119)</f>
        <v>46.54504441322689</v>
      </c>
      <c r="H130" s="333">
        <f>IF($E$18="SAC",Sim_SAC!I119,Sim_PRICE!H119)</f>
        <v>34.369999999999997</v>
      </c>
      <c r="I130" s="333">
        <f>IF($E$18="SAC",Sim_SAC!J119,Sim_PRICE!I119)</f>
        <v>25</v>
      </c>
      <c r="J130" s="333">
        <f ca="1">IF($E$18="SAC",Sim_SAC!K119,Sim_PRICE!J119)</f>
        <v>2461.5679168349529</v>
      </c>
      <c r="L130" s="335"/>
      <c r="M130" s="335">
        <f t="shared" ca="1" si="4"/>
        <v>2461.5679168349529</v>
      </c>
      <c r="N130" s="336">
        <f t="shared" ca="1" si="5"/>
        <v>37.232829778631171</v>
      </c>
    </row>
    <row r="131" spans="2:14" ht="22.2" customHeight="1" thickTop="1" thickBot="1">
      <c r="B131" s="337">
        <f>Sim_SAC!C120</f>
        <v>47741</v>
      </c>
      <c r="C131" s="338">
        <f t="shared" ca="1" si="3"/>
        <v>2349.922177111026</v>
      </c>
      <c r="D131" s="338">
        <f ca="1">IF($E$18="SAC",Sim_SAC!D120,Sim_PRICE!D120)</f>
        <v>842.74931039701278</v>
      </c>
      <c r="E131" s="338">
        <f ca="1">IF($E$18="SAC",Sim_SAC!E120,Sim_PRICE!E120)</f>
        <v>1507.1728667140135</v>
      </c>
      <c r="F131" s="338">
        <f ca="1">IF($E$18="SAC",Sim_SAC!G120,Sim_PRICE!F120)</f>
        <v>220800.31932401675</v>
      </c>
      <c r="G131" s="338">
        <f ca="1">IF($E$18="SAC",Sim_SAC!H120,Sim_PRICE!G120)</f>
        <v>46.368067058043522</v>
      </c>
      <c r="H131" s="338">
        <f>IF($E$18="SAC",Sim_SAC!I120,Sim_PRICE!H120)</f>
        <v>34.369999999999997</v>
      </c>
      <c r="I131" s="338">
        <f>IF($E$18="SAC",Sim_SAC!J120,Sim_PRICE!I120)</f>
        <v>25</v>
      </c>
      <c r="J131" s="338">
        <f ca="1">IF($E$18="SAC",Sim_SAC!K120,Sim_PRICE!J120)</f>
        <v>2455.6602441690693</v>
      </c>
      <c r="L131" s="335"/>
      <c r="M131" s="335">
        <f t="shared" ca="1" si="4"/>
        <v>2455.6602441690693</v>
      </c>
      <c r="N131" s="336">
        <f t="shared" ca="1" si="5"/>
        <v>36.850910039530824</v>
      </c>
    </row>
    <row r="132" spans="2:14" ht="22.2" customHeight="1" thickTop="1" thickBot="1">
      <c r="B132" s="332">
        <f>Sim_SAC!C121</f>
        <v>47771</v>
      </c>
      <c r="C132" s="333">
        <f t="shared" ca="1" si="3"/>
        <v>2344.1914818003265</v>
      </c>
      <c r="D132" s="333">
        <f ca="1">IF($E$18="SAC",Sim_SAC!D121,Sim_PRICE!D121)</f>
        <v>842.74931039701278</v>
      </c>
      <c r="E132" s="333">
        <f ca="1">IF($E$18="SAC",Sim_SAC!E121,Sim_PRICE!E121)</f>
        <v>1501.4421714033138</v>
      </c>
      <c r="F132" s="333">
        <f ca="1">IF($E$18="SAC",Sim_SAC!G121,Sim_PRICE!F121)</f>
        <v>219957.57001361973</v>
      </c>
      <c r="G132" s="333">
        <f ca="1">IF($E$18="SAC",Sim_SAC!H121,Sim_PRICE!G121)</f>
        <v>46.191089702860147</v>
      </c>
      <c r="H132" s="333">
        <f>IF($E$18="SAC",Sim_SAC!I121,Sim_PRICE!H121)</f>
        <v>34.369999999999997</v>
      </c>
      <c r="I132" s="333">
        <f>IF($E$18="SAC",Sim_SAC!J121,Sim_PRICE!I121)</f>
        <v>25</v>
      </c>
      <c r="J132" s="333">
        <f ca="1">IF($E$18="SAC",Sim_SAC!K121,Sim_PRICE!J121)</f>
        <v>2449.7525715031866</v>
      </c>
      <c r="L132" s="335"/>
      <c r="M132" s="335">
        <f t="shared" ca="1" si="4"/>
        <v>2449.7525715031866</v>
      </c>
      <c r="N132" s="336">
        <f t="shared" ca="1" si="5"/>
        <v>36.482288548698826</v>
      </c>
    </row>
    <row r="133" spans="2:14" ht="22.2" customHeight="1" thickTop="1" thickBot="1">
      <c r="B133" s="337">
        <f>Sim_SAC!C122</f>
        <v>47802</v>
      </c>
      <c r="C133" s="338">
        <f t="shared" ca="1" si="3"/>
        <v>2338.460786489627</v>
      </c>
      <c r="D133" s="338">
        <f ca="1">IF($E$18="SAC",Sim_SAC!D122,Sim_PRICE!D122)</f>
        <v>842.74931039701278</v>
      </c>
      <c r="E133" s="338">
        <f ca="1">IF($E$18="SAC",Sim_SAC!E122,Sim_PRICE!E122)</f>
        <v>1495.711476092614</v>
      </c>
      <c r="F133" s="338">
        <f ca="1">IF($E$18="SAC",Sim_SAC!G122,Sim_PRICE!F122)</f>
        <v>219114.82070322271</v>
      </c>
      <c r="G133" s="338">
        <f ca="1">IF($E$18="SAC",Sim_SAC!H122,Sim_PRICE!G122)</f>
        <v>46.014112347676772</v>
      </c>
      <c r="H133" s="338">
        <f>IF($E$18="SAC",Sim_SAC!I122,Sim_PRICE!H122)</f>
        <v>34.369999999999997</v>
      </c>
      <c r="I133" s="338">
        <f>IF($E$18="SAC",Sim_SAC!J122,Sim_PRICE!I122)</f>
        <v>25</v>
      </c>
      <c r="J133" s="338">
        <f ca="1">IF($E$18="SAC",Sim_SAC!K122,Sim_PRICE!J122)</f>
        <v>2443.8448988373038</v>
      </c>
      <c r="L133" s="335"/>
      <c r="M133" s="335">
        <f t="shared" ca="1" si="4"/>
        <v>2443.8448988373038</v>
      </c>
      <c r="N133" s="336">
        <f t="shared" ca="1" si="5"/>
        <v>36.107719817588737</v>
      </c>
    </row>
    <row r="134" spans="2:14" ht="22.2" customHeight="1" thickTop="1" thickBot="1">
      <c r="B134" s="332">
        <f>Sim_SAC!C123</f>
        <v>47832</v>
      </c>
      <c r="C134" s="333">
        <f t="shared" ca="1" si="3"/>
        <v>2332.7300911789271</v>
      </c>
      <c r="D134" s="333">
        <f ca="1">IF($E$18="SAC",Sim_SAC!D123,Sim_PRICE!D123)</f>
        <v>842.74931039701278</v>
      </c>
      <c r="E134" s="333">
        <f ca="1">IF($E$18="SAC",Sim_SAC!E123,Sim_PRICE!E123)</f>
        <v>1489.9807807819143</v>
      </c>
      <c r="F134" s="333">
        <f ca="1">IF($E$18="SAC",Sim_SAC!G123,Sim_PRICE!F123)</f>
        <v>218272.07139282569</v>
      </c>
      <c r="G134" s="333">
        <f ca="1">IF($E$18="SAC",Sim_SAC!H123,Sim_PRICE!G123)</f>
        <v>45.837134992493397</v>
      </c>
      <c r="H134" s="333">
        <f>IF($E$18="SAC",Sim_SAC!I123,Sim_PRICE!H123)</f>
        <v>34.369999999999997</v>
      </c>
      <c r="I134" s="333">
        <f>IF($E$18="SAC",Sim_SAC!J123,Sim_PRICE!I123)</f>
        <v>25</v>
      </c>
      <c r="J134" s="333">
        <f ca="1">IF($E$18="SAC",Sim_SAC!K123,Sim_PRICE!J123)</f>
        <v>2437.9372261714202</v>
      </c>
      <c r="L134" s="335"/>
      <c r="M134" s="335">
        <f t="shared" ca="1" si="4"/>
        <v>2437.9372261714202</v>
      </c>
      <c r="N134" s="336">
        <f t="shared" ca="1" si="5"/>
        <v>35.746186712507658</v>
      </c>
    </row>
    <row r="135" spans="2:14" ht="22.2" customHeight="1" thickTop="1" thickBot="1">
      <c r="B135" s="337">
        <f>Sim_SAC!C124</f>
        <v>47863</v>
      </c>
      <c r="C135" s="338">
        <f t="shared" ca="1" si="3"/>
        <v>2326.9993958682271</v>
      </c>
      <c r="D135" s="338">
        <f ca="1">IF($E$18="SAC",Sim_SAC!D124,Sim_PRICE!D124)</f>
        <v>842.74931039701278</v>
      </c>
      <c r="E135" s="338">
        <f ca="1">IF($E$18="SAC",Sim_SAC!E124,Sim_PRICE!E124)</f>
        <v>1484.2500854712146</v>
      </c>
      <c r="F135" s="338">
        <f ca="1">IF($E$18="SAC",Sim_SAC!G124,Sim_PRICE!F124)</f>
        <v>217429.32208242867</v>
      </c>
      <c r="G135" s="338">
        <f ca="1">IF($E$18="SAC",Sim_SAC!H124,Sim_PRICE!G124)</f>
        <v>45.660157637310022</v>
      </c>
      <c r="H135" s="338">
        <f>IF($E$18="SAC",Sim_SAC!I124,Sim_PRICE!H124)</f>
        <v>34.369999999999997</v>
      </c>
      <c r="I135" s="338">
        <f>IF($E$18="SAC",Sim_SAC!J124,Sim_PRICE!I124)</f>
        <v>25</v>
      </c>
      <c r="J135" s="338">
        <f ca="1">IF($E$18="SAC",Sim_SAC!K124,Sim_PRICE!J124)</f>
        <v>2432.029553505537</v>
      </c>
      <c r="L135" s="335"/>
      <c r="M135" s="335">
        <f t="shared" ca="1" si="4"/>
        <v>2432.029553505537</v>
      </c>
      <c r="N135" s="336">
        <f t="shared" ca="1" si="5"/>
        <v>35.378831901490138</v>
      </c>
    </row>
    <row r="136" spans="2:14" ht="22.2" customHeight="1" thickTop="1" thickBot="1">
      <c r="B136" s="332">
        <f>Sim_SAC!C125</f>
        <v>47894</v>
      </c>
      <c r="C136" s="333">
        <f t="shared" ca="1" si="3"/>
        <v>2321.2687005575276</v>
      </c>
      <c r="D136" s="333">
        <f ca="1">IF($E$18="SAC",Sim_SAC!D125,Sim_PRICE!D125)</f>
        <v>842.74931039701278</v>
      </c>
      <c r="E136" s="333">
        <f ca="1">IF($E$18="SAC",Sim_SAC!E125,Sim_PRICE!E125)</f>
        <v>1478.5193901605148</v>
      </c>
      <c r="F136" s="333">
        <f ca="1">IF($E$18="SAC",Sim_SAC!G125,Sim_PRICE!F125)</f>
        <v>216586.57277203165</v>
      </c>
      <c r="G136" s="333">
        <f ca="1">IF($E$18="SAC",Sim_SAC!H125,Sim_PRICE!G125)</f>
        <v>45.483180282126646</v>
      </c>
      <c r="H136" s="333">
        <f>IF($E$18="SAC",Sim_SAC!I125,Sim_PRICE!H125)</f>
        <v>34.369999999999997</v>
      </c>
      <c r="I136" s="333">
        <f>IF($E$18="SAC",Sim_SAC!J125,Sim_PRICE!I125)</f>
        <v>25</v>
      </c>
      <c r="J136" s="333">
        <f ca="1">IF($E$18="SAC",Sim_SAC!K125,Sim_PRICE!J125)</f>
        <v>2426.1218808396543</v>
      </c>
      <c r="L136" s="335"/>
      <c r="M136" s="335">
        <f t="shared" ca="1" si="4"/>
        <v>2426.1218808396543</v>
      </c>
      <c r="N136" s="336">
        <f t="shared" ca="1" si="5"/>
        <v>35.015081073792935</v>
      </c>
    </row>
    <row r="137" spans="2:14" ht="22.2" customHeight="1" thickTop="1" thickBot="1">
      <c r="B137" s="337">
        <f>Sim_SAC!C126</f>
        <v>47922</v>
      </c>
      <c r="C137" s="338">
        <f t="shared" ca="1" si="3"/>
        <v>2315.5380052468281</v>
      </c>
      <c r="D137" s="338">
        <f ca="1">IF($E$18="SAC",Sim_SAC!D126,Sim_PRICE!D126)</f>
        <v>842.74931039701278</v>
      </c>
      <c r="E137" s="338">
        <f ca="1">IF($E$18="SAC",Sim_SAC!E126,Sim_PRICE!E126)</f>
        <v>1472.7886948498151</v>
      </c>
      <c r="F137" s="338">
        <f ca="1">IF($E$18="SAC",Sim_SAC!G126,Sim_PRICE!F126)</f>
        <v>215743.82346163463</v>
      </c>
      <c r="G137" s="338">
        <f ca="1">IF($E$18="SAC",Sim_SAC!H126,Sim_PRICE!G126)</f>
        <v>45.306202926943271</v>
      </c>
      <c r="H137" s="338">
        <f>IF($E$18="SAC",Sim_SAC!I126,Sim_PRICE!H126)</f>
        <v>34.369999999999997</v>
      </c>
      <c r="I137" s="338">
        <f>IF($E$18="SAC",Sim_SAC!J126,Sim_PRICE!I126)</f>
        <v>25</v>
      </c>
      <c r="J137" s="338">
        <f ca="1">IF($E$18="SAC",Sim_SAC!K126,Sim_PRICE!J126)</f>
        <v>2420.2142081737711</v>
      </c>
      <c r="L137" s="335"/>
      <c r="M137" s="335">
        <f t="shared" ca="1" si="4"/>
        <v>2420.2142081737711</v>
      </c>
      <c r="N137" s="336">
        <f t="shared" ca="1" si="5"/>
        <v>34.682146010548429</v>
      </c>
    </row>
    <row r="138" spans="2:14" ht="22.2" customHeight="1" thickTop="1" thickBot="1">
      <c r="B138" s="332">
        <f>Sim_SAC!C127</f>
        <v>47953</v>
      </c>
      <c r="C138" s="333">
        <f t="shared" ca="1" si="3"/>
        <v>2309.8073099361281</v>
      </c>
      <c r="D138" s="333">
        <f ca="1">IF($E$18="SAC",Sim_SAC!D127,Sim_PRICE!D127)</f>
        <v>842.74931039701278</v>
      </c>
      <c r="E138" s="333">
        <f ca="1">IF($E$18="SAC",Sim_SAC!E127,Sim_PRICE!E127)</f>
        <v>1467.0579995391154</v>
      </c>
      <c r="F138" s="333">
        <f ca="1">IF($E$18="SAC",Sim_SAC!G127,Sim_PRICE!F127)</f>
        <v>214901.07415123761</v>
      </c>
      <c r="G138" s="333">
        <f ca="1">IF($E$18="SAC",Sim_SAC!H127,Sim_PRICE!G127)</f>
        <v>45.129225571759903</v>
      </c>
      <c r="H138" s="333">
        <f>IF($E$18="SAC",Sim_SAC!I127,Sim_PRICE!H127)</f>
        <v>34.369999999999997</v>
      </c>
      <c r="I138" s="333">
        <f>IF($E$18="SAC",Sim_SAC!J127,Sim_PRICE!I127)</f>
        <v>25</v>
      </c>
      <c r="J138" s="333">
        <f ca="1">IF($E$18="SAC",Sim_SAC!K127,Sim_PRICE!J127)</f>
        <v>2414.3065355078879</v>
      </c>
      <c r="L138" s="335"/>
      <c r="M138" s="335">
        <f t="shared" ca="1" si="4"/>
        <v>2414.3065355078879</v>
      </c>
      <c r="N138" s="336">
        <f t="shared" ca="1" si="5"/>
        <v>34.325220267597615</v>
      </c>
    </row>
    <row r="139" spans="2:14" ht="22.2" customHeight="1" thickTop="1" thickBot="1">
      <c r="B139" s="337">
        <f>Sim_SAC!C128</f>
        <v>47983</v>
      </c>
      <c r="C139" s="338">
        <f t="shared" ca="1" si="3"/>
        <v>2304.0766146254282</v>
      </c>
      <c r="D139" s="338">
        <f ca="1">IF($E$18="SAC",Sim_SAC!D128,Sim_PRICE!D128)</f>
        <v>842.74931039701278</v>
      </c>
      <c r="E139" s="338">
        <f ca="1">IF($E$18="SAC",Sim_SAC!E128,Sim_PRICE!E128)</f>
        <v>1461.3273042284156</v>
      </c>
      <c r="F139" s="338">
        <f ca="1">IF($E$18="SAC",Sim_SAC!G128,Sim_PRICE!F128)</f>
        <v>214058.32484084059</v>
      </c>
      <c r="G139" s="338">
        <f ca="1">IF($E$18="SAC",Sim_SAC!H128,Sim_PRICE!G128)</f>
        <v>44.952248216576528</v>
      </c>
      <c r="H139" s="338">
        <f>IF($E$18="SAC",Sim_SAC!I128,Sim_PRICE!H128)</f>
        <v>34.369999999999997</v>
      </c>
      <c r="I139" s="338">
        <f>IF($E$18="SAC",Sim_SAC!J128,Sim_PRICE!I128)</f>
        <v>25</v>
      </c>
      <c r="J139" s="338">
        <f ca="1">IF($E$18="SAC",Sim_SAC!K128,Sim_PRICE!J128)</f>
        <v>2408.3988628420047</v>
      </c>
      <c r="L139" s="335"/>
      <c r="M139" s="335">
        <f t="shared" ca="1" si="4"/>
        <v>2408.3988628420047</v>
      </c>
      <c r="N139" s="336">
        <f t="shared" ca="1" si="5"/>
        <v>33.980700075705968</v>
      </c>
    </row>
    <row r="140" spans="2:14" ht="22.2" customHeight="1" thickTop="1" thickBot="1">
      <c r="B140" s="332">
        <f>Sim_SAC!C129</f>
        <v>48014</v>
      </c>
      <c r="C140" s="333">
        <f t="shared" ca="1" si="3"/>
        <v>2298.3459193147287</v>
      </c>
      <c r="D140" s="333">
        <f ca="1">IF($E$18="SAC",Sim_SAC!D129,Sim_PRICE!D129)</f>
        <v>842.74931039701278</v>
      </c>
      <c r="E140" s="333">
        <f ca="1">IF($E$18="SAC",Sim_SAC!E129,Sim_PRICE!E129)</f>
        <v>1455.5966089177159</v>
      </c>
      <c r="F140" s="333">
        <f ca="1">IF($E$18="SAC",Sim_SAC!G129,Sim_PRICE!F129)</f>
        <v>213215.57553044357</v>
      </c>
      <c r="G140" s="333">
        <f ca="1">IF($E$18="SAC",Sim_SAC!H129,Sim_PRICE!G129)</f>
        <v>44.775270861393153</v>
      </c>
      <c r="H140" s="333">
        <f>IF($E$18="SAC",Sim_SAC!I129,Sim_PRICE!H129)</f>
        <v>34.369999999999997</v>
      </c>
      <c r="I140" s="333">
        <f>IF($E$18="SAC",Sim_SAC!J129,Sim_PRICE!I129)</f>
        <v>25</v>
      </c>
      <c r="J140" s="333">
        <f ca="1">IF($E$18="SAC",Sim_SAC!K129,Sim_PRICE!J129)</f>
        <v>2402.4911901761216</v>
      </c>
      <c r="L140" s="335"/>
      <c r="M140" s="335">
        <f t="shared" ca="1" si="4"/>
        <v>2402.4911901761216</v>
      </c>
      <c r="N140" s="336">
        <f t="shared" ca="1" si="5"/>
        <v>33.630659073626632</v>
      </c>
    </row>
    <row r="141" spans="2:14" ht="22.2" customHeight="1" thickTop="1" thickBot="1">
      <c r="B141" s="337">
        <f>Sim_SAC!C130</f>
        <v>48044</v>
      </c>
      <c r="C141" s="338">
        <f t="shared" ca="1" si="3"/>
        <v>2292.6152240040292</v>
      </c>
      <c r="D141" s="338">
        <f ca="1">IF($E$18="SAC",Sim_SAC!D130,Sim_PRICE!D130)</f>
        <v>842.74931039701278</v>
      </c>
      <c r="E141" s="338">
        <f ca="1">IF($E$18="SAC",Sim_SAC!E130,Sim_PRICE!E130)</f>
        <v>1449.8659136070162</v>
      </c>
      <c r="F141" s="338">
        <f ca="1">IF($E$18="SAC",Sim_SAC!G130,Sim_PRICE!F130)</f>
        <v>212372.82622004655</v>
      </c>
      <c r="G141" s="338">
        <f ca="1">IF($E$18="SAC",Sim_SAC!H130,Sim_PRICE!G130)</f>
        <v>44.598293506209778</v>
      </c>
      <c r="H141" s="338">
        <f>IF($E$18="SAC",Sim_SAC!I130,Sim_PRICE!H130)</f>
        <v>34.369999999999997</v>
      </c>
      <c r="I141" s="338">
        <f>IF($E$18="SAC",Sim_SAC!J130,Sim_PRICE!I130)</f>
        <v>25</v>
      </c>
      <c r="J141" s="338">
        <f ca="1">IF($E$18="SAC",Sim_SAC!K130,Sim_PRICE!J130)</f>
        <v>2396.5835175102388</v>
      </c>
      <c r="L141" s="335"/>
      <c r="M141" s="335">
        <f t="shared" ca="1" si="4"/>
        <v>2396.5835175102388</v>
      </c>
      <c r="N141" s="336">
        <f t="shared" ca="1" si="5"/>
        <v>33.292777950964371</v>
      </c>
    </row>
    <row r="142" spans="2:14" ht="22.2" customHeight="1" thickTop="1" thickBot="1">
      <c r="B142" s="332">
        <f>Sim_SAC!C131</f>
        <v>48075</v>
      </c>
      <c r="C142" s="333">
        <f t="shared" ca="1" si="3"/>
        <v>2286.8845286933292</v>
      </c>
      <c r="D142" s="333">
        <f ca="1">IF($E$18="SAC",Sim_SAC!D131,Sim_PRICE!D131)</f>
        <v>842.74931039701278</v>
      </c>
      <c r="E142" s="333">
        <f ca="1">IF($E$18="SAC",Sim_SAC!E131,Sim_PRICE!E131)</f>
        <v>1444.1352182963165</v>
      </c>
      <c r="F142" s="333">
        <f ca="1">IF($E$18="SAC",Sim_SAC!G131,Sim_PRICE!F131)</f>
        <v>211530.07690964954</v>
      </c>
      <c r="G142" s="333">
        <f ca="1">IF($E$18="SAC",Sim_SAC!H131,Sim_PRICE!G131)</f>
        <v>44.421316151026403</v>
      </c>
      <c r="H142" s="333">
        <f>IF($E$18="SAC",Sim_SAC!I131,Sim_PRICE!H131)</f>
        <v>34.369999999999997</v>
      </c>
      <c r="I142" s="333">
        <f>IF($E$18="SAC",Sim_SAC!J131,Sim_PRICE!I131)</f>
        <v>25</v>
      </c>
      <c r="J142" s="333">
        <f ca="1">IF($E$18="SAC",Sim_SAC!K131,Sim_PRICE!J131)</f>
        <v>2390.6758448443557</v>
      </c>
      <c r="L142" s="335"/>
      <c r="M142" s="335">
        <f t="shared" ca="1" si="4"/>
        <v>2390.6758448443557</v>
      </c>
      <c r="N142" s="336">
        <f t="shared" ca="1" si="5"/>
        <v>32.949493103892415</v>
      </c>
    </row>
    <row r="143" spans="2:14" ht="22.2" customHeight="1" thickTop="1" thickBot="1">
      <c r="B143" s="337">
        <f>Sim_SAC!C132</f>
        <v>48106</v>
      </c>
      <c r="C143" s="338">
        <f t="shared" ca="1" si="3"/>
        <v>2281.1538333826293</v>
      </c>
      <c r="D143" s="338">
        <f ca="1">IF($E$18="SAC",Sim_SAC!D132,Sim_PRICE!D132)</f>
        <v>842.74931039701278</v>
      </c>
      <c r="E143" s="338">
        <f ca="1">IF($E$18="SAC",Sim_SAC!E132,Sim_PRICE!E132)</f>
        <v>1438.4045229856167</v>
      </c>
      <c r="F143" s="338">
        <f ca="1">IF($E$18="SAC",Sim_SAC!G132,Sim_PRICE!F132)</f>
        <v>210687.32759925252</v>
      </c>
      <c r="G143" s="338">
        <f ca="1">IF($E$18="SAC",Sim_SAC!H132,Sim_PRICE!G132)</f>
        <v>44.244338795843028</v>
      </c>
      <c r="H143" s="338">
        <f>IF($E$18="SAC",Sim_SAC!I132,Sim_PRICE!H132)</f>
        <v>34.369999999999997</v>
      </c>
      <c r="I143" s="338">
        <f>IF($E$18="SAC",Sim_SAC!J132,Sim_PRICE!I132)</f>
        <v>25</v>
      </c>
      <c r="J143" s="338">
        <f ca="1">IF($E$18="SAC",Sim_SAC!K132,Sim_PRICE!J132)</f>
        <v>2384.768172178472</v>
      </c>
      <c r="L143" s="335"/>
      <c r="M143" s="335">
        <f t="shared" ca="1" si="4"/>
        <v>2384.768172178472</v>
      </c>
      <c r="N143" s="336">
        <f t="shared" ca="1" si="5"/>
        <v>32.609583375137134</v>
      </c>
    </row>
    <row r="144" spans="2:14" ht="22.2" customHeight="1" thickTop="1" thickBot="1">
      <c r="B144" s="332">
        <f>Sim_SAC!C133</f>
        <v>48136</v>
      </c>
      <c r="C144" s="333">
        <f t="shared" ca="1" si="3"/>
        <v>2275.4231380719298</v>
      </c>
      <c r="D144" s="333">
        <f ca="1">IF($E$18="SAC",Sim_SAC!D133,Sim_PRICE!D133)</f>
        <v>842.74931039701278</v>
      </c>
      <c r="E144" s="333">
        <f ca="1">IF($E$18="SAC",Sim_SAC!E133,Sim_PRICE!E133)</f>
        <v>1432.673827674917</v>
      </c>
      <c r="F144" s="333">
        <f ca="1">IF($E$18="SAC",Sim_SAC!G133,Sim_PRICE!F133)</f>
        <v>209844.5782888555</v>
      </c>
      <c r="G144" s="333">
        <f ca="1">IF($E$18="SAC",Sim_SAC!H133,Sim_PRICE!G133)</f>
        <v>44.067361440659653</v>
      </c>
      <c r="H144" s="333">
        <f>IF($E$18="SAC",Sim_SAC!I133,Sim_PRICE!H133)</f>
        <v>34.369999999999997</v>
      </c>
      <c r="I144" s="333">
        <f>IF($E$18="SAC",Sim_SAC!J133,Sim_PRICE!I133)</f>
        <v>25</v>
      </c>
      <c r="J144" s="333">
        <f ca="1">IF($E$18="SAC",Sim_SAC!K133,Sim_PRICE!J133)</f>
        <v>2378.8604995125893</v>
      </c>
      <c r="L144" s="335"/>
      <c r="M144" s="335">
        <f t="shared" ca="1" si="4"/>
        <v>2378.8604995125893</v>
      </c>
      <c r="N144" s="336">
        <f t="shared" ca="1" si="5"/>
        <v>32.281472204884878</v>
      </c>
    </row>
    <row r="145" spans="2:14" ht="22.2" customHeight="1" thickTop="1" thickBot="1">
      <c r="B145" s="337">
        <f>Sim_SAC!C134</f>
        <v>48167</v>
      </c>
      <c r="C145" s="338">
        <f t="shared" ca="1" si="3"/>
        <v>2269.6924427612303</v>
      </c>
      <c r="D145" s="338">
        <f ca="1">IF($E$18="SAC",Sim_SAC!D134,Sim_PRICE!D134)</f>
        <v>842.74931039701278</v>
      </c>
      <c r="E145" s="338">
        <f ca="1">IF($E$18="SAC",Sim_SAC!E134,Sim_PRICE!E134)</f>
        <v>1426.9431323642173</v>
      </c>
      <c r="F145" s="338">
        <f ca="1">IF($E$18="SAC",Sim_SAC!G134,Sim_PRICE!F134)</f>
        <v>209001.82897845848</v>
      </c>
      <c r="G145" s="338">
        <f ca="1">IF($E$18="SAC",Sim_SAC!H134,Sim_PRICE!G134)</f>
        <v>43.890384085476285</v>
      </c>
      <c r="H145" s="338">
        <f>IF($E$18="SAC",Sim_SAC!I134,Sim_PRICE!H134)</f>
        <v>34.369999999999997</v>
      </c>
      <c r="I145" s="338">
        <f>IF($E$18="SAC",Sim_SAC!J134,Sim_PRICE!I134)</f>
        <v>25</v>
      </c>
      <c r="J145" s="338">
        <f ca="1">IF($E$18="SAC",Sim_SAC!K134,Sim_PRICE!J134)</f>
        <v>2372.9528268467066</v>
      </c>
      <c r="L145" s="335"/>
      <c r="M145" s="335">
        <f t="shared" ca="1" si="4"/>
        <v>2372.9528268467066</v>
      </c>
      <c r="N145" s="336">
        <f t="shared" ca="1" si="5"/>
        <v>31.948129278996703</v>
      </c>
    </row>
    <row r="146" spans="2:14" ht="22.2" customHeight="1" thickTop="1" thickBot="1">
      <c r="B146" s="332">
        <f>Sim_SAC!C135</f>
        <v>48197</v>
      </c>
      <c r="C146" s="333">
        <f t="shared" ca="1" si="3"/>
        <v>2263.9617474505303</v>
      </c>
      <c r="D146" s="333">
        <f ca="1">IF($E$18="SAC",Sim_SAC!D135,Sim_PRICE!D135)</f>
        <v>842.74931039701278</v>
      </c>
      <c r="E146" s="333">
        <f ca="1">IF($E$18="SAC",Sim_SAC!E135,Sim_PRICE!E135)</f>
        <v>1421.2124370535175</v>
      </c>
      <c r="F146" s="333">
        <f ca="1">IF($E$18="SAC",Sim_SAC!G135,Sim_PRICE!F135)</f>
        <v>208159.07966806146</v>
      </c>
      <c r="G146" s="333">
        <f ca="1">IF($E$18="SAC",Sim_SAC!H135,Sim_PRICE!G135)</f>
        <v>43.71340673029291</v>
      </c>
      <c r="H146" s="333">
        <f>IF($E$18="SAC",Sim_SAC!I135,Sim_PRICE!H135)</f>
        <v>34.369999999999997</v>
      </c>
      <c r="I146" s="333">
        <f>IF($E$18="SAC",Sim_SAC!J135,Sim_PRICE!I135)</f>
        <v>25</v>
      </c>
      <c r="J146" s="333">
        <f ca="1">IF($E$18="SAC",Sim_SAC!K135,Sim_PRICE!J135)</f>
        <v>2367.0451541808229</v>
      </c>
      <c r="L146" s="335"/>
      <c r="M146" s="335">
        <f t="shared" ca="1" si="4"/>
        <v>2367.0451541808229</v>
      </c>
      <c r="N146" s="336">
        <f t="shared" ca="1" si="5"/>
        <v>31.626350788005219</v>
      </c>
    </row>
    <row r="147" spans="2:14" ht="22.2" customHeight="1" thickTop="1" thickBot="1">
      <c r="B147" s="337">
        <f>Sim_SAC!C136</f>
        <v>48228</v>
      </c>
      <c r="C147" s="338">
        <f t="shared" ca="1" si="3"/>
        <v>2258.2310521398304</v>
      </c>
      <c r="D147" s="338">
        <f ca="1">IF($E$18="SAC",Sim_SAC!D136,Sim_PRICE!D136)</f>
        <v>842.74931039701278</v>
      </c>
      <c r="E147" s="338">
        <f ca="1">IF($E$18="SAC",Sim_SAC!E136,Sim_PRICE!E136)</f>
        <v>1415.4817417428178</v>
      </c>
      <c r="F147" s="338">
        <f ca="1">IF($E$18="SAC",Sim_SAC!G136,Sim_PRICE!F136)</f>
        <v>207316.33035766444</v>
      </c>
      <c r="G147" s="338">
        <f ca="1">IF($E$18="SAC",Sim_SAC!H136,Sim_PRICE!G136)</f>
        <v>43.536429375109535</v>
      </c>
      <c r="H147" s="338">
        <f>IF($E$18="SAC",Sim_SAC!I136,Sim_PRICE!H136)</f>
        <v>34.369999999999997</v>
      </c>
      <c r="I147" s="338">
        <f>IF($E$18="SAC",Sim_SAC!J136,Sim_PRICE!I136)</f>
        <v>25</v>
      </c>
      <c r="J147" s="338">
        <f ca="1">IF($E$18="SAC",Sim_SAC!K136,Sim_PRICE!J136)</f>
        <v>2361.1374815149397</v>
      </c>
      <c r="L147" s="335"/>
      <c r="M147" s="335">
        <f t="shared" ca="1" si="4"/>
        <v>2361.1374815149397</v>
      </c>
      <c r="N147" s="336">
        <f t="shared" ca="1" si="5"/>
        <v>31.299451883238177</v>
      </c>
    </row>
    <row r="148" spans="2:14" ht="22.2" customHeight="1" thickTop="1" thickBot="1">
      <c r="B148" s="332">
        <f>Sim_SAC!C137</f>
        <v>48259</v>
      </c>
      <c r="C148" s="333">
        <f t="shared" ca="1" si="3"/>
        <v>2252.5003568291309</v>
      </c>
      <c r="D148" s="333">
        <f ca="1">IF($E$18="SAC",Sim_SAC!D137,Sim_PRICE!D137)</f>
        <v>842.74931039701278</v>
      </c>
      <c r="E148" s="333">
        <f ca="1">IF($E$18="SAC",Sim_SAC!E137,Sim_PRICE!E137)</f>
        <v>1409.7510464321181</v>
      </c>
      <c r="F148" s="333">
        <f ca="1">IF($E$18="SAC",Sim_SAC!G137,Sim_PRICE!F137)</f>
        <v>206473.58104726742</v>
      </c>
      <c r="G148" s="333">
        <f ca="1">IF($E$18="SAC",Sim_SAC!H137,Sim_PRICE!G137)</f>
        <v>43.359452019926159</v>
      </c>
      <c r="H148" s="333">
        <f>IF($E$18="SAC",Sim_SAC!I137,Sim_PRICE!H137)</f>
        <v>34.369999999999997</v>
      </c>
      <c r="I148" s="333">
        <f>IF($E$18="SAC",Sim_SAC!J137,Sim_PRICE!I137)</f>
        <v>25</v>
      </c>
      <c r="J148" s="333">
        <f ca="1">IF($E$18="SAC",Sim_SAC!K137,Sim_PRICE!J137)</f>
        <v>2355.229808849057</v>
      </c>
      <c r="L148" s="335"/>
      <c r="M148" s="335">
        <f t="shared" ca="1" si="4"/>
        <v>2355.229808849057</v>
      </c>
      <c r="N148" s="336">
        <f t="shared" ca="1" si="5"/>
        <v>30.975772047789267</v>
      </c>
    </row>
    <row r="149" spans="2:14" ht="22.2" customHeight="1" thickTop="1" thickBot="1">
      <c r="B149" s="337">
        <f>Sim_SAC!C138</f>
        <v>48288</v>
      </c>
      <c r="C149" s="338">
        <f t="shared" ca="1" si="3"/>
        <v>2246.7696615184313</v>
      </c>
      <c r="D149" s="338">
        <f ca="1">IF($E$18="SAC",Sim_SAC!D138,Sim_PRICE!D138)</f>
        <v>842.74931039701278</v>
      </c>
      <c r="E149" s="338">
        <f ca="1">IF($E$18="SAC",Sim_SAC!E138,Sim_PRICE!E138)</f>
        <v>1404.0203511214183</v>
      </c>
      <c r="F149" s="338">
        <f ca="1">IF($E$18="SAC",Sim_SAC!G138,Sim_PRICE!F138)</f>
        <v>205630.8317368704</v>
      </c>
      <c r="G149" s="338">
        <f ca="1">IF($E$18="SAC",Sim_SAC!H138,Sim_PRICE!G138)</f>
        <v>43.182474664742784</v>
      </c>
      <c r="H149" s="338">
        <f>IF($E$18="SAC",Sim_SAC!I138,Sim_PRICE!H138)</f>
        <v>34.369999999999997</v>
      </c>
      <c r="I149" s="338">
        <f>IF($E$18="SAC",Sim_SAC!J138,Sim_PRICE!I138)</f>
        <v>25</v>
      </c>
      <c r="J149" s="338">
        <f ca="1">IF($E$18="SAC",Sim_SAC!K138,Sim_PRICE!J138)</f>
        <v>2349.3221361831738</v>
      </c>
      <c r="L149" s="335"/>
      <c r="M149" s="335">
        <f t="shared" ca="1" si="4"/>
        <v>2349.3221361831738</v>
      </c>
      <c r="N149" s="336">
        <f t="shared" ca="1" si="5"/>
        <v>30.67134615985341</v>
      </c>
    </row>
    <row r="150" spans="2:14" ht="22.2" customHeight="1" thickTop="1" thickBot="1">
      <c r="B150" s="332">
        <f>Sim_SAC!C139</f>
        <v>48319</v>
      </c>
      <c r="C150" s="333">
        <f t="shared" ca="1" si="3"/>
        <v>2241.0389662077314</v>
      </c>
      <c r="D150" s="333">
        <f ca="1">IF($E$18="SAC",Sim_SAC!D139,Sim_PRICE!D139)</f>
        <v>842.74931039701278</v>
      </c>
      <c r="E150" s="333">
        <f ca="1">IF($E$18="SAC",Sim_SAC!E139,Sim_PRICE!E139)</f>
        <v>1398.2896558107186</v>
      </c>
      <c r="F150" s="333">
        <f ca="1">IF($E$18="SAC",Sim_SAC!G139,Sim_PRICE!F139)</f>
        <v>204788.08242647338</v>
      </c>
      <c r="G150" s="333">
        <f ca="1">IF($E$18="SAC",Sim_SAC!H139,Sim_PRICE!G139)</f>
        <v>43.005497309559409</v>
      </c>
      <c r="H150" s="333">
        <f>IF($E$18="SAC",Sim_SAC!I139,Sim_PRICE!H139)</f>
        <v>34.369999999999997</v>
      </c>
      <c r="I150" s="333">
        <f>IF($E$18="SAC",Sim_SAC!J139,Sim_PRICE!I139)</f>
        <v>25</v>
      </c>
      <c r="J150" s="333">
        <f ca="1">IF($E$18="SAC",Sim_SAC!K139,Sim_PRICE!J139)</f>
        <v>2343.4144635172906</v>
      </c>
      <c r="L150" s="335"/>
      <c r="M150" s="335">
        <f t="shared" ca="1" si="4"/>
        <v>2343.4144635172906</v>
      </c>
      <c r="N150" s="336">
        <f t="shared" ca="1" si="5"/>
        <v>30.353846381036671</v>
      </c>
    </row>
    <row r="151" spans="2:14" ht="22.2" customHeight="1" thickTop="1" thickBot="1">
      <c r="B151" s="337">
        <f>Sim_SAC!C140</f>
        <v>48349</v>
      </c>
      <c r="C151" s="338">
        <f t="shared" ca="1" si="3"/>
        <v>2235.3082708970314</v>
      </c>
      <c r="D151" s="338">
        <f ca="1">IF($E$18="SAC",Sim_SAC!D140,Sim_PRICE!D140)</f>
        <v>842.74931039701278</v>
      </c>
      <c r="E151" s="338">
        <f ca="1">IF($E$18="SAC",Sim_SAC!E140,Sim_PRICE!E140)</f>
        <v>1392.5589605000189</v>
      </c>
      <c r="F151" s="338">
        <f ca="1">IF($E$18="SAC",Sim_SAC!G140,Sim_PRICE!F140)</f>
        <v>203945.33311607636</v>
      </c>
      <c r="G151" s="338">
        <f ca="1">IF($E$18="SAC",Sim_SAC!H140,Sim_PRICE!G140)</f>
        <v>42.828519954376041</v>
      </c>
      <c r="H151" s="338">
        <f>IF($E$18="SAC",Sim_SAC!I140,Sim_PRICE!H140)</f>
        <v>34.369999999999997</v>
      </c>
      <c r="I151" s="338">
        <f>IF($E$18="SAC",Sim_SAC!J140,Sim_PRICE!I140)</f>
        <v>25</v>
      </c>
      <c r="J151" s="338">
        <f ca="1">IF($E$18="SAC",Sim_SAC!K140,Sim_PRICE!J140)</f>
        <v>2337.5067908514075</v>
      </c>
      <c r="L151" s="335"/>
      <c r="M151" s="335">
        <f t="shared" ca="1" si="4"/>
        <v>2337.5067908514075</v>
      </c>
      <c r="N151" s="336">
        <f t="shared" ca="1" si="5"/>
        <v>30.047346492219809</v>
      </c>
    </row>
    <row r="152" spans="2:14" ht="22.2" customHeight="1" thickTop="1" thickBot="1">
      <c r="B152" s="332">
        <f>Sim_SAC!C141</f>
        <v>48380</v>
      </c>
      <c r="C152" s="333">
        <f t="shared" ca="1" si="3"/>
        <v>2229.5775755863319</v>
      </c>
      <c r="D152" s="333">
        <f ca="1">IF($E$18="SAC",Sim_SAC!D141,Sim_PRICE!D141)</f>
        <v>842.74931039701278</v>
      </c>
      <c r="E152" s="333">
        <f ca="1">IF($E$18="SAC",Sim_SAC!E141,Sim_PRICE!E141)</f>
        <v>1386.8282651893192</v>
      </c>
      <c r="F152" s="333">
        <f ca="1">IF($E$18="SAC",Sim_SAC!G141,Sim_PRICE!F141)</f>
        <v>203102.58380567934</v>
      </c>
      <c r="G152" s="333">
        <f ca="1">IF($E$18="SAC",Sim_SAC!H141,Sim_PRICE!G141)</f>
        <v>42.651542599192666</v>
      </c>
      <c r="H152" s="333">
        <f>IF($E$18="SAC",Sim_SAC!I141,Sim_PRICE!H141)</f>
        <v>34.369999999999997</v>
      </c>
      <c r="I152" s="333">
        <f>IF($E$18="SAC",Sim_SAC!J141,Sim_PRICE!I141)</f>
        <v>25</v>
      </c>
      <c r="J152" s="333">
        <f ca="1">IF($E$18="SAC",Sim_SAC!K141,Sim_PRICE!J141)</f>
        <v>2331.5991181855243</v>
      </c>
      <c r="L152" s="335"/>
      <c r="M152" s="335">
        <f t="shared" ca="1" si="4"/>
        <v>2331.5991181855243</v>
      </c>
      <c r="N152" s="336">
        <f t="shared" ca="1" si="5"/>
        <v>29.735994308719622</v>
      </c>
    </row>
    <row r="153" spans="2:14" ht="22.2" customHeight="1" thickTop="1" thickBot="1">
      <c r="B153" s="337">
        <f>Sim_SAC!C142</f>
        <v>48410</v>
      </c>
      <c r="C153" s="338">
        <f t="shared" ca="1" si="3"/>
        <v>2223.8468802756324</v>
      </c>
      <c r="D153" s="338">
        <f ca="1">IF($E$18="SAC",Sim_SAC!D142,Sim_PRICE!D142)</f>
        <v>842.74931039701278</v>
      </c>
      <c r="E153" s="338">
        <f ca="1">IF($E$18="SAC",Sim_SAC!E142,Sim_PRICE!E142)</f>
        <v>1381.0975698786194</v>
      </c>
      <c r="F153" s="338">
        <f ca="1">IF($E$18="SAC",Sim_SAC!G142,Sim_PRICE!F142)</f>
        <v>202259.83449528232</v>
      </c>
      <c r="G153" s="338">
        <f ca="1">IF($E$18="SAC",Sim_SAC!H142,Sim_PRICE!G142)</f>
        <v>42.474565244009291</v>
      </c>
      <c r="H153" s="338">
        <f>IF($E$18="SAC",Sim_SAC!I142,Sim_PRICE!H142)</f>
        <v>34.369999999999997</v>
      </c>
      <c r="I153" s="338">
        <f>IF($E$18="SAC",Sim_SAC!J142,Sim_PRICE!I142)</f>
        <v>25</v>
      </c>
      <c r="J153" s="338">
        <f ca="1">IF($E$18="SAC",Sim_SAC!K142,Sim_PRICE!J142)</f>
        <v>2325.6914455196415</v>
      </c>
      <c r="L153" s="335"/>
      <c r="M153" s="335">
        <f t="shared" ca="1" si="4"/>
        <v>2325.6914455196415</v>
      </c>
      <c r="N153" s="336">
        <f t="shared" ca="1" si="5"/>
        <v>29.435423108031511</v>
      </c>
    </row>
    <row r="154" spans="2:14" ht="22.2" customHeight="1" thickTop="1" thickBot="1">
      <c r="B154" s="332">
        <f>Sim_SAC!C143</f>
        <v>48441</v>
      </c>
      <c r="C154" s="333">
        <f t="shared" ca="1" si="3"/>
        <v>2218.1161849649325</v>
      </c>
      <c r="D154" s="333">
        <f ca="1">IF($E$18="SAC",Sim_SAC!D143,Sim_PRICE!D143)</f>
        <v>842.74931039701278</v>
      </c>
      <c r="E154" s="333">
        <f ca="1">IF($E$18="SAC",Sim_SAC!E143,Sim_PRICE!E143)</f>
        <v>1375.3668745679197</v>
      </c>
      <c r="F154" s="333">
        <f ca="1">IF($E$18="SAC",Sim_SAC!G143,Sim_PRICE!F143)</f>
        <v>201417.08518488531</v>
      </c>
      <c r="G154" s="333">
        <f ca="1">IF($E$18="SAC",Sim_SAC!H143,Sim_PRICE!G143)</f>
        <v>42.297587888825916</v>
      </c>
      <c r="H154" s="333">
        <f>IF($E$18="SAC",Sim_SAC!I143,Sim_PRICE!H143)</f>
        <v>34.369999999999997</v>
      </c>
      <c r="I154" s="333">
        <f>IF($E$18="SAC",Sim_SAC!J143,Sim_PRICE!I143)</f>
        <v>25</v>
      </c>
      <c r="J154" s="333">
        <f ca="1">IF($E$18="SAC",Sim_SAC!K143,Sim_PRICE!J143)</f>
        <v>2319.7837728537584</v>
      </c>
      <c r="L154" s="335"/>
      <c r="M154" s="335">
        <f t="shared" ca="1" si="4"/>
        <v>2319.7837728537584</v>
      </c>
      <c r="N154" s="336">
        <f t="shared" ca="1" si="5"/>
        <v>29.130103397481182</v>
      </c>
    </row>
    <row r="155" spans="2:14" ht="22.2" customHeight="1" thickTop="1" thickBot="1">
      <c r="B155" s="337">
        <f>Sim_SAC!C144</f>
        <v>48472</v>
      </c>
      <c r="C155" s="338">
        <f t="shared" ca="1" si="3"/>
        <v>2212.3854896542325</v>
      </c>
      <c r="D155" s="338">
        <f ca="1">IF($E$18="SAC",Sim_SAC!D144,Sim_PRICE!D144)</f>
        <v>842.74931039701278</v>
      </c>
      <c r="E155" s="338">
        <f ca="1">IF($E$18="SAC",Sim_SAC!E144,Sim_PRICE!E144)</f>
        <v>1369.63617925722</v>
      </c>
      <c r="F155" s="338">
        <f ca="1">IF($E$18="SAC",Sim_SAC!G144,Sim_PRICE!F144)</f>
        <v>200574.33587448829</v>
      </c>
      <c r="G155" s="338">
        <f ca="1">IF($E$18="SAC",Sim_SAC!H144,Sim_PRICE!G144)</f>
        <v>42.120610533642541</v>
      </c>
      <c r="H155" s="338">
        <f>IF($E$18="SAC",Sim_SAC!I144,Sim_PRICE!H144)</f>
        <v>34.369999999999997</v>
      </c>
      <c r="I155" s="338">
        <f>IF($E$18="SAC",Sim_SAC!J144,Sim_PRICE!I144)</f>
        <v>25</v>
      </c>
      <c r="J155" s="338">
        <f ca="1">IF($E$18="SAC",Sim_SAC!K144,Sim_PRICE!J144)</f>
        <v>2313.8761001878747</v>
      </c>
      <c r="L155" s="335"/>
      <c r="M155" s="335">
        <f t="shared" ca="1" si="4"/>
        <v>2313.8761001878747</v>
      </c>
      <c r="N155" s="336">
        <f t="shared" ca="1" si="5"/>
        <v>28.827797011613114</v>
      </c>
    </row>
    <row r="156" spans="2:14" ht="22.2" customHeight="1" thickTop="1" thickBot="1">
      <c r="B156" s="332">
        <f>Sim_SAC!C145</f>
        <v>48502</v>
      </c>
      <c r="C156" s="333">
        <f t="shared" ca="1" si="3"/>
        <v>2206.654794343533</v>
      </c>
      <c r="D156" s="333">
        <f ca="1">IF($E$18="SAC",Sim_SAC!D145,Sim_PRICE!D145)</f>
        <v>842.74931039701278</v>
      </c>
      <c r="E156" s="333">
        <f ca="1">IF($E$18="SAC",Sim_SAC!E145,Sim_PRICE!E145)</f>
        <v>1363.9054839465202</v>
      </c>
      <c r="F156" s="333">
        <f ca="1">IF($E$18="SAC",Sim_SAC!G145,Sim_PRICE!F145)</f>
        <v>199731.58656409127</v>
      </c>
      <c r="G156" s="333">
        <f ca="1">IF($E$18="SAC",Sim_SAC!H145,Sim_PRICE!G145)</f>
        <v>41.943633178459166</v>
      </c>
      <c r="H156" s="333">
        <f>IF($E$18="SAC",Sim_SAC!I145,Sim_PRICE!H145)</f>
        <v>34.369999999999997</v>
      </c>
      <c r="I156" s="333">
        <f>IF($E$18="SAC",Sim_SAC!J145,Sim_PRICE!I145)</f>
        <v>25</v>
      </c>
      <c r="J156" s="333">
        <f ca="1">IF($E$18="SAC",Sim_SAC!K145,Sim_PRICE!J145)</f>
        <v>2307.968427521992</v>
      </c>
      <c r="L156" s="335"/>
      <c r="M156" s="335">
        <f t="shared" ca="1" si="4"/>
        <v>2307.968427521992</v>
      </c>
      <c r="N156" s="336">
        <f t="shared" ca="1" si="5"/>
        <v>28.535949683863688</v>
      </c>
    </row>
    <row r="157" spans="2:14" ht="22.2" customHeight="1" thickTop="1" thickBot="1">
      <c r="B157" s="337">
        <f>Sim_SAC!C146</f>
        <v>48533</v>
      </c>
      <c r="C157" s="338">
        <f t="shared" ca="1" si="3"/>
        <v>2200.9240990328335</v>
      </c>
      <c r="D157" s="338">
        <f ca="1">IF($E$18="SAC",Sim_SAC!D146,Sim_PRICE!D146)</f>
        <v>842.74931039701278</v>
      </c>
      <c r="E157" s="338">
        <f ca="1">IF($E$18="SAC",Sim_SAC!E146,Sim_PRICE!E146)</f>
        <v>1358.1747886358205</v>
      </c>
      <c r="F157" s="338">
        <f ca="1">IF($E$18="SAC",Sim_SAC!G146,Sim_PRICE!F146)</f>
        <v>198888.83725369425</v>
      </c>
      <c r="G157" s="338">
        <f ca="1">IF($E$18="SAC",Sim_SAC!H146,Sim_PRICE!G146)</f>
        <v>41.766655823275791</v>
      </c>
      <c r="H157" s="338">
        <f>IF($E$18="SAC",Sim_SAC!I146,Sim_PRICE!H146)</f>
        <v>34.369999999999997</v>
      </c>
      <c r="I157" s="338">
        <f>IF($E$18="SAC",Sim_SAC!J146,Sim_PRICE!I146)</f>
        <v>25</v>
      </c>
      <c r="J157" s="338">
        <f ca="1">IF($E$18="SAC",Sim_SAC!K146,Sim_PRICE!J146)</f>
        <v>2302.0607548561093</v>
      </c>
      <c r="L157" s="335"/>
      <c r="M157" s="335">
        <f t="shared" ca="1" si="4"/>
        <v>2302.0607548561093</v>
      </c>
      <c r="N157" s="336">
        <f t="shared" ca="1" si="5"/>
        <v>28.239506254559242</v>
      </c>
    </row>
    <row r="158" spans="2:14" ht="22.2" customHeight="1" thickTop="1" thickBot="1">
      <c r="B158" s="332">
        <f>Sim_SAC!C147</f>
        <v>48563</v>
      </c>
      <c r="C158" s="333">
        <f t="shared" ca="1" si="3"/>
        <v>2195.1934037221336</v>
      </c>
      <c r="D158" s="333">
        <f ca="1">IF($E$18="SAC",Sim_SAC!D147,Sim_PRICE!D147)</f>
        <v>842.74931039701278</v>
      </c>
      <c r="E158" s="333">
        <f ca="1">IF($E$18="SAC",Sim_SAC!E147,Sim_PRICE!E147)</f>
        <v>1352.4440933251208</v>
      </c>
      <c r="F158" s="333">
        <f ca="1">IF($E$18="SAC",Sim_SAC!G147,Sim_PRICE!F147)</f>
        <v>198046.08794329723</v>
      </c>
      <c r="G158" s="333">
        <f ca="1">IF($E$18="SAC",Sim_SAC!H147,Sim_PRICE!G147)</f>
        <v>41.589678468092423</v>
      </c>
      <c r="H158" s="333">
        <f>IF($E$18="SAC",Sim_SAC!I147,Sim_PRICE!H147)</f>
        <v>34.369999999999997</v>
      </c>
      <c r="I158" s="333">
        <f>IF($E$18="SAC",Sim_SAC!J147,Sim_PRICE!I147)</f>
        <v>25</v>
      </c>
      <c r="J158" s="333">
        <f ca="1">IF($E$18="SAC",Sim_SAC!K147,Sim_PRICE!J147)</f>
        <v>2296.1530821902261</v>
      </c>
      <c r="L158" s="335"/>
      <c r="M158" s="335">
        <f t="shared" ca="1" si="4"/>
        <v>2296.1530821902261</v>
      </c>
      <c r="N158" s="336">
        <f t="shared" ca="1" si="5"/>
        <v>27.953313299344348</v>
      </c>
    </row>
    <row r="159" spans="2:14" ht="22.2" customHeight="1" thickTop="1" thickBot="1">
      <c r="B159" s="337">
        <f>Sim_SAC!C148</f>
        <v>48594</v>
      </c>
      <c r="C159" s="338">
        <f t="shared" ca="1" si="3"/>
        <v>2189.4627084114336</v>
      </c>
      <c r="D159" s="338">
        <f ca="1">IF($E$18="SAC",Sim_SAC!D148,Sim_PRICE!D148)</f>
        <v>842.74931039701278</v>
      </c>
      <c r="E159" s="338">
        <f ca="1">IF($E$18="SAC",Sim_SAC!E148,Sim_PRICE!E148)</f>
        <v>1346.713398014421</v>
      </c>
      <c r="F159" s="338">
        <f ca="1">IF($E$18="SAC",Sim_SAC!G148,Sim_PRICE!F148)</f>
        <v>197203.33863290021</v>
      </c>
      <c r="G159" s="338">
        <f ca="1">IF($E$18="SAC",Sim_SAC!H148,Sim_PRICE!G148)</f>
        <v>41.412701112909048</v>
      </c>
      <c r="H159" s="338">
        <f>IF($E$18="SAC",Sim_SAC!I148,Sim_PRICE!H148)</f>
        <v>34.369999999999997</v>
      </c>
      <c r="I159" s="338">
        <f>IF($E$18="SAC",Sim_SAC!J148,Sim_PRICE!I148)</f>
        <v>25</v>
      </c>
      <c r="J159" s="338">
        <f ca="1">IF($E$18="SAC",Sim_SAC!K148,Sim_PRICE!J148)</f>
        <v>2290.2454095243424</v>
      </c>
      <c r="L159" s="335"/>
      <c r="M159" s="335">
        <f t="shared" ca="1" si="4"/>
        <v>2290.2454095243424</v>
      </c>
      <c r="N159" s="336">
        <f t="shared" ca="1" si="5"/>
        <v>27.662622910625725</v>
      </c>
    </row>
    <row r="160" spans="2:14" ht="22.2" customHeight="1" thickTop="1" thickBot="1">
      <c r="B160" s="332">
        <f>Sim_SAC!C149</f>
        <v>48625</v>
      </c>
      <c r="C160" s="333">
        <f t="shared" ca="1" si="3"/>
        <v>2183.7320131007341</v>
      </c>
      <c r="D160" s="333">
        <f ca="1">IF($E$18="SAC",Sim_SAC!D149,Sim_PRICE!D149)</f>
        <v>842.74931039701278</v>
      </c>
      <c r="E160" s="333">
        <f ca="1">IF($E$18="SAC",Sim_SAC!E149,Sim_PRICE!E149)</f>
        <v>1340.9827027037213</v>
      </c>
      <c r="F160" s="333">
        <f ca="1">IF($E$18="SAC",Sim_SAC!G149,Sim_PRICE!F149)</f>
        <v>196360.58932250319</v>
      </c>
      <c r="G160" s="333">
        <f ca="1">IF($E$18="SAC",Sim_SAC!H149,Sim_PRICE!G149)</f>
        <v>41.235723757725673</v>
      </c>
      <c r="H160" s="333">
        <f>IF($E$18="SAC",Sim_SAC!I149,Sim_PRICE!H149)</f>
        <v>34.369999999999997</v>
      </c>
      <c r="I160" s="333">
        <f>IF($E$18="SAC",Sim_SAC!J149,Sim_PRICE!I149)</f>
        <v>25</v>
      </c>
      <c r="J160" s="333">
        <f ca="1">IF($E$18="SAC",Sim_SAC!K149,Sim_PRICE!J149)</f>
        <v>2284.3377368584597</v>
      </c>
      <c r="L160" s="335"/>
      <c r="M160" s="335">
        <f t="shared" ca="1" si="4"/>
        <v>2284.3377368584597</v>
      </c>
      <c r="N160" s="336">
        <f t="shared" ca="1" si="5"/>
        <v>27.374806155478723</v>
      </c>
    </row>
    <row r="161" spans="2:14" ht="22.2" customHeight="1" thickTop="1" thickBot="1">
      <c r="B161" s="337">
        <f>Sim_SAC!C150</f>
        <v>48653</v>
      </c>
      <c r="C161" s="338">
        <f t="shared" ref="C161:C212" ca="1" si="6">D161+E161</f>
        <v>2178.0013177900346</v>
      </c>
      <c r="D161" s="338">
        <f ca="1">IF($E$18="SAC",Sim_SAC!D150,Sim_PRICE!D150)</f>
        <v>842.74931039701278</v>
      </c>
      <c r="E161" s="338">
        <f ca="1">IF($E$18="SAC",Sim_SAC!E150,Sim_PRICE!E150)</f>
        <v>1335.2520073930216</v>
      </c>
      <c r="F161" s="338">
        <f ca="1">IF($E$18="SAC",Sim_SAC!G150,Sim_PRICE!F150)</f>
        <v>195517.84001210617</v>
      </c>
      <c r="G161" s="338">
        <f ca="1">IF($E$18="SAC",Sim_SAC!H150,Sim_PRICE!G150)</f>
        <v>41.058746402542297</v>
      </c>
      <c r="H161" s="338">
        <f>IF($E$18="SAC",Sim_SAC!I150,Sim_PRICE!H150)</f>
        <v>34.369999999999997</v>
      </c>
      <c r="I161" s="338">
        <f>IF($E$18="SAC",Sim_SAC!J150,Sim_PRICE!I150)</f>
        <v>25</v>
      </c>
      <c r="J161" s="338">
        <f ca="1">IF($E$18="SAC",Sim_SAC!K150,Sim_PRICE!J150)</f>
        <v>2278.430064192577</v>
      </c>
      <c r="L161" s="335"/>
      <c r="M161" s="335">
        <f t="shared" ref="M161:M212" ca="1" si="7">J161</f>
        <v>2278.430064192577</v>
      </c>
      <c r="N161" s="336">
        <f t="shared" ref="N161:N224" ca="1" si="8">IFERROR((G161+H161)/((1.008)^(12*(B161-$B$32)/365)),"")</f>
        <v>27.111133880576212</v>
      </c>
    </row>
    <row r="162" spans="2:14" ht="22.2" customHeight="1" thickTop="1" thickBot="1">
      <c r="B162" s="332">
        <f>Sim_SAC!C151</f>
        <v>48684</v>
      </c>
      <c r="C162" s="333">
        <f t="shared" ca="1" si="6"/>
        <v>2172.2706224793346</v>
      </c>
      <c r="D162" s="333">
        <f ca="1">IF($E$18="SAC",Sim_SAC!D151,Sim_PRICE!D151)</f>
        <v>842.74931039701278</v>
      </c>
      <c r="E162" s="333">
        <f ca="1">IF($E$18="SAC",Sim_SAC!E151,Sim_PRICE!E151)</f>
        <v>1329.5213120823219</v>
      </c>
      <c r="F162" s="333">
        <f ca="1">IF($E$18="SAC",Sim_SAC!G151,Sim_PRICE!F151)</f>
        <v>194675.09070170915</v>
      </c>
      <c r="G162" s="333">
        <f ca="1">IF($E$18="SAC",Sim_SAC!H151,Sim_PRICE!G151)</f>
        <v>40.881769047358922</v>
      </c>
      <c r="H162" s="333">
        <f>IF($E$18="SAC",Sim_SAC!I151,Sim_PRICE!H151)</f>
        <v>34.369999999999997</v>
      </c>
      <c r="I162" s="333">
        <f>IF($E$18="SAC",Sim_SAC!J151,Sim_PRICE!I151)</f>
        <v>25</v>
      </c>
      <c r="J162" s="333">
        <f ca="1">IF($E$18="SAC",Sim_SAC!K151,Sim_PRICE!J151)</f>
        <v>2272.5223915266934</v>
      </c>
      <c r="L162" s="335"/>
      <c r="M162" s="335">
        <f t="shared" ca="1" si="7"/>
        <v>2272.5223915266934</v>
      </c>
      <c r="N162" s="336">
        <f t="shared" ca="1" si="8"/>
        <v>26.828760413509148</v>
      </c>
    </row>
    <row r="163" spans="2:14" ht="22.2" customHeight="1" thickTop="1" thickBot="1">
      <c r="B163" s="337">
        <f>Sim_SAC!C152</f>
        <v>48714</v>
      </c>
      <c r="C163" s="338">
        <f t="shared" ca="1" si="6"/>
        <v>2166.5399271686347</v>
      </c>
      <c r="D163" s="338">
        <f ca="1">IF($E$18="SAC",Sim_SAC!D152,Sim_PRICE!D152)</f>
        <v>842.74931039701278</v>
      </c>
      <c r="E163" s="338">
        <f ca="1">IF($E$18="SAC",Sim_SAC!E152,Sim_PRICE!E152)</f>
        <v>1323.7906167716221</v>
      </c>
      <c r="F163" s="338">
        <f ca="1">IF($E$18="SAC",Sim_SAC!G152,Sim_PRICE!F152)</f>
        <v>193832.34139131213</v>
      </c>
      <c r="G163" s="338">
        <f ca="1">IF($E$18="SAC",Sim_SAC!H152,Sim_PRICE!G152)</f>
        <v>40.704791692175547</v>
      </c>
      <c r="H163" s="338">
        <f>IF($E$18="SAC",Sim_SAC!I152,Sim_PRICE!H152)</f>
        <v>34.369999999999997</v>
      </c>
      <c r="I163" s="338">
        <f>IF($E$18="SAC",Sim_SAC!J152,Sim_PRICE!I152)</f>
        <v>25</v>
      </c>
      <c r="J163" s="338">
        <f ca="1">IF($E$18="SAC",Sim_SAC!K152,Sim_PRICE!J152)</f>
        <v>2266.6147188608102</v>
      </c>
      <c r="L163" s="335"/>
      <c r="M163" s="335">
        <f t="shared" ca="1" si="7"/>
        <v>2266.6147188608102</v>
      </c>
      <c r="N163" s="336">
        <f t="shared" ca="1" si="8"/>
        <v>26.556137063271969</v>
      </c>
    </row>
    <row r="164" spans="2:14" ht="22.2" customHeight="1" thickTop="1" thickBot="1">
      <c r="B164" s="332">
        <f>Sim_SAC!C153</f>
        <v>48745</v>
      </c>
      <c r="C164" s="333">
        <f t="shared" ca="1" si="6"/>
        <v>2160.8092318579352</v>
      </c>
      <c r="D164" s="333">
        <f ca="1">IF($E$18="SAC",Sim_SAC!D153,Sim_PRICE!D153)</f>
        <v>842.74931039701278</v>
      </c>
      <c r="E164" s="333">
        <f ca="1">IF($E$18="SAC",Sim_SAC!E153,Sim_PRICE!E153)</f>
        <v>1318.0599214609224</v>
      </c>
      <c r="F164" s="333">
        <f ca="1">IF($E$18="SAC",Sim_SAC!G153,Sim_PRICE!F153)</f>
        <v>192989.59208091511</v>
      </c>
      <c r="G164" s="333">
        <f ca="1">IF($E$18="SAC",Sim_SAC!H153,Sim_PRICE!G153)</f>
        <v>40.527814336992172</v>
      </c>
      <c r="H164" s="333">
        <f>IF($E$18="SAC",Sim_SAC!I153,Sim_PRICE!H153)</f>
        <v>34.369999999999997</v>
      </c>
      <c r="I164" s="333">
        <f>IF($E$18="SAC",Sim_SAC!J153,Sim_PRICE!I153)</f>
        <v>25</v>
      </c>
      <c r="J164" s="333">
        <f ca="1">IF($E$18="SAC",Sim_SAC!K153,Sim_PRICE!J153)</f>
        <v>2260.7070461949274</v>
      </c>
      <c r="L164" s="335"/>
      <c r="M164" s="335">
        <f t="shared" ca="1" si="7"/>
        <v>2260.7070461949274</v>
      </c>
      <c r="N164" s="336">
        <f t="shared" ca="1" si="8"/>
        <v>26.279252724920433</v>
      </c>
    </row>
    <row r="165" spans="2:14" ht="22.2" customHeight="1" thickTop="1" thickBot="1">
      <c r="B165" s="337">
        <f>Sim_SAC!C154</f>
        <v>48775</v>
      </c>
      <c r="C165" s="338">
        <f t="shared" ca="1" si="6"/>
        <v>2155.0785365472357</v>
      </c>
      <c r="D165" s="338">
        <f ca="1">IF($E$18="SAC",Sim_SAC!D154,Sim_PRICE!D154)</f>
        <v>842.74931039701278</v>
      </c>
      <c r="E165" s="338">
        <f ca="1">IF($E$18="SAC",Sim_SAC!E154,Sim_PRICE!E154)</f>
        <v>1312.3292261502227</v>
      </c>
      <c r="F165" s="338">
        <f ca="1">IF($E$18="SAC",Sim_SAC!G154,Sim_PRICE!F154)</f>
        <v>192146.84277051809</v>
      </c>
      <c r="G165" s="338">
        <f ca="1">IF($E$18="SAC",Sim_SAC!H154,Sim_PRICE!G154)</f>
        <v>40.350836981808804</v>
      </c>
      <c r="H165" s="338">
        <f>IF($E$18="SAC",Sim_SAC!I154,Sim_PRICE!H154)</f>
        <v>34.369999999999997</v>
      </c>
      <c r="I165" s="338">
        <f>IF($E$18="SAC",Sim_SAC!J154,Sim_PRICE!I154)</f>
        <v>25</v>
      </c>
      <c r="J165" s="338">
        <f ca="1">IF($E$18="SAC",Sim_SAC!K154,Sim_PRICE!J154)</f>
        <v>2254.7993735290443</v>
      </c>
      <c r="L165" s="335"/>
      <c r="M165" s="335">
        <f t="shared" ca="1" si="7"/>
        <v>2254.7993735290443</v>
      </c>
      <c r="N165" s="336">
        <f t="shared" ca="1" si="8"/>
        <v>26.011923469135951</v>
      </c>
    </row>
    <row r="166" spans="2:14" ht="22.2" customHeight="1" thickTop="1" thickBot="1">
      <c r="B166" s="332">
        <f>Sim_SAC!C155</f>
        <v>48806</v>
      </c>
      <c r="C166" s="333">
        <f t="shared" ca="1" si="6"/>
        <v>2149.3478412365357</v>
      </c>
      <c r="D166" s="333">
        <f ca="1">IF($E$18="SAC",Sim_SAC!D155,Sim_PRICE!D155)</f>
        <v>842.74931039701278</v>
      </c>
      <c r="E166" s="333">
        <f ca="1">IF($E$18="SAC",Sim_SAC!E155,Sim_PRICE!E155)</f>
        <v>1306.5985308395229</v>
      </c>
      <c r="F166" s="333">
        <f ca="1">IF($E$18="SAC",Sim_SAC!G155,Sim_PRICE!F155)</f>
        <v>191304.09346012108</v>
      </c>
      <c r="G166" s="333">
        <f ca="1">IF($E$18="SAC",Sim_SAC!H155,Sim_PRICE!G155)</f>
        <v>40.173859626625429</v>
      </c>
      <c r="H166" s="333">
        <f>IF($E$18="SAC",Sim_SAC!I155,Sim_PRICE!H155)</f>
        <v>34.369999999999997</v>
      </c>
      <c r="I166" s="333">
        <f>IF($E$18="SAC",Sim_SAC!J155,Sim_PRICE!I155)</f>
        <v>25</v>
      </c>
      <c r="J166" s="333">
        <f ca="1">IF($E$18="SAC",Sim_SAC!K155,Sim_PRICE!J155)</f>
        <v>2248.8917008631611</v>
      </c>
      <c r="L166" s="335"/>
      <c r="M166" s="335">
        <f t="shared" ca="1" si="7"/>
        <v>2248.8917008631611</v>
      </c>
      <c r="N166" s="336">
        <f t="shared" ca="1" si="8"/>
        <v>25.740425186614132</v>
      </c>
    </row>
    <row r="167" spans="2:14" ht="22.2" customHeight="1" thickTop="1" thickBot="1">
      <c r="B167" s="337">
        <f>Sim_SAC!C156</f>
        <v>48837</v>
      </c>
      <c r="C167" s="338">
        <f t="shared" ca="1" si="6"/>
        <v>2143.6171459258358</v>
      </c>
      <c r="D167" s="338">
        <f ca="1">IF($E$18="SAC",Sim_SAC!D156,Sim_PRICE!D156)</f>
        <v>842.74931039701278</v>
      </c>
      <c r="E167" s="338">
        <f ca="1">IF($E$18="SAC",Sim_SAC!E156,Sim_PRICE!E156)</f>
        <v>1300.8678355288232</v>
      </c>
      <c r="F167" s="338">
        <f ca="1">IF($E$18="SAC",Sim_SAC!G156,Sim_PRICE!F156)</f>
        <v>190461.34414972406</v>
      </c>
      <c r="G167" s="338">
        <f ca="1">IF($E$18="SAC",Sim_SAC!H156,Sim_PRICE!G156)</f>
        <v>39.996882271442054</v>
      </c>
      <c r="H167" s="338">
        <f>IF($E$18="SAC",Sim_SAC!I156,Sim_PRICE!H156)</f>
        <v>34.369999999999997</v>
      </c>
      <c r="I167" s="338">
        <f>IF($E$18="SAC",Sim_SAC!J156,Sim_PRICE!I156)</f>
        <v>25</v>
      </c>
      <c r="J167" s="338">
        <f ca="1">IF($E$18="SAC",Sim_SAC!K156,Sim_PRICE!J156)</f>
        <v>2242.9840281972779</v>
      </c>
      <c r="L167" s="335"/>
      <c r="M167" s="335">
        <f t="shared" ca="1" si="7"/>
        <v>2242.9840281972779</v>
      </c>
      <c r="N167" s="336">
        <f t="shared" ca="1" si="8"/>
        <v>25.471617082931903</v>
      </c>
    </row>
    <row r="168" spans="2:14" ht="22.2" customHeight="1" thickTop="1" thickBot="1">
      <c r="B168" s="332">
        <f>Sim_SAC!C157</f>
        <v>48867</v>
      </c>
      <c r="C168" s="333">
        <f t="shared" ca="1" si="6"/>
        <v>2137.8864506151363</v>
      </c>
      <c r="D168" s="333">
        <f ca="1">IF($E$18="SAC",Sim_SAC!D157,Sim_PRICE!D157)</f>
        <v>842.74931039701278</v>
      </c>
      <c r="E168" s="333">
        <f ca="1">IF($E$18="SAC",Sim_SAC!E157,Sim_PRICE!E157)</f>
        <v>1295.1371402181235</v>
      </c>
      <c r="F168" s="333">
        <f ca="1">IF($E$18="SAC",Sim_SAC!G157,Sim_PRICE!F157)</f>
        <v>189618.59483932704</v>
      </c>
      <c r="G168" s="333">
        <f ca="1">IF($E$18="SAC",Sim_SAC!H157,Sim_PRICE!G157)</f>
        <v>39.819904916258679</v>
      </c>
      <c r="H168" s="333">
        <f>IF($E$18="SAC",Sim_SAC!I157,Sim_PRICE!H157)</f>
        <v>34.369999999999997</v>
      </c>
      <c r="I168" s="333">
        <f>IF($E$18="SAC",Sim_SAC!J157,Sim_PRICE!I157)</f>
        <v>25</v>
      </c>
      <c r="J168" s="333">
        <f ca="1">IF($E$18="SAC",Sim_SAC!K157,Sim_PRICE!J157)</f>
        <v>2237.0763555313947</v>
      </c>
      <c r="L168" s="335"/>
      <c r="M168" s="335">
        <f t="shared" ca="1" si="7"/>
        <v>2237.0763555313947</v>
      </c>
      <c r="N168" s="336">
        <f t="shared" ca="1" si="8"/>
        <v>25.212077274712918</v>
      </c>
    </row>
    <row r="169" spans="2:14" ht="22.2" customHeight="1" thickTop="1" thickBot="1">
      <c r="B169" s="337">
        <f>Sim_SAC!C158</f>
        <v>48898</v>
      </c>
      <c r="C169" s="338">
        <f t="shared" ca="1" si="6"/>
        <v>2132.1557553044368</v>
      </c>
      <c r="D169" s="338">
        <f ca="1">IF($E$18="SAC",Sim_SAC!D158,Sim_PRICE!D158)</f>
        <v>842.74931039701278</v>
      </c>
      <c r="E169" s="338">
        <f ca="1">IF($E$18="SAC",Sim_SAC!E158,Sim_PRICE!E158)</f>
        <v>1289.4064449074237</v>
      </c>
      <c r="F169" s="338">
        <f ca="1">IF($E$18="SAC",Sim_SAC!G158,Sim_PRICE!F158)</f>
        <v>188775.84552893002</v>
      </c>
      <c r="G169" s="338">
        <f ca="1">IF($E$18="SAC",Sim_SAC!H158,Sim_PRICE!G158)</f>
        <v>39.642927561075304</v>
      </c>
      <c r="H169" s="338">
        <f>IF($E$18="SAC",Sim_SAC!I158,Sim_PRICE!H158)</f>
        <v>34.369999999999997</v>
      </c>
      <c r="I169" s="338">
        <f>IF($E$18="SAC",Sim_SAC!J158,Sim_PRICE!I158)</f>
        <v>25</v>
      </c>
      <c r="J169" s="338">
        <f ca="1">IF($E$18="SAC",Sim_SAC!K158,Sim_PRICE!J158)</f>
        <v>2231.168682865512</v>
      </c>
      <c r="L169" s="335"/>
      <c r="M169" s="335">
        <f t="shared" ca="1" si="7"/>
        <v>2231.168682865512</v>
      </c>
      <c r="N169" s="336">
        <f t="shared" ca="1" si="8"/>
        <v>24.948503462204172</v>
      </c>
    </row>
    <row r="170" spans="2:14" ht="22.2" customHeight="1" thickTop="1" thickBot="1">
      <c r="B170" s="332">
        <f>Sim_SAC!C159</f>
        <v>48928</v>
      </c>
      <c r="C170" s="333">
        <f t="shared" ca="1" si="6"/>
        <v>2126.4250599937368</v>
      </c>
      <c r="D170" s="333">
        <f ca="1">IF($E$18="SAC",Sim_SAC!D159,Sim_PRICE!D159)</f>
        <v>842.74931039701278</v>
      </c>
      <c r="E170" s="333">
        <f ca="1">IF($E$18="SAC",Sim_SAC!E159,Sim_PRICE!E159)</f>
        <v>1283.675749596724</v>
      </c>
      <c r="F170" s="333">
        <f ca="1">IF($E$18="SAC",Sim_SAC!G159,Sim_PRICE!F159)</f>
        <v>187933.096218533</v>
      </c>
      <c r="G170" s="333">
        <f ca="1">IF($E$18="SAC",Sim_SAC!H159,Sim_PRICE!G159)</f>
        <v>39.465950205891929</v>
      </c>
      <c r="H170" s="333">
        <f>IF($E$18="SAC",Sim_SAC!I159,Sim_PRICE!H159)</f>
        <v>34.369999999999997</v>
      </c>
      <c r="I170" s="333">
        <f>IF($E$18="SAC",Sim_SAC!J159,Sim_PRICE!I159)</f>
        <v>25</v>
      </c>
      <c r="J170" s="333">
        <f ca="1">IF($E$18="SAC",Sim_SAC!K159,Sim_PRICE!J159)</f>
        <v>2225.2610101996288</v>
      </c>
      <c r="L170" s="335"/>
      <c r="M170" s="335">
        <f t="shared" ca="1" si="7"/>
        <v>2225.2610101996288</v>
      </c>
      <c r="N170" s="336">
        <f t="shared" ca="1" si="8"/>
        <v>24.694012139039472</v>
      </c>
    </row>
    <row r="171" spans="2:14" ht="22.2" customHeight="1" thickTop="1" thickBot="1">
      <c r="B171" s="337">
        <f>Sim_SAC!C160</f>
        <v>48959</v>
      </c>
      <c r="C171" s="338">
        <f t="shared" ca="1" si="6"/>
        <v>2120.6943646830368</v>
      </c>
      <c r="D171" s="338">
        <f ca="1">IF($E$18="SAC",Sim_SAC!D160,Sim_PRICE!D160)</f>
        <v>842.74931039701278</v>
      </c>
      <c r="E171" s="338">
        <f ca="1">IF($E$18="SAC",Sim_SAC!E160,Sim_PRICE!E160)</f>
        <v>1277.9450542860243</v>
      </c>
      <c r="F171" s="338">
        <f ca="1">IF($E$18="SAC",Sim_SAC!G160,Sim_PRICE!F160)</f>
        <v>187090.34690813598</v>
      </c>
      <c r="G171" s="338">
        <f ca="1">IF($E$18="SAC",Sim_SAC!H160,Sim_PRICE!G160)</f>
        <v>39.288972850708561</v>
      </c>
      <c r="H171" s="338">
        <f>IF($E$18="SAC",Sim_SAC!I160,Sim_PRICE!H160)</f>
        <v>34.369999999999997</v>
      </c>
      <c r="I171" s="338">
        <f>IF($E$18="SAC",Sim_SAC!J160,Sim_PRICE!I160)</f>
        <v>25</v>
      </c>
      <c r="J171" s="338">
        <f ca="1">IF($E$18="SAC",Sim_SAC!K160,Sim_PRICE!J160)</f>
        <v>2219.3533375337452</v>
      </c>
      <c r="L171" s="335"/>
      <c r="M171" s="335">
        <f t="shared" ca="1" si="7"/>
        <v>2219.3533375337452</v>
      </c>
      <c r="N171" s="336">
        <f t="shared" ca="1" si="8"/>
        <v>24.43557421548266</v>
      </c>
    </row>
    <row r="172" spans="2:14" ht="22.2" customHeight="1" thickTop="1" thickBot="1">
      <c r="B172" s="332">
        <f>Sim_SAC!C161</f>
        <v>48990</v>
      </c>
      <c r="C172" s="333">
        <f t="shared" ca="1" si="6"/>
        <v>2114.9636693723373</v>
      </c>
      <c r="D172" s="333">
        <f ca="1">IF($E$18="SAC",Sim_SAC!D161,Sim_PRICE!D161)</f>
        <v>842.74931039701278</v>
      </c>
      <c r="E172" s="333">
        <f ca="1">IF($E$18="SAC",Sim_SAC!E161,Sim_PRICE!E161)</f>
        <v>1272.2143589753246</v>
      </c>
      <c r="F172" s="333">
        <f ca="1">IF($E$18="SAC",Sim_SAC!G161,Sim_PRICE!F161)</f>
        <v>186247.59759773896</v>
      </c>
      <c r="G172" s="333">
        <f ca="1">IF($E$18="SAC",Sim_SAC!H161,Sim_PRICE!G161)</f>
        <v>39.111995495525186</v>
      </c>
      <c r="H172" s="333">
        <f>IF($E$18="SAC",Sim_SAC!I161,Sim_PRICE!H161)</f>
        <v>34.369999999999997</v>
      </c>
      <c r="I172" s="333">
        <f>IF($E$18="SAC",Sim_SAC!J161,Sim_PRICE!I161)</f>
        <v>25</v>
      </c>
      <c r="J172" s="333">
        <f ca="1">IF($E$18="SAC",Sim_SAC!K161,Sim_PRICE!J161)</f>
        <v>2213.4456648678624</v>
      </c>
      <c r="L172" s="335"/>
      <c r="M172" s="335">
        <f t="shared" ca="1" si="7"/>
        <v>2213.4456648678624</v>
      </c>
      <c r="N172" s="336">
        <f t="shared" ca="1" si="8"/>
        <v>24.17970141807956</v>
      </c>
    </row>
    <row r="173" spans="2:14" ht="22.2" customHeight="1" thickTop="1" thickBot="1">
      <c r="B173" s="337">
        <f>Sim_SAC!C162</f>
        <v>49018</v>
      </c>
      <c r="C173" s="338">
        <f t="shared" ca="1" si="6"/>
        <v>2109.2329740616378</v>
      </c>
      <c r="D173" s="338">
        <f ca="1">IF($E$18="SAC",Sim_SAC!D162,Sim_PRICE!D162)</f>
        <v>842.74931039701278</v>
      </c>
      <c r="E173" s="338">
        <f ca="1">IF($E$18="SAC",Sim_SAC!E162,Sim_PRICE!E162)</f>
        <v>1266.4836636646248</v>
      </c>
      <c r="F173" s="338">
        <f ca="1">IF($E$18="SAC",Sim_SAC!G162,Sim_PRICE!F162)</f>
        <v>185404.84828734194</v>
      </c>
      <c r="G173" s="338">
        <f ca="1">IF($E$18="SAC",Sim_SAC!H162,Sim_PRICE!G162)</f>
        <v>38.935018140341811</v>
      </c>
      <c r="H173" s="338">
        <f>IF($E$18="SAC",Sim_SAC!I162,Sim_PRICE!H162)</f>
        <v>34.369999999999997</v>
      </c>
      <c r="I173" s="338">
        <f>IF($E$18="SAC",Sim_SAC!J162,Sim_PRICE!I162)</f>
        <v>25</v>
      </c>
      <c r="J173" s="338">
        <f ca="1">IF($E$18="SAC",Sim_SAC!K162,Sim_PRICE!J162)</f>
        <v>2207.5379922019797</v>
      </c>
      <c r="L173" s="335"/>
      <c r="M173" s="335">
        <f t="shared" ca="1" si="7"/>
        <v>2207.5379922019797</v>
      </c>
      <c r="N173" s="336">
        <f t="shared" ca="1" si="8"/>
        <v>23.945180323396499</v>
      </c>
    </row>
    <row r="174" spans="2:14" ht="22.2" customHeight="1" thickTop="1" thickBot="1">
      <c r="B174" s="332">
        <f>Sim_SAC!C163</f>
        <v>49049</v>
      </c>
      <c r="C174" s="333">
        <f t="shared" ca="1" si="6"/>
        <v>2103.5022787509379</v>
      </c>
      <c r="D174" s="333">
        <f ca="1">IF($E$18="SAC",Sim_SAC!D163,Sim_PRICE!D163)</f>
        <v>842.74931039701278</v>
      </c>
      <c r="E174" s="333">
        <f ca="1">IF($E$18="SAC",Sim_SAC!E163,Sim_PRICE!E163)</f>
        <v>1260.7529683539251</v>
      </c>
      <c r="F174" s="333">
        <f ca="1">IF($E$18="SAC",Sim_SAC!G163,Sim_PRICE!F163)</f>
        <v>184562.09897694492</v>
      </c>
      <c r="G174" s="333">
        <f ca="1">IF($E$18="SAC",Sim_SAC!H163,Sim_PRICE!G163)</f>
        <v>38.758040785158435</v>
      </c>
      <c r="H174" s="333">
        <f>IF($E$18="SAC",Sim_SAC!I163,Sim_PRICE!H163)</f>
        <v>34.369999999999997</v>
      </c>
      <c r="I174" s="333">
        <f>IF($E$18="SAC",Sim_SAC!J163,Sim_PRICE!I163)</f>
        <v>25</v>
      </c>
      <c r="J174" s="333">
        <f ca="1">IF($E$18="SAC",Sim_SAC!K163,Sim_PRICE!J163)</f>
        <v>2201.6303195360961</v>
      </c>
      <c r="L174" s="335"/>
      <c r="M174" s="335">
        <f t="shared" ca="1" si="7"/>
        <v>2201.6303195360961</v>
      </c>
      <c r="N174" s="336">
        <f t="shared" ca="1" si="8"/>
        <v>23.694167050987957</v>
      </c>
    </row>
    <row r="175" spans="2:14" ht="22.2" customHeight="1" thickTop="1" thickBot="1">
      <c r="B175" s="337">
        <f>Sim_SAC!C164</f>
        <v>49079</v>
      </c>
      <c r="C175" s="338">
        <f t="shared" ca="1" si="6"/>
        <v>2097.7715834402379</v>
      </c>
      <c r="D175" s="338">
        <f ca="1">IF($E$18="SAC",Sim_SAC!D164,Sim_PRICE!D164)</f>
        <v>842.74931039701278</v>
      </c>
      <c r="E175" s="338">
        <f ca="1">IF($E$18="SAC",Sim_SAC!E164,Sim_PRICE!E164)</f>
        <v>1255.0222730432254</v>
      </c>
      <c r="F175" s="338">
        <f ca="1">IF($E$18="SAC",Sim_SAC!G164,Sim_PRICE!F164)</f>
        <v>183719.3496665479</v>
      </c>
      <c r="G175" s="338">
        <f ca="1">IF($E$18="SAC",Sim_SAC!H164,Sim_PRICE!G164)</f>
        <v>38.58106342997506</v>
      </c>
      <c r="H175" s="338">
        <f>IF($E$18="SAC",Sim_SAC!I164,Sim_PRICE!H164)</f>
        <v>34.369999999999997</v>
      </c>
      <c r="I175" s="338">
        <f>IF($E$18="SAC",Sim_SAC!J164,Sim_PRICE!I164)</f>
        <v>25</v>
      </c>
      <c r="J175" s="338">
        <f ca="1">IF($E$18="SAC",Sim_SAC!K164,Sim_PRICE!J164)</f>
        <v>2195.7226468702129</v>
      </c>
      <c r="L175" s="335"/>
      <c r="M175" s="335">
        <f t="shared" ca="1" si="7"/>
        <v>2195.7226468702129</v>
      </c>
      <c r="N175" s="336">
        <f t="shared" ca="1" si="8"/>
        <v>23.451790584473265</v>
      </c>
    </row>
    <row r="176" spans="2:14" ht="22.2" customHeight="1" thickTop="1" thickBot="1">
      <c r="B176" s="332">
        <f>Sim_SAC!C165</f>
        <v>49110</v>
      </c>
      <c r="C176" s="333">
        <f t="shared" ca="1" si="6"/>
        <v>2092.0408881295384</v>
      </c>
      <c r="D176" s="333">
        <f ca="1">IF($E$18="SAC",Sim_SAC!D165,Sim_PRICE!D165)</f>
        <v>842.74931039701278</v>
      </c>
      <c r="E176" s="333">
        <f ca="1">IF($E$18="SAC",Sim_SAC!E165,Sim_PRICE!E165)</f>
        <v>1249.2915777325256</v>
      </c>
      <c r="F176" s="333">
        <f ca="1">IF($E$18="SAC",Sim_SAC!G165,Sim_PRICE!F165)</f>
        <v>182876.60035615088</v>
      </c>
      <c r="G176" s="333">
        <f ca="1">IF($E$18="SAC",Sim_SAC!H165,Sim_PRICE!G165)</f>
        <v>38.404086074791685</v>
      </c>
      <c r="H176" s="333">
        <f>IF($E$18="SAC",Sim_SAC!I165,Sim_PRICE!H165)</f>
        <v>34.369999999999997</v>
      </c>
      <c r="I176" s="333">
        <f>IF($E$18="SAC",Sim_SAC!J165,Sim_PRICE!I165)</f>
        <v>25</v>
      </c>
      <c r="J176" s="333">
        <f ca="1">IF($E$18="SAC",Sim_SAC!K165,Sim_PRICE!J165)</f>
        <v>2189.8149742043302</v>
      </c>
      <c r="L176" s="335"/>
      <c r="M176" s="335">
        <f t="shared" ca="1" si="7"/>
        <v>2189.8149742043302</v>
      </c>
      <c r="N176" s="336">
        <f t="shared" ca="1" si="8"/>
        <v>23.205676944063327</v>
      </c>
    </row>
    <row r="177" spans="2:14" ht="22.2" customHeight="1" thickTop="1" thickBot="1">
      <c r="B177" s="337">
        <f>Sim_SAC!C166</f>
        <v>49140</v>
      </c>
      <c r="C177" s="338">
        <f t="shared" ca="1" si="6"/>
        <v>2086.3101928188389</v>
      </c>
      <c r="D177" s="338">
        <f ca="1">IF($E$18="SAC",Sim_SAC!D166,Sim_PRICE!D166)</f>
        <v>842.74931039701278</v>
      </c>
      <c r="E177" s="338">
        <f ca="1">IF($E$18="SAC",Sim_SAC!E166,Sim_PRICE!E166)</f>
        <v>1243.5608824218259</v>
      </c>
      <c r="F177" s="338">
        <f ca="1">IF($E$18="SAC",Sim_SAC!G166,Sim_PRICE!F166)</f>
        <v>182033.85104575387</v>
      </c>
      <c r="G177" s="338">
        <f ca="1">IF($E$18="SAC",Sim_SAC!H166,Sim_PRICE!G166)</f>
        <v>38.22710871960831</v>
      </c>
      <c r="H177" s="338">
        <f>IF($E$18="SAC",Sim_SAC!I166,Sim_PRICE!H166)</f>
        <v>34.369999999999997</v>
      </c>
      <c r="I177" s="338">
        <f>IF($E$18="SAC",Sim_SAC!J166,Sim_PRICE!I166)</f>
        <v>25</v>
      </c>
      <c r="J177" s="338">
        <f ca="1">IF($E$18="SAC",Sim_SAC!K166,Sim_PRICE!J166)</f>
        <v>2183.907301538447</v>
      </c>
      <c r="L177" s="335"/>
      <c r="M177" s="335">
        <f t="shared" ca="1" si="7"/>
        <v>2183.907301538447</v>
      </c>
      <c r="N177" s="336">
        <f t="shared" ca="1" si="8"/>
        <v>22.968026414621939</v>
      </c>
    </row>
    <row r="178" spans="2:14" ht="22.2" customHeight="1" thickTop="1" thickBot="1">
      <c r="B178" s="332">
        <f>Sim_SAC!C167</f>
        <v>49171</v>
      </c>
      <c r="C178" s="333">
        <f t="shared" ca="1" si="6"/>
        <v>2080.579497508139</v>
      </c>
      <c r="D178" s="333">
        <f ca="1">IF($E$18="SAC",Sim_SAC!D167,Sim_PRICE!D167)</f>
        <v>842.74931039701278</v>
      </c>
      <c r="E178" s="333">
        <f ca="1">IF($E$18="SAC",Sim_SAC!E167,Sim_PRICE!E167)</f>
        <v>1237.8301871111262</v>
      </c>
      <c r="F178" s="333">
        <f ca="1">IF($E$18="SAC",Sim_SAC!G167,Sim_PRICE!F167)</f>
        <v>181191.10173535685</v>
      </c>
      <c r="G178" s="333">
        <f ca="1">IF($E$18="SAC",Sim_SAC!H167,Sim_PRICE!G167)</f>
        <v>38.050131364424942</v>
      </c>
      <c r="H178" s="333">
        <f>IF($E$18="SAC",Sim_SAC!I167,Sim_PRICE!H167)</f>
        <v>34.369999999999997</v>
      </c>
      <c r="I178" s="333">
        <f>IF($E$18="SAC",Sim_SAC!J167,Sim_PRICE!I167)</f>
        <v>25</v>
      </c>
      <c r="J178" s="333">
        <f ca="1">IF($E$18="SAC",Sim_SAC!K167,Sim_PRICE!J167)</f>
        <v>2177.9996288725638</v>
      </c>
      <c r="L178" s="335"/>
      <c r="M178" s="335">
        <f t="shared" ca="1" si="7"/>
        <v>2177.9996288725638</v>
      </c>
      <c r="N178" s="336">
        <f t="shared" ca="1" si="8"/>
        <v>22.726720142538134</v>
      </c>
    </row>
    <row r="179" spans="2:14" ht="22.2" customHeight="1" thickTop="1" thickBot="1">
      <c r="B179" s="337">
        <f>Sim_SAC!C168</f>
        <v>49202</v>
      </c>
      <c r="C179" s="338">
        <f t="shared" ca="1" si="6"/>
        <v>2074.848802197439</v>
      </c>
      <c r="D179" s="338">
        <f ca="1">IF($E$18="SAC",Sim_SAC!D168,Sim_PRICE!D168)</f>
        <v>842.74931039701278</v>
      </c>
      <c r="E179" s="338">
        <f ca="1">IF($E$18="SAC",Sim_SAC!E168,Sim_PRICE!E168)</f>
        <v>1232.0994918004264</v>
      </c>
      <c r="F179" s="338">
        <f ca="1">IF($E$18="SAC",Sim_SAC!G168,Sim_PRICE!F168)</f>
        <v>180348.35242495983</v>
      </c>
      <c r="G179" s="338">
        <f ca="1">IF($E$18="SAC",Sim_SAC!H168,Sim_PRICE!G168)</f>
        <v>37.873154009241567</v>
      </c>
      <c r="H179" s="338">
        <f>IF($E$18="SAC",Sim_SAC!I168,Sim_PRICE!H168)</f>
        <v>34.369999999999997</v>
      </c>
      <c r="I179" s="338">
        <f>IF($E$18="SAC",Sim_SAC!J168,Sim_PRICE!I168)</f>
        <v>25</v>
      </c>
      <c r="J179" s="338">
        <f ca="1">IF($E$18="SAC",Sim_SAC!K168,Sim_PRICE!J168)</f>
        <v>2172.0919562066806</v>
      </c>
      <c r="L179" s="335"/>
      <c r="M179" s="335">
        <f t="shared" ca="1" si="7"/>
        <v>2172.0919562066806</v>
      </c>
      <c r="N179" s="336">
        <f t="shared" ca="1" si="8"/>
        <v>22.487814781034007</v>
      </c>
    </row>
    <row r="180" spans="2:14" ht="22.2" customHeight="1" thickTop="1" thickBot="1">
      <c r="B180" s="332">
        <f>Sim_SAC!C169</f>
        <v>49232</v>
      </c>
      <c r="C180" s="333">
        <f t="shared" ca="1" si="6"/>
        <v>2069.1181068867395</v>
      </c>
      <c r="D180" s="333">
        <f ca="1">IF($E$18="SAC",Sim_SAC!D169,Sim_PRICE!D169)</f>
        <v>842.74931039701278</v>
      </c>
      <c r="E180" s="333">
        <f ca="1">IF($E$18="SAC",Sim_SAC!E169,Sim_PRICE!E169)</f>
        <v>1226.3687964897267</v>
      </c>
      <c r="F180" s="333">
        <f ca="1">IF($E$18="SAC",Sim_SAC!G169,Sim_PRICE!F169)</f>
        <v>179505.60311456281</v>
      </c>
      <c r="G180" s="333">
        <f ca="1">IF($E$18="SAC",Sim_SAC!H169,Sim_PRICE!G169)</f>
        <v>37.696176654058192</v>
      </c>
      <c r="H180" s="333">
        <f>IF($E$18="SAC",Sim_SAC!I169,Sim_PRICE!H169)</f>
        <v>34.369999999999997</v>
      </c>
      <c r="I180" s="333">
        <f>IF($E$18="SAC",Sim_SAC!J169,Sim_PRICE!I169)</f>
        <v>25</v>
      </c>
      <c r="J180" s="333">
        <f ca="1">IF($E$18="SAC",Sim_SAC!K169,Sim_PRICE!J169)</f>
        <v>2166.1842835407974</v>
      </c>
      <c r="L180" s="335"/>
      <c r="M180" s="335">
        <f t="shared" ca="1" si="7"/>
        <v>2166.1842835407974</v>
      </c>
      <c r="N180" s="336">
        <f t="shared" ca="1" si="8"/>
        <v>22.257117149605328</v>
      </c>
    </row>
    <row r="181" spans="2:14" ht="22.2" customHeight="1" thickTop="1" thickBot="1">
      <c r="B181" s="337">
        <f>Sim_SAC!C170</f>
        <v>49263</v>
      </c>
      <c r="C181" s="338">
        <f t="shared" ca="1" si="6"/>
        <v>2063.38741157604</v>
      </c>
      <c r="D181" s="338">
        <f ca="1">IF($E$18="SAC",Sim_SAC!D170,Sim_PRICE!D170)</f>
        <v>842.74931039701278</v>
      </c>
      <c r="E181" s="338">
        <f ca="1">IF($E$18="SAC",Sim_SAC!E170,Sim_PRICE!E170)</f>
        <v>1220.638101179027</v>
      </c>
      <c r="F181" s="338">
        <f ca="1">IF($E$18="SAC",Sim_SAC!G170,Sim_PRICE!F170)</f>
        <v>178662.85380416579</v>
      </c>
      <c r="G181" s="338">
        <f ca="1">IF($E$18="SAC",Sim_SAC!H170,Sim_PRICE!G170)</f>
        <v>37.519199298874817</v>
      </c>
      <c r="H181" s="338">
        <f>IF($E$18="SAC",Sim_SAC!I170,Sim_PRICE!H170)</f>
        <v>34.369999999999997</v>
      </c>
      <c r="I181" s="338">
        <f>IF($E$18="SAC",Sim_SAC!J170,Sim_PRICE!I170)</f>
        <v>25</v>
      </c>
      <c r="J181" s="338">
        <f ca="1">IF($E$18="SAC",Sim_SAC!K170,Sim_PRICE!J170)</f>
        <v>2160.2766108749147</v>
      </c>
      <c r="L181" s="335"/>
      <c r="M181" s="335">
        <f t="shared" ca="1" si="7"/>
        <v>2160.2766108749147</v>
      </c>
      <c r="N181" s="336">
        <f t="shared" ca="1" si="8"/>
        <v>22.022883315578742</v>
      </c>
    </row>
    <row r="182" spans="2:14" ht="22.2" customHeight="1" thickTop="1" thickBot="1">
      <c r="B182" s="332">
        <f>Sim_SAC!C171</f>
        <v>49293</v>
      </c>
      <c r="C182" s="333">
        <f t="shared" ca="1" si="6"/>
        <v>2057.65671626534</v>
      </c>
      <c r="D182" s="333">
        <f ca="1">IF($E$18="SAC",Sim_SAC!D171,Sim_PRICE!D171)</f>
        <v>842.74931039701278</v>
      </c>
      <c r="E182" s="333">
        <f ca="1">IF($E$18="SAC",Sim_SAC!E171,Sim_PRICE!E171)</f>
        <v>1214.9074058683273</v>
      </c>
      <c r="F182" s="333">
        <f ca="1">IF($E$18="SAC",Sim_SAC!G171,Sim_PRICE!F171)</f>
        <v>177820.10449376877</v>
      </c>
      <c r="G182" s="333">
        <f ca="1">IF($E$18="SAC",Sim_SAC!H171,Sim_PRICE!G171)</f>
        <v>37.342221943691442</v>
      </c>
      <c r="H182" s="333">
        <f>IF($E$18="SAC",Sim_SAC!I171,Sim_PRICE!H171)</f>
        <v>34.369999999999997</v>
      </c>
      <c r="I182" s="333">
        <f>IF($E$18="SAC",Sim_SAC!J171,Sim_PRICE!I171)</f>
        <v>25</v>
      </c>
      <c r="J182" s="333">
        <f ca="1">IF($E$18="SAC",Sim_SAC!K171,Sim_PRICE!J171)</f>
        <v>2154.3689382090315</v>
      </c>
      <c r="L182" s="335"/>
      <c r="M182" s="335">
        <f t="shared" ca="1" si="7"/>
        <v>2154.3689382090315</v>
      </c>
      <c r="N182" s="336">
        <f t="shared" ca="1" si="8"/>
        <v>21.796691763695957</v>
      </c>
    </row>
    <row r="183" spans="2:14" ht="22.2" customHeight="1" thickTop="1" thickBot="1">
      <c r="B183" s="337">
        <f>Sim_SAC!C172</f>
        <v>49324</v>
      </c>
      <c r="C183" s="338">
        <f t="shared" ca="1" si="6"/>
        <v>2051.9260209546401</v>
      </c>
      <c r="D183" s="338">
        <f ca="1">IF($E$18="SAC",Sim_SAC!D172,Sim_PRICE!D172)</f>
        <v>842.74931039701278</v>
      </c>
      <c r="E183" s="338">
        <f ca="1">IF($E$18="SAC",Sim_SAC!E172,Sim_PRICE!E172)</f>
        <v>1209.1767105576275</v>
      </c>
      <c r="F183" s="338">
        <f ca="1">IF($E$18="SAC",Sim_SAC!G172,Sim_PRICE!F172)</f>
        <v>176977.35518337175</v>
      </c>
      <c r="G183" s="338">
        <f ca="1">IF($E$18="SAC",Sim_SAC!H172,Sim_PRICE!G172)</f>
        <v>37.165244588508067</v>
      </c>
      <c r="H183" s="338">
        <f>IF($E$18="SAC",Sim_SAC!I172,Sim_PRICE!H172)</f>
        <v>34.369999999999997</v>
      </c>
      <c r="I183" s="338">
        <f>IF($E$18="SAC",Sim_SAC!J172,Sim_PRICE!I172)</f>
        <v>25</v>
      </c>
      <c r="J183" s="338">
        <f ca="1">IF($E$18="SAC",Sim_SAC!K172,Sim_PRICE!J172)</f>
        <v>2148.4612655431479</v>
      </c>
      <c r="L183" s="335"/>
      <c r="M183" s="335">
        <f t="shared" ca="1" si="7"/>
        <v>2148.4612655431479</v>
      </c>
      <c r="N183" s="336">
        <f t="shared" ca="1" si="8"/>
        <v>21.567041382825025</v>
      </c>
    </row>
    <row r="184" spans="2:14" ht="22.2" customHeight="1" thickTop="1" thickBot="1">
      <c r="B184" s="332">
        <f>Sim_SAC!C173</f>
        <v>49355</v>
      </c>
      <c r="C184" s="333">
        <f t="shared" ca="1" si="6"/>
        <v>2046.1953256439406</v>
      </c>
      <c r="D184" s="333">
        <f ca="1">IF($E$18="SAC",Sim_SAC!D173,Sim_PRICE!D173)</f>
        <v>842.74931039701278</v>
      </c>
      <c r="E184" s="333">
        <f ca="1">IF($E$18="SAC",Sim_SAC!E173,Sim_PRICE!E173)</f>
        <v>1203.4460152469278</v>
      </c>
      <c r="F184" s="333">
        <f ca="1">IF($E$18="SAC",Sim_SAC!G173,Sim_PRICE!F173)</f>
        <v>176134.60587297473</v>
      </c>
      <c r="G184" s="333">
        <f ca="1">IF($E$18="SAC",Sim_SAC!H173,Sim_PRICE!G173)</f>
        <v>36.988267233324692</v>
      </c>
      <c r="H184" s="333">
        <f>IF($E$18="SAC",Sim_SAC!I173,Sim_PRICE!H173)</f>
        <v>34.369999999999997</v>
      </c>
      <c r="I184" s="333">
        <f>IF($E$18="SAC",Sim_SAC!J173,Sim_PRICE!I173)</f>
        <v>25</v>
      </c>
      <c r="J184" s="333">
        <f ca="1">IF($E$18="SAC",Sim_SAC!K173,Sim_PRICE!J173)</f>
        <v>2142.5535928772651</v>
      </c>
      <c r="L184" s="335"/>
      <c r="M184" s="335">
        <f t="shared" ca="1" si="7"/>
        <v>2142.5535928772651</v>
      </c>
      <c r="N184" s="336">
        <f t="shared" ca="1" si="8"/>
        <v>21.339679990138542</v>
      </c>
    </row>
    <row r="185" spans="2:14" ht="22.2" customHeight="1" thickTop="1" thickBot="1">
      <c r="B185" s="337">
        <f>Sim_SAC!C174</f>
        <v>49383</v>
      </c>
      <c r="C185" s="338">
        <f t="shared" ca="1" si="6"/>
        <v>2040.4646303332408</v>
      </c>
      <c r="D185" s="338">
        <f ca="1">IF($E$18="SAC",Sim_SAC!D174,Sim_PRICE!D174)</f>
        <v>842.74931039701278</v>
      </c>
      <c r="E185" s="338">
        <f ca="1">IF($E$18="SAC",Sim_SAC!E174,Sim_PRICE!E174)</f>
        <v>1197.7153199362281</v>
      </c>
      <c r="F185" s="338">
        <f ca="1">IF($E$18="SAC",Sim_SAC!G174,Sim_PRICE!F174)</f>
        <v>175291.85656257771</v>
      </c>
      <c r="G185" s="338">
        <f ca="1">IF($E$18="SAC",Sim_SAC!H174,Sim_PRICE!G174)</f>
        <v>36.811289878141324</v>
      </c>
      <c r="H185" s="338">
        <f>IF($E$18="SAC",Sim_SAC!I174,Sim_PRICE!H174)</f>
        <v>34.369999999999997</v>
      </c>
      <c r="I185" s="338">
        <f>IF($E$18="SAC",Sim_SAC!J174,Sim_PRICE!I174)</f>
        <v>25</v>
      </c>
      <c r="J185" s="338">
        <f ca="1">IF($E$18="SAC",Sim_SAC!K174,Sim_PRICE!J174)</f>
        <v>2136.645920211382</v>
      </c>
      <c r="L185" s="335"/>
      <c r="M185" s="335">
        <f t="shared" ca="1" si="7"/>
        <v>2136.645920211382</v>
      </c>
      <c r="N185" s="336">
        <f t="shared" ca="1" si="8"/>
        <v>21.131186091903569</v>
      </c>
    </row>
    <row r="186" spans="2:14" ht="22.2" customHeight="1" thickTop="1" thickBot="1">
      <c r="B186" s="332">
        <f>Sim_SAC!C175</f>
        <v>49414</v>
      </c>
      <c r="C186" s="333">
        <f t="shared" ca="1" si="6"/>
        <v>2034.7339350225411</v>
      </c>
      <c r="D186" s="333">
        <f ca="1">IF($E$18="SAC",Sim_SAC!D175,Sim_PRICE!D175)</f>
        <v>842.74931039701278</v>
      </c>
      <c r="E186" s="333">
        <f ca="1">IF($E$18="SAC",Sim_SAC!E175,Sim_PRICE!E175)</f>
        <v>1191.9846246255283</v>
      </c>
      <c r="F186" s="333">
        <f ca="1">IF($E$18="SAC",Sim_SAC!G175,Sim_PRICE!F175)</f>
        <v>174449.10725218069</v>
      </c>
      <c r="G186" s="333">
        <f ca="1">IF($E$18="SAC",Sim_SAC!H175,Sim_PRICE!G175)</f>
        <v>36.634312522957948</v>
      </c>
      <c r="H186" s="333">
        <f>IF($E$18="SAC",Sim_SAC!I175,Sim_PRICE!H175)</f>
        <v>34.369999999999997</v>
      </c>
      <c r="I186" s="333">
        <f>IF($E$18="SAC",Sim_SAC!J175,Sim_PRICE!I175)</f>
        <v>25</v>
      </c>
      <c r="J186" s="333">
        <f ca="1">IF($E$18="SAC",Sim_SAC!K175,Sim_PRICE!J175)</f>
        <v>2130.7382475454988</v>
      </c>
      <c r="L186" s="335"/>
      <c r="M186" s="335">
        <f t="shared" ca="1" si="7"/>
        <v>2130.7382475454988</v>
      </c>
      <c r="N186" s="336">
        <f t="shared" ca="1" si="8"/>
        <v>20.908161663354477</v>
      </c>
    </row>
    <row r="187" spans="2:14" ht="22.2" customHeight="1" thickTop="1" thickBot="1">
      <c r="B187" s="337">
        <f>Sim_SAC!C176</f>
        <v>49444</v>
      </c>
      <c r="C187" s="338">
        <f t="shared" ca="1" si="6"/>
        <v>2029.0032397118414</v>
      </c>
      <c r="D187" s="338">
        <f ca="1">IF($E$18="SAC",Sim_SAC!D176,Sim_PRICE!D176)</f>
        <v>842.74931039701278</v>
      </c>
      <c r="E187" s="338">
        <f ca="1">IF($E$18="SAC",Sim_SAC!E176,Sim_PRICE!E176)</f>
        <v>1186.2539293148286</v>
      </c>
      <c r="F187" s="338">
        <f ca="1">IF($E$18="SAC",Sim_SAC!G176,Sim_PRICE!F176)</f>
        <v>173606.35794178367</v>
      </c>
      <c r="G187" s="338">
        <f ca="1">IF($E$18="SAC",Sim_SAC!H176,Sim_PRICE!G176)</f>
        <v>36.457335167774573</v>
      </c>
      <c r="H187" s="338">
        <f>IF($E$18="SAC",Sim_SAC!I176,Sim_PRICE!H176)</f>
        <v>34.369999999999997</v>
      </c>
      <c r="I187" s="338">
        <f>IF($E$18="SAC",Sim_SAC!J176,Sim_PRICE!I176)</f>
        <v>25</v>
      </c>
      <c r="J187" s="338">
        <f ca="1">IF($E$18="SAC",Sim_SAC!K176,Sim_PRICE!J176)</f>
        <v>2124.8305748796161</v>
      </c>
      <c r="L187" s="335"/>
      <c r="M187" s="335">
        <f t="shared" ca="1" si="7"/>
        <v>2124.8305748796161</v>
      </c>
      <c r="N187" s="336">
        <f t="shared" ca="1" si="8"/>
        <v>20.692782696697577</v>
      </c>
    </row>
    <row r="188" spans="2:14" ht="22.2" customHeight="1" thickTop="1" thickBot="1">
      <c r="B188" s="332">
        <f>Sim_SAC!C177</f>
        <v>49475</v>
      </c>
      <c r="C188" s="333">
        <f t="shared" ca="1" si="6"/>
        <v>2023.2725444011417</v>
      </c>
      <c r="D188" s="333">
        <f ca="1">IF($E$18="SAC",Sim_SAC!D177,Sim_PRICE!D177)</f>
        <v>842.74931039701278</v>
      </c>
      <c r="E188" s="333">
        <f ca="1">IF($E$18="SAC",Sim_SAC!E177,Sim_PRICE!E177)</f>
        <v>1180.5232340041289</v>
      </c>
      <c r="F188" s="333">
        <f ca="1">IF($E$18="SAC",Sim_SAC!G177,Sim_PRICE!F177)</f>
        <v>172763.60863138665</v>
      </c>
      <c r="G188" s="333">
        <f ca="1">IF($E$18="SAC",Sim_SAC!H177,Sim_PRICE!G177)</f>
        <v>36.280357812591198</v>
      </c>
      <c r="H188" s="333">
        <f>IF($E$18="SAC",Sim_SAC!I177,Sim_PRICE!H177)</f>
        <v>34.369999999999997</v>
      </c>
      <c r="I188" s="333">
        <f>IF($E$18="SAC",Sim_SAC!J177,Sim_PRICE!I177)</f>
        <v>25</v>
      </c>
      <c r="J188" s="333">
        <f ca="1">IF($E$18="SAC",Sim_SAC!K177,Sim_PRICE!J177)</f>
        <v>2118.9229022137329</v>
      </c>
      <c r="L188" s="335"/>
      <c r="M188" s="335">
        <f t="shared" ca="1" si="7"/>
        <v>2118.9229022137329</v>
      </c>
      <c r="N188" s="336">
        <f t="shared" ca="1" si="8"/>
        <v>20.474130270161588</v>
      </c>
    </row>
    <row r="189" spans="2:14" ht="22.2" customHeight="1" thickTop="1" thickBot="1">
      <c r="B189" s="337">
        <f>Sim_SAC!C178</f>
        <v>49505</v>
      </c>
      <c r="C189" s="338">
        <f t="shared" ca="1" si="6"/>
        <v>2017.5418490904419</v>
      </c>
      <c r="D189" s="338">
        <f ca="1">IF($E$18="SAC",Sim_SAC!D178,Sim_PRICE!D178)</f>
        <v>842.74931039701278</v>
      </c>
      <c r="E189" s="338">
        <f ca="1">IF($E$18="SAC",Sim_SAC!E178,Sim_PRICE!E178)</f>
        <v>1174.7925386934292</v>
      </c>
      <c r="F189" s="338">
        <f ca="1">IF($E$18="SAC",Sim_SAC!G178,Sim_PRICE!F178)</f>
        <v>171920.85932098964</v>
      </c>
      <c r="G189" s="338">
        <f ca="1">IF($E$18="SAC",Sim_SAC!H178,Sim_PRICE!G178)</f>
        <v>36.103380457407823</v>
      </c>
      <c r="H189" s="338">
        <f>IF($E$18="SAC",Sim_SAC!I178,Sim_PRICE!H178)</f>
        <v>34.369999999999997</v>
      </c>
      <c r="I189" s="338">
        <f>IF($E$18="SAC",Sim_SAC!J178,Sim_PRICE!I178)</f>
        <v>25</v>
      </c>
      <c r="J189" s="338">
        <f ca="1">IF($E$18="SAC",Sim_SAC!K178,Sim_PRICE!J178)</f>
        <v>2113.0152295478497</v>
      </c>
      <c r="L189" s="335"/>
      <c r="M189" s="335">
        <f t="shared" ca="1" si="7"/>
        <v>2113.0152295478497</v>
      </c>
      <c r="N189" s="336">
        <f t="shared" ca="1" si="8"/>
        <v>20.262968679899391</v>
      </c>
    </row>
    <row r="190" spans="2:14" ht="22.2" customHeight="1" thickTop="1" thickBot="1">
      <c r="B190" s="332">
        <f>Sim_SAC!C179</f>
        <v>49536</v>
      </c>
      <c r="C190" s="333">
        <f t="shared" ca="1" si="6"/>
        <v>2011.8111537797422</v>
      </c>
      <c r="D190" s="333">
        <f ca="1">IF($E$18="SAC",Sim_SAC!D179,Sim_PRICE!D179)</f>
        <v>842.74931039701278</v>
      </c>
      <c r="E190" s="333">
        <f ca="1">IF($E$18="SAC",Sim_SAC!E179,Sim_PRICE!E179)</f>
        <v>1169.0618433827294</v>
      </c>
      <c r="F190" s="333">
        <f ca="1">IF($E$18="SAC",Sim_SAC!G179,Sim_PRICE!F179)</f>
        <v>171078.11001059262</v>
      </c>
      <c r="G190" s="333">
        <f ca="1">IF($E$18="SAC",Sim_SAC!H179,Sim_PRICE!G179)</f>
        <v>35.926403102224448</v>
      </c>
      <c r="H190" s="333">
        <f>IF($E$18="SAC",Sim_SAC!I179,Sim_PRICE!H179)</f>
        <v>34.369999999999997</v>
      </c>
      <c r="I190" s="333">
        <f>IF($E$18="SAC",Sim_SAC!J179,Sim_PRICE!I179)</f>
        <v>25</v>
      </c>
      <c r="J190" s="333">
        <f ca="1">IF($E$18="SAC",Sim_SAC!K179,Sim_PRICE!J179)</f>
        <v>2107.1075568819665</v>
      </c>
      <c r="L190" s="335"/>
      <c r="M190" s="335">
        <f t="shared" ca="1" si="7"/>
        <v>2107.1075568819665</v>
      </c>
      <c r="N190" s="336">
        <f t="shared" ca="1" si="8"/>
        <v>20.048605686650674</v>
      </c>
    </row>
    <row r="191" spans="2:14" ht="22.2" customHeight="1" thickTop="1" thickBot="1">
      <c r="B191" s="337">
        <f>Sim_SAC!C180</f>
        <v>49567</v>
      </c>
      <c r="C191" s="338">
        <f t="shared" ca="1" si="6"/>
        <v>2006.0804584690425</v>
      </c>
      <c r="D191" s="338">
        <f ca="1">IF($E$18="SAC",Sim_SAC!D180,Sim_PRICE!D180)</f>
        <v>842.74931039701278</v>
      </c>
      <c r="E191" s="338">
        <f ca="1">IF($E$18="SAC",Sim_SAC!E180,Sim_PRICE!E180)</f>
        <v>1163.3311480720297</v>
      </c>
      <c r="F191" s="338">
        <f ca="1">IF($E$18="SAC",Sim_SAC!G180,Sim_PRICE!F180)</f>
        <v>170235.3607001956</v>
      </c>
      <c r="G191" s="338">
        <f ca="1">IF($E$18="SAC",Sim_SAC!H180,Sim_PRICE!G180)</f>
        <v>35.74942574704108</v>
      </c>
      <c r="H191" s="338">
        <f>IF($E$18="SAC",Sim_SAC!I180,Sim_PRICE!H180)</f>
        <v>34.369999999999997</v>
      </c>
      <c r="I191" s="338">
        <f>IF($E$18="SAC",Sim_SAC!J180,Sim_PRICE!I180)</f>
        <v>25</v>
      </c>
      <c r="J191" s="338">
        <f ca="1">IF($E$18="SAC",Sim_SAC!K180,Sim_PRICE!J180)</f>
        <v>2101.1998842160838</v>
      </c>
      <c r="L191" s="335"/>
      <c r="M191" s="335">
        <f t="shared" ca="1" si="7"/>
        <v>2101.1998842160838</v>
      </c>
      <c r="N191" s="336">
        <f t="shared" ca="1" si="8"/>
        <v>19.836384721877284</v>
      </c>
    </row>
    <row r="192" spans="2:14" ht="22.2" customHeight="1" thickTop="1" thickBot="1">
      <c r="B192" s="332">
        <f>Sim_SAC!C181</f>
        <v>49597</v>
      </c>
      <c r="C192" s="333">
        <f t="shared" ca="1" si="6"/>
        <v>2000.3497631583427</v>
      </c>
      <c r="D192" s="333">
        <f ca="1">IF($E$18="SAC",Sim_SAC!D181,Sim_PRICE!D181)</f>
        <v>842.74931039701278</v>
      </c>
      <c r="E192" s="333">
        <f ca="1">IF($E$18="SAC",Sim_SAC!E181,Sim_PRICE!E181)</f>
        <v>1157.60045276133</v>
      </c>
      <c r="F192" s="333">
        <f ca="1">IF($E$18="SAC",Sim_SAC!G181,Sim_PRICE!F181)</f>
        <v>169392.61138979858</v>
      </c>
      <c r="G192" s="333">
        <f ca="1">IF($E$18="SAC",Sim_SAC!H181,Sim_PRICE!G181)</f>
        <v>35.572448391857705</v>
      </c>
      <c r="H192" s="333">
        <f>IF($E$18="SAC",Sim_SAC!I181,Sim_PRICE!H181)</f>
        <v>34.369999999999997</v>
      </c>
      <c r="I192" s="333">
        <f>IF($E$18="SAC",Sim_SAC!J181,Sim_PRICE!I181)</f>
        <v>25</v>
      </c>
      <c r="J192" s="333">
        <f ca="1">IF($E$18="SAC",Sim_SAC!K181,Sim_PRICE!J181)</f>
        <v>2095.2922115502006</v>
      </c>
      <c r="L192" s="335"/>
      <c r="M192" s="335">
        <f t="shared" ca="1" si="7"/>
        <v>2095.2922115502006</v>
      </c>
      <c r="N192" s="336">
        <f t="shared" ca="1" si="8"/>
        <v>19.631427275653429</v>
      </c>
    </row>
    <row r="193" spans="2:14" ht="22.2" customHeight="1" thickTop="1" thickBot="1">
      <c r="B193" s="337">
        <f>Sim_SAC!C182</f>
        <v>49628</v>
      </c>
      <c r="C193" s="338">
        <f t="shared" ca="1" si="6"/>
        <v>1994.619067847643</v>
      </c>
      <c r="D193" s="338">
        <f ca="1">IF($E$18="SAC",Sim_SAC!D182,Sim_PRICE!D182)</f>
        <v>842.74931039701278</v>
      </c>
      <c r="E193" s="338">
        <f ca="1">IF($E$18="SAC",Sim_SAC!E182,Sim_PRICE!E182)</f>
        <v>1151.8697574506302</v>
      </c>
      <c r="F193" s="338">
        <f ca="1">IF($E$18="SAC",Sim_SAC!G182,Sim_PRICE!F182)</f>
        <v>168549.86207940156</v>
      </c>
      <c r="G193" s="338">
        <f ca="1">IF($E$18="SAC",Sim_SAC!H182,Sim_PRICE!G182)</f>
        <v>35.39547103667433</v>
      </c>
      <c r="H193" s="338">
        <f>IF($E$18="SAC",Sim_SAC!I182,Sim_PRICE!H182)</f>
        <v>34.369999999999997</v>
      </c>
      <c r="I193" s="338">
        <f>IF($E$18="SAC",Sim_SAC!J182,Sim_PRICE!I182)</f>
        <v>25</v>
      </c>
      <c r="J193" s="338">
        <f ca="1">IF($E$18="SAC",Sim_SAC!K182,Sim_PRICE!J182)</f>
        <v>2089.3845388843174</v>
      </c>
      <c r="L193" s="335"/>
      <c r="M193" s="335">
        <f t="shared" ca="1" si="7"/>
        <v>2089.3845388843174</v>
      </c>
      <c r="N193" s="336">
        <f t="shared" ca="1" si="8"/>
        <v>19.423374184963446</v>
      </c>
    </row>
    <row r="194" spans="2:14" ht="22.2" customHeight="1" thickTop="1" thickBot="1">
      <c r="B194" s="332">
        <f>Sim_SAC!C183</f>
        <v>49658</v>
      </c>
      <c r="C194" s="333">
        <f t="shared" ca="1" si="6"/>
        <v>1988.8883725369433</v>
      </c>
      <c r="D194" s="333">
        <f ca="1">IF($E$18="SAC",Sim_SAC!D183,Sim_PRICE!D183)</f>
        <v>842.74931039701278</v>
      </c>
      <c r="E194" s="333">
        <f ca="1">IF($E$18="SAC",Sim_SAC!E183,Sim_PRICE!E183)</f>
        <v>1146.1390621399305</v>
      </c>
      <c r="F194" s="333">
        <f ca="1">IF($E$18="SAC",Sim_SAC!G183,Sim_PRICE!F183)</f>
        <v>167707.11276900454</v>
      </c>
      <c r="G194" s="333">
        <f ca="1">IF($E$18="SAC",Sim_SAC!H183,Sim_PRICE!G183)</f>
        <v>35.218493681490955</v>
      </c>
      <c r="H194" s="333">
        <f>IF($E$18="SAC",Sim_SAC!I183,Sim_PRICE!H183)</f>
        <v>34.369999999999997</v>
      </c>
      <c r="I194" s="333">
        <f>IF($E$18="SAC",Sim_SAC!J183,Sim_PRICE!I183)</f>
        <v>25</v>
      </c>
      <c r="J194" s="333">
        <f ca="1">IF($E$18="SAC",Sim_SAC!K183,Sim_PRICE!J183)</f>
        <v>2083.4768662184342</v>
      </c>
      <c r="L194" s="335"/>
      <c r="M194" s="335">
        <f t="shared" ca="1" si="7"/>
        <v>2083.4768662184342</v>
      </c>
      <c r="N194" s="336">
        <f t="shared" ca="1" si="8"/>
        <v>19.222437355252399</v>
      </c>
    </row>
    <row r="195" spans="2:14" ht="22.2" customHeight="1" thickTop="1" thickBot="1">
      <c r="B195" s="337">
        <f>Sim_SAC!C184</f>
        <v>49689</v>
      </c>
      <c r="C195" s="338">
        <f t="shared" ca="1" si="6"/>
        <v>1983.1576772262435</v>
      </c>
      <c r="D195" s="338">
        <f ca="1">IF($E$18="SAC",Sim_SAC!D184,Sim_PRICE!D184)</f>
        <v>842.74931039701278</v>
      </c>
      <c r="E195" s="338">
        <f ca="1">IF($E$18="SAC",Sim_SAC!E184,Sim_PRICE!E184)</f>
        <v>1140.4083668292308</v>
      </c>
      <c r="F195" s="338">
        <f ca="1">IF($E$18="SAC",Sim_SAC!G184,Sim_PRICE!F184)</f>
        <v>166864.36345860752</v>
      </c>
      <c r="G195" s="338">
        <f ca="1">IF($E$18="SAC",Sim_SAC!H184,Sim_PRICE!G184)</f>
        <v>35.04151632630758</v>
      </c>
      <c r="H195" s="338">
        <f>IF($E$18="SAC",Sim_SAC!I184,Sim_PRICE!H184)</f>
        <v>34.369999999999997</v>
      </c>
      <c r="I195" s="338">
        <f>IF($E$18="SAC",Sim_SAC!J184,Sim_PRICE!I184)</f>
        <v>25</v>
      </c>
      <c r="J195" s="338">
        <f ca="1">IF($E$18="SAC",Sim_SAC!K184,Sim_PRICE!J184)</f>
        <v>2077.569193552551</v>
      </c>
      <c r="L195" s="335"/>
      <c r="M195" s="335">
        <f t="shared" ca="1" si="7"/>
        <v>2077.569193552551</v>
      </c>
      <c r="N195" s="336">
        <f t="shared" ca="1" si="8"/>
        <v>19.01847332689929</v>
      </c>
    </row>
    <row r="196" spans="2:14" ht="22.2" customHeight="1" thickTop="1" thickBot="1">
      <c r="B196" s="332">
        <f>Sim_SAC!C185</f>
        <v>49720</v>
      </c>
      <c r="C196" s="333">
        <f t="shared" ca="1" si="6"/>
        <v>1977.4269819155438</v>
      </c>
      <c r="D196" s="333">
        <f ca="1">IF($E$18="SAC",Sim_SAC!D185,Sim_PRICE!D185)</f>
        <v>842.74931039701278</v>
      </c>
      <c r="E196" s="333">
        <f ca="1">IF($E$18="SAC",Sim_SAC!E185,Sim_PRICE!E185)</f>
        <v>1134.677671518531</v>
      </c>
      <c r="F196" s="333">
        <f ca="1">IF($E$18="SAC",Sim_SAC!G185,Sim_PRICE!F185)</f>
        <v>166021.6141482105</v>
      </c>
      <c r="G196" s="333">
        <f ca="1">IF($E$18="SAC",Sim_SAC!H185,Sim_PRICE!G185)</f>
        <v>34.864538971124205</v>
      </c>
      <c r="H196" s="333">
        <f>IF($E$18="SAC",Sim_SAC!I185,Sim_PRICE!H185)</f>
        <v>34.369999999999997</v>
      </c>
      <c r="I196" s="333">
        <f>IF($E$18="SAC",Sim_SAC!J185,Sim_PRICE!I185)</f>
        <v>25</v>
      </c>
      <c r="J196" s="333">
        <f ca="1">IF($E$18="SAC",Sim_SAC!K185,Sim_PRICE!J185)</f>
        <v>2071.6615208866679</v>
      </c>
      <c r="L196" s="335"/>
      <c r="M196" s="335">
        <f t="shared" ca="1" si="7"/>
        <v>2071.6615208866679</v>
      </c>
      <c r="N196" s="336">
        <f t="shared" ca="1" si="8"/>
        <v>18.816551180108405</v>
      </c>
    </row>
    <row r="197" spans="2:14" ht="22.2" customHeight="1" thickTop="1" thickBot="1">
      <c r="B197" s="337">
        <f>Sim_SAC!C186</f>
        <v>49749</v>
      </c>
      <c r="C197" s="338">
        <f t="shared" ca="1" si="6"/>
        <v>1971.6962866048441</v>
      </c>
      <c r="D197" s="338">
        <f ca="1">IF($E$18="SAC",Sim_SAC!D186,Sim_PRICE!D186)</f>
        <v>842.74931039701278</v>
      </c>
      <c r="E197" s="338">
        <f ca="1">IF($E$18="SAC",Sim_SAC!E186,Sim_PRICE!E186)</f>
        <v>1128.9469762078313</v>
      </c>
      <c r="F197" s="338">
        <f ca="1">IF($E$18="SAC",Sim_SAC!G186,Sim_PRICE!F186)</f>
        <v>165178.86483781348</v>
      </c>
      <c r="G197" s="338">
        <f ca="1">IF($E$18="SAC",Sim_SAC!H186,Sim_PRICE!G186)</f>
        <v>34.68756161594083</v>
      </c>
      <c r="H197" s="338">
        <f>IF($E$18="SAC",Sim_SAC!I186,Sim_PRICE!H186)</f>
        <v>34.369999999999997</v>
      </c>
      <c r="I197" s="338">
        <f>IF($E$18="SAC",Sim_SAC!J186,Sim_PRICE!I186)</f>
        <v>25</v>
      </c>
      <c r="J197" s="338">
        <f ca="1">IF($E$18="SAC",Sim_SAC!K186,Sim_PRICE!J186)</f>
        <v>2065.7538482207847</v>
      </c>
      <c r="L197" s="335"/>
      <c r="M197" s="335">
        <f t="shared" ca="1" si="7"/>
        <v>2065.7538482207847</v>
      </c>
      <c r="N197" s="336">
        <f t="shared" ca="1" si="8"/>
        <v>18.626407688220915</v>
      </c>
    </row>
    <row r="198" spans="2:14" ht="22.2" customHeight="1" thickTop="1" thickBot="1">
      <c r="B198" s="332">
        <f>Sim_SAC!C187</f>
        <v>49780</v>
      </c>
      <c r="C198" s="333">
        <f t="shared" ca="1" si="6"/>
        <v>1965.9655912941444</v>
      </c>
      <c r="D198" s="333">
        <f ca="1">IF($E$18="SAC",Sim_SAC!D187,Sim_PRICE!D187)</f>
        <v>842.74931039701278</v>
      </c>
      <c r="E198" s="333">
        <f ca="1">IF($E$18="SAC",Sim_SAC!E187,Sim_PRICE!E187)</f>
        <v>1123.2162808971316</v>
      </c>
      <c r="F198" s="333">
        <f ca="1">IF($E$18="SAC",Sim_SAC!G187,Sim_PRICE!F187)</f>
        <v>164336.11552741646</v>
      </c>
      <c r="G198" s="333">
        <f ca="1">IF($E$18="SAC",Sim_SAC!H187,Sim_PRICE!G187)</f>
        <v>34.510584260757462</v>
      </c>
      <c r="H198" s="333">
        <f>IF($E$18="SAC",Sim_SAC!I187,Sim_PRICE!H187)</f>
        <v>34.369999999999997</v>
      </c>
      <c r="I198" s="333">
        <f>IF($E$18="SAC",Sim_SAC!J187,Sim_PRICE!I187)</f>
        <v>25</v>
      </c>
      <c r="J198" s="333">
        <f ca="1">IF($E$18="SAC",Sim_SAC!K187,Sim_PRICE!J187)</f>
        <v>2059.8461755549015</v>
      </c>
      <c r="L198" s="335"/>
      <c r="M198" s="335">
        <f t="shared" ca="1" si="7"/>
        <v>2059.8461755549015</v>
      </c>
      <c r="N198" s="336">
        <f t="shared" ca="1" si="8"/>
        <v>18.428406715802296</v>
      </c>
    </row>
    <row r="199" spans="2:14" ht="22.2" customHeight="1" thickTop="1" thickBot="1">
      <c r="B199" s="337">
        <f>Sim_SAC!C188</f>
        <v>49810</v>
      </c>
      <c r="C199" s="338">
        <f t="shared" ca="1" si="6"/>
        <v>1960.2348959834446</v>
      </c>
      <c r="D199" s="338">
        <f ca="1">IF($E$18="SAC",Sim_SAC!D188,Sim_PRICE!D188)</f>
        <v>842.74931039701278</v>
      </c>
      <c r="E199" s="338">
        <f ca="1">IF($E$18="SAC",Sim_SAC!E188,Sim_PRICE!E188)</f>
        <v>1117.4855855864319</v>
      </c>
      <c r="F199" s="338">
        <f ca="1">IF($E$18="SAC",Sim_SAC!G188,Sim_PRICE!F188)</f>
        <v>163493.36621701944</v>
      </c>
      <c r="G199" s="338">
        <f ca="1">IF($E$18="SAC",Sim_SAC!H188,Sim_PRICE!G188)</f>
        <v>34.333606905574086</v>
      </c>
      <c r="H199" s="338">
        <f>IF($E$18="SAC",Sim_SAC!I188,Sim_PRICE!H188)</f>
        <v>34.369999999999997</v>
      </c>
      <c r="I199" s="338">
        <f>IF($E$18="SAC",Sim_SAC!J188,Sim_PRICE!I188)</f>
        <v>25</v>
      </c>
      <c r="J199" s="338">
        <f ca="1">IF($E$18="SAC",Sim_SAC!K188,Sim_PRICE!J188)</f>
        <v>2053.9385028890183</v>
      </c>
      <c r="L199" s="335"/>
      <c r="M199" s="335">
        <f t="shared" ca="1" si="7"/>
        <v>2053.9385028890183</v>
      </c>
      <c r="N199" s="336">
        <f t="shared" ca="1" si="8"/>
        <v>18.237167070311646</v>
      </c>
    </row>
    <row r="200" spans="2:14" ht="22.2" customHeight="1" thickTop="1" thickBot="1">
      <c r="B200" s="332">
        <f>Sim_SAC!C189</f>
        <v>49841</v>
      </c>
      <c r="C200" s="333">
        <f t="shared" ca="1" si="6"/>
        <v>1954.5042006727449</v>
      </c>
      <c r="D200" s="333">
        <f ca="1">IF($E$18="SAC",Sim_SAC!D189,Sim_PRICE!D189)</f>
        <v>842.74931039701278</v>
      </c>
      <c r="E200" s="333">
        <f ca="1">IF($E$18="SAC",Sim_SAC!E189,Sim_PRICE!E189)</f>
        <v>1111.7548902757321</v>
      </c>
      <c r="F200" s="333">
        <f ca="1">IF($E$18="SAC",Sim_SAC!G189,Sim_PRICE!F189)</f>
        <v>162650.61690662242</v>
      </c>
      <c r="G200" s="333">
        <f ca="1">IF($E$18="SAC",Sim_SAC!H189,Sim_PRICE!G189)</f>
        <v>34.156629550390711</v>
      </c>
      <c r="H200" s="333">
        <f>IF($E$18="SAC",Sim_SAC!I189,Sim_PRICE!H189)</f>
        <v>34.369999999999997</v>
      </c>
      <c r="I200" s="333">
        <f>IF($E$18="SAC",Sim_SAC!J189,Sim_PRICE!I189)</f>
        <v>25</v>
      </c>
      <c r="J200" s="333">
        <f ca="1">IF($E$18="SAC",Sim_SAC!K189,Sim_PRICE!J189)</f>
        <v>2048.0308302231356</v>
      </c>
      <c r="L200" s="335"/>
      <c r="M200" s="335">
        <f t="shared" ca="1" si="7"/>
        <v>2048.0308302231356</v>
      </c>
      <c r="N200" s="336">
        <f t="shared" ca="1" si="8"/>
        <v>18.043064933942517</v>
      </c>
    </row>
    <row r="201" spans="2:14" ht="22.2" customHeight="1" thickTop="1" thickBot="1">
      <c r="B201" s="337">
        <f>Sim_SAC!C190</f>
        <v>49871</v>
      </c>
      <c r="C201" s="338">
        <f t="shared" ca="1" si="6"/>
        <v>1948.7735053620452</v>
      </c>
      <c r="D201" s="338">
        <f ca="1">IF($E$18="SAC",Sim_SAC!D190,Sim_PRICE!D190)</f>
        <v>842.74931039701278</v>
      </c>
      <c r="E201" s="338">
        <f ca="1">IF($E$18="SAC",Sim_SAC!E190,Sim_PRICE!E190)</f>
        <v>1106.0241949650324</v>
      </c>
      <c r="F201" s="338">
        <f ca="1">IF($E$18="SAC",Sim_SAC!G190,Sim_PRICE!F190)</f>
        <v>161807.86759622541</v>
      </c>
      <c r="G201" s="338">
        <f ca="1">IF($E$18="SAC",Sim_SAC!H190,Sim_PRICE!G190)</f>
        <v>33.979652195207336</v>
      </c>
      <c r="H201" s="338">
        <f>IF($E$18="SAC",Sim_SAC!I190,Sim_PRICE!H190)</f>
        <v>34.369999999999997</v>
      </c>
      <c r="I201" s="338">
        <f>IF($E$18="SAC",Sim_SAC!J190,Sim_PRICE!I190)</f>
        <v>25</v>
      </c>
      <c r="J201" s="338">
        <f ca="1">IF($E$18="SAC",Sim_SAC!K190,Sim_PRICE!J190)</f>
        <v>2042.1231575572524</v>
      </c>
      <c r="L201" s="335"/>
      <c r="M201" s="335">
        <f t="shared" ca="1" si="7"/>
        <v>2042.1231575572524</v>
      </c>
      <c r="N201" s="336">
        <f t="shared" ca="1" si="8"/>
        <v>17.855586570756294</v>
      </c>
    </row>
    <row r="202" spans="2:14" ht="22.2" customHeight="1" thickTop="1" thickBot="1">
      <c r="B202" s="332">
        <f>Sim_SAC!C191</f>
        <v>49902</v>
      </c>
      <c r="C202" s="333">
        <f t="shared" ca="1" si="6"/>
        <v>1943.0428100513454</v>
      </c>
      <c r="D202" s="333">
        <f ca="1">IF($E$18="SAC",Sim_SAC!D191,Sim_PRICE!D191)</f>
        <v>842.74931039701278</v>
      </c>
      <c r="E202" s="333">
        <f ca="1">IF($E$18="SAC",Sim_SAC!E191,Sim_PRICE!E191)</f>
        <v>1100.2934996543327</v>
      </c>
      <c r="F202" s="333">
        <f ca="1">IF($E$18="SAC",Sim_SAC!G191,Sim_PRICE!F191)</f>
        <v>160965.11828582839</v>
      </c>
      <c r="G202" s="333">
        <f ca="1">IF($E$18="SAC",Sim_SAC!H191,Sim_PRICE!G191)</f>
        <v>33.802674840023961</v>
      </c>
      <c r="H202" s="333">
        <f>IF($E$18="SAC",Sim_SAC!I191,Sim_PRICE!H191)</f>
        <v>34.369999999999997</v>
      </c>
      <c r="I202" s="333">
        <f>IF($E$18="SAC",Sim_SAC!J191,Sim_PRICE!I191)</f>
        <v>25</v>
      </c>
      <c r="J202" s="333">
        <f ca="1">IF($E$18="SAC",Sim_SAC!K191,Sim_PRICE!J191)</f>
        <v>2036.2154848913692</v>
      </c>
      <c r="L202" s="335"/>
      <c r="M202" s="335">
        <f t="shared" ca="1" si="7"/>
        <v>2036.2154848913692</v>
      </c>
      <c r="N202" s="336">
        <f t="shared" ca="1" si="8"/>
        <v>17.665309415075349</v>
      </c>
    </row>
    <row r="203" spans="2:14" ht="22.2" customHeight="1" thickTop="1" thickBot="1">
      <c r="B203" s="337">
        <f>Sim_SAC!C192</f>
        <v>49933</v>
      </c>
      <c r="C203" s="338">
        <f t="shared" ca="1" si="6"/>
        <v>1937.3121147406457</v>
      </c>
      <c r="D203" s="338">
        <f ca="1">IF($E$18="SAC",Sim_SAC!D192,Sim_PRICE!D192)</f>
        <v>842.74931039701278</v>
      </c>
      <c r="E203" s="338">
        <f ca="1">IF($E$18="SAC",Sim_SAC!E192,Sim_PRICE!E192)</f>
        <v>1094.5628043436329</v>
      </c>
      <c r="F203" s="338">
        <f ca="1">IF($E$18="SAC",Sim_SAC!G192,Sim_PRICE!F192)</f>
        <v>160122.36897543137</v>
      </c>
      <c r="G203" s="338">
        <f ca="1">IF($E$18="SAC",Sim_SAC!H192,Sim_PRICE!G192)</f>
        <v>33.625697484840586</v>
      </c>
      <c r="H203" s="338">
        <f>IF($E$18="SAC",Sim_SAC!I192,Sim_PRICE!H192)</f>
        <v>34.369999999999997</v>
      </c>
      <c r="I203" s="338">
        <f>IF($E$18="SAC",Sim_SAC!J192,Sim_PRICE!I192)</f>
        <v>25</v>
      </c>
      <c r="J203" s="338">
        <f ca="1">IF($E$18="SAC",Sim_SAC!K192,Sim_PRICE!J192)</f>
        <v>2030.3078122254863</v>
      </c>
      <c r="L203" s="335"/>
      <c r="M203" s="335">
        <f t="shared" ca="1" si="7"/>
        <v>2030.3078122254863</v>
      </c>
      <c r="N203" s="336">
        <f t="shared" ca="1" si="8"/>
        <v>17.476942155150748</v>
      </c>
    </row>
    <row r="204" spans="2:14" ht="22.2" customHeight="1" thickTop="1" thickBot="1">
      <c r="B204" s="332">
        <f>Sim_SAC!C193</f>
        <v>49963</v>
      </c>
      <c r="C204" s="333">
        <f t="shared" ca="1" si="6"/>
        <v>1931.581419429946</v>
      </c>
      <c r="D204" s="333">
        <f ca="1">IF($E$18="SAC",Sim_SAC!D193,Sim_PRICE!D193)</f>
        <v>842.74931039701278</v>
      </c>
      <c r="E204" s="333">
        <f ca="1">IF($E$18="SAC",Sim_SAC!E193,Sim_PRICE!E193)</f>
        <v>1088.8321090329332</v>
      </c>
      <c r="F204" s="333">
        <f ca="1">IF($E$18="SAC",Sim_SAC!G193,Sim_PRICE!F193)</f>
        <v>159279.61966503435</v>
      </c>
      <c r="G204" s="333">
        <f ca="1">IF($E$18="SAC",Sim_SAC!H193,Sim_PRICE!G193)</f>
        <v>33.448720129657211</v>
      </c>
      <c r="H204" s="333">
        <f>IF($E$18="SAC",Sim_SAC!I193,Sim_PRICE!H193)</f>
        <v>34.369999999999997</v>
      </c>
      <c r="I204" s="333">
        <f>IF($E$18="SAC",Sim_SAC!J193,Sim_PRICE!I193)</f>
        <v>25</v>
      </c>
      <c r="J204" s="333">
        <f ca="1">IF($E$18="SAC",Sim_SAC!K193,Sim_PRICE!J193)</f>
        <v>2024.4001395596031</v>
      </c>
      <c r="L204" s="335"/>
      <c r="M204" s="335">
        <f t="shared" ca="1" si="7"/>
        <v>2024.4001395596031</v>
      </c>
      <c r="N204" s="336">
        <f t="shared" ca="1" si="8"/>
        <v>17.2949964723284</v>
      </c>
    </row>
    <row r="205" spans="2:14" ht="22.2" customHeight="1" thickTop="1" thickBot="1">
      <c r="B205" s="337">
        <f>Sim_SAC!C194</f>
        <v>49994</v>
      </c>
      <c r="C205" s="338">
        <f t="shared" ca="1" si="6"/>
        <v>1925.8507241192463</v>
      </c>
      <c r="D205" s="338">
        <f ca="1">IF($E$18="SAC",Sim_SAC!D194,Sim_PRICE!D194)</f>
        <v>842.74931039701278</v>
      </c>
      <c r="E205" s="338">
        <f ca="1">IF($E$18="SAC",Sim_SAC!E194,Sim_PRICE!E194)</f>
        <v>1083.1014137222335</v>
      </c>
      <c r="F205" s="338">
        <f ca="1">IF($E$18="SAC",Sim_SAC!G194,Sim_PRICE!F194)</f>
        <v>158436.87035463733</v>
      </c>
      <c r="G205" s="338">
        <f ca="1">IF($E$18="SAC",Sim_SAC!H194,Sim_PRICE!G194)</f>
        <v>33.271742774473843</v>
      </c>
      <c r="H205" s="338">
        <f>IF($E$18="SAC",Sim_SAC!I194,Sim_PRICE!H194)</f>
        <v>34.369999999999997</v>
      </c>
      <c r="I205" s="338">
        <f>IF($E$18="SAC",Sim_SAC!J194,Sim_PRICE!I194)</f>
        <v>25</v>
      </c>
      <c r="J205" s="338">
        <f ca="1">IF($E$18="SAC",Sim_SAC!K194,Sim_PRICE!J194)</f>
        <v>2018.4924668937199</v>
      </c>
      <c r="L205" s="335"/>
      <c r="M205" s="335">
        <f t="shared" ca="1" si="7"/>
        <v>2018.4924668937199</v>
      </c>
      <c r="N205" s="336">
        <f t="shared" ca="1" si="8"/>
        <v>17.110345468936853</v>
      </c>
    </row>
    <row r="206" spans="2:14" ht="22.2" customHeight="1" thickTop="1" thickBot="1">
      <c r="B206" s="332">
        <f>Sim_SAC!C195</f>
        <v>50024</v>
      </c>
      <c r="C206" s="333">
        <f t="shared" ca="1" si="6"/>
        <v>1920.1200288085465</v>
      </c>
      <c r="D206" s="333">
        <f ca="1">IF($E$18="SAC",Sim_SAC!D195,Sim_PRICE!D195)</f>
        <v>842.74931039701278</v>
      </c>
      <c r="E206" s="333">
        <f ca="1">IF($E$18="SAC",Sim_SAC!E195,Sim_PRICE!E195)</f>
        <v>1077.3707184115337</v>
      </c>
      <c r="F206" s="333">
        <f ca="1">IF($E$18="SAC",Sim_SAC!G195,Sim_PRICE!F195)</f>
        <v>157594.12104424031</v>
      </c>
      <c r="G206" s="333">
        <f ca="1">IF($E$18="SAC",Sim_SAC!H195,Sim_PRICE!G195)</f>
        <v>33.094765419290468</v>
      </c>
      <c r="H206" s="333">
        <f>IF($E$18="SAC",Sim_SAC!I195,Sim_PRICE!H195)</f>
        <v>34.369999999999997</v>
      </c>
      <c r="I206" s="333">
        <f>IF($E$18="SAC",Sim_SAC!J195,Sim_PRICE!I195)</f>
        <v>25</v>
      </c>
      <c r="J206" s="333">
        <f ca="1">IF($E$18="SAC",Sim_SAC!K195,Sim_PRICE!J195)</f>
        <v>2012.5847942278369</v>
      </c>
      <c r="L206" s="335"/>
      <c r="M206" s="335">
        <f t="shared" ca="1" si="7"/>
        <v>2012.5847942278369</v>
      </c>
      <c r="N206" s="336">
        <f t="shared" ca="1" si="8"/>
        <v>16.931985068003709</v>
      </c>
    </row>
    <row r="207" spans="2:14" ht="22.2" customHeight="1" thickTop="1" thickBot="1">
      <c r="B207" s="337">
        <f>Sim_SAC!C196</f>
        <v>50055</v>
      </c>
      <c r="C207" s="338">
        <f t="shared" ca="1" si="6"/>
        <v>1914.3893334978468</v>
      </c>
      <c r="D207" s="338">
        <f ca="1">IF($E$18="SAC",Sim_SAC!D196,Sim_PRICE!D196)</f>
        <v>842.74931039701278</v>
      </c>
      <c r="E207" s="338">
        <f ca="1">IF($E$18="SAC",Sim_SAC!E196,Sim_PRICE!E196)</f>
        <v>1071.640023100834</v>
      </c>
      <c r="F207" s="338">
        <f ca="1">IF($E$18="SAC",Sim_SAC!G196,Sim_PRICE!F196)</f>
        <v>156751.37173384329</v>
      </c>
      <c r="G207" s="338">
        <f ca="1">IF($E$18="SAC",Sim_SAC!H196,Sim_PRICE!G196)</f>
        <v>32.917788064107093</v>
      </c>
      <c r="H207" s="338">
        <f>IF($E$18="SAC",Sim_SAC!I196,Sim_PRICE!H196)</f>
        <v>34.369999999999997</v>
      </c>
      <c r="I207" s="338">
        <f>IF($E$18="SAC",Sim_SAC!J196,Sim_PRICE!I196)</f>
        <v>25</v>
      </c>
      <c r="J207" s="338">
        <f ca="1">IF($E$18="SAC",Sim_SAC!K196,Sim_PRICE!J196)</f>
        <v>2006.6771215619538</v>
      </c>
      <c r="L207" s="335"/>
      <c r="M207" s="335">
        <f t="shared" ca="1" si="7"/>
        <v>2006.6771215619538</v>
      </c>
      <c r="N207" s="336">
        <f t="shared" ca="1" si="8"/>
        <v>16.750979833528309</v>
      </c>
    </row>
    <row r="208" spans="2:14" ht="22.2" customHeight="1" thickTop="1" thickBot="1">
      <c r="B208" s="332">
        <f>Sim_SAC!C197</f>
        <v>50086</v>
      </c>
      <c r="C208" s="333">
        <f t="shared" ca="1" si="6"/>
        <v>1908.6586381871471</v>
      </c>
      <c r="D208" s="333">
        <f ca="1">IF($E$18="SAC",Sim_SAC!D197,Sim_PRICE!D197)</f>
        <v>842.74931039701278</v>
      </c>
      <c r="E208" s="333">
        <f ca="1">IF($E$18="SAC",Sim_SAC!E197,Sim_PRICE!E197)</f>
        <v>1065.9093277901343</v>
      </c>
      <c r="F208" s="333">
        <f ca="1">IF($E$18="SAC",Sim_SAC!G197,Sim_PRICE!F197)</f>
        <v>155908.62242344627</v>
      </c>
      <c r="G208" s="333">
        <f ca="1">IF($E$18="SAC",Sim_SAC!H197,Sim_PRICE!G197)</f>
        <v>32.740810708923718</v>
      </c>
      <c r="H208" s="333">
        <f>IF($E$18="SAC",Sim_SAC!I197,Sim_PRICE!H197)</f>
        <v>34.369999999999997</v>
      </c>
      <c r="I208" s="333">
        <f>IF($E$18="SAC",Sim_SAC!J197,Sim_PRICE!I197)</f>
        <v>25</v>
      </c>
      <c r="J208" s="333">
        <f ca="1">IF($E$18="SAC",Sim_SAC!K197,Sim_PRICE!J197)</f>
        <v>2000.7694488960706</v>
      </c>
      <c r="L208" s="335"/>
      <c r="M208" s="335">
        <f t="shared" ca="1" si="7"/>
        <v>2000.7694488960706</v>
      </c>
      <c r="N208" s="336">
        <f t="shared" ca="1" si="8"/>
        <v>16.571794929939042</v>
      </c>
    </row>
    <row r="209" spans="2:14" ht="22.2" customHeight="1" thickTop="1" thickBot="1">
      <c r="B209" s="337">
        <f>Sim_SAC!C198</f>
        <v>50114</v>
      </c>
      <c r="C209" s="338">
        <f t="shared" ca="1" si="6"/>
        <v>1902.9279428764473</v>
      </c>
      <c r="D209" s="338">
        <f ca="1">IF($E$18="SAC",Sim_SAC!D198,Sim_PRICE!D198)</f>
        <v>842.74931039701278</v>
      </c>
      <c r="E209" s="338">
        <f ca="1">IF($E$18="SAC",Sim_SAC!E198,Sim_PRICE!E198)</f>
        <v>1060.1786324794346</v>
      </c>
      <c r="F209" s="338">
        <f ca="1">IF($E$18="SAC",Sim_SAC!G198,Sim_PRICE!F198)</f>
        <v>155065.87311304925</v>
      </c>
      <c r="G209" s="338">
        <f ca="1">IF($E$18="SAC",Sim_SAC!H198,Sim_PRICE!G198)</f>
        <v>32.563833353740343</v>
      </c>
      <c r="H209" s="338">
        <f>IF($E$18="SAC",Sim_SAC!I198,Sim_PRICE!H198)</f>
        <v>34.369999999999997</v>
      </c>
      <c r="I209" s="338">
        <f>IF($E$18="SAC",Sim_SAC!J198,Sim_PRICE!I198)</f>
        <v>25</v>
      </c>
      <c r="J209" s="338">
        <f ca="1">IF($E$18="SAC",Sim_SAC!K198,Sim_PRICE!J198)</f>
        <v>1994.8617762301876</v>
      </c>
      <c r="L209" s="335"/>
      <c r="M209" s="335">
        <f t="shared" ca="1" si="7"/>
        <v>1994.8617762301876</v>
      </c>
      <c r="N209" s="336">
        <f t="shared" ca="1" si="8"/>
        <v>16.407302212609345</v>
      </c>
    </row>
    <row r="210" spans="2:14" ht="22.2" customHeight="1" thickTop="1" thickBot="1">
      <c r="B210" s="332">
        <f>Sim_SAC!C199</f>
        <v>50145</v>
      </c>
      <c r="C210" s="333">
        <f t="shared" ca="1" si="6"/>
        <v>1897.1972475657476</v>
      </c>
      <c r="D210" s="333">
        <f ca="1">IF($E$18="SAC",Sim_SAC!D199,Sim_PRICE!D199)</f>
        <v>842.74931039701278</v>
      </c>
      <c r="E210" s="333">
        <f ca="1">IF($E$18="SAC",Sim_SAC!E199,Sim_PRICE!E199)</f>
        <v>1054.4479371687348</v>
      </c>
      <c r="F210" s="333">
        <f ca="1">IF($E$18="SAC",Sim_SAC!G199,Sim_PRICE!F199)</f>
        <v>154223.12380265223</v>
      </c>
      <c r="G210" s="333">
        <f ca="1">IF($E$18="SAC",Sim_SAC!H199,Sim_PRICE!G199)</f>
        <v>32.386855998556968</v>
      </c>
      <c r="H210" s="333">
        <f>IF($E$18="SAC",Sim_SAC!I199,Sim_PRICE!H199)</f>
        <v>34.369999999999997</v>
      </c>
      <c r="I210" s="333">
        <f>IF($E$18="SAC",Sim_SAC!J199,Sim_PRICE!I199)</f>
        <v>25</v>
      </c>
      <c r="J210" s="333">
        <f ca="1">IF($E$18="SAC",Sim_SAC!K199,Sim_PRICE!J199)</f>
        <v>1988.9541035643044</v>
      </c>
      <c r="L210" s="335"/>
      <c r="M210" s="335">
        <f t="shared" ca="1" si="7"/>
        <v>1988.9541035643044</v>
      </c>
      <c r="N210" s="336">
        <f t="shared" ca="1" si="8"/>
        <v>16.231567264914045</v>
      </c>
    </row>
    <row r="211" spans="2:14" ht="22.2" customHeight="1" thickTop="1" thickBot="1">
      <c r="B211" s="337">
        <f>Sim_SAC!C200</f>
        <v>50175</v>
      </c>
      <c r="C211" s="338">
        <f t="shared" ca="1" si="6"/>
        <v>1891.4665522550479</v>
      </c>
      <c r="D211" s="338">
        <f ca="1">IF($E$18="SAC",Sim_SAC!D200,Sim_PRICE!D200)</f>
        <v>842.74931039701278</v>
      </c>
      <c r="E211" s="338">
        <f ca="1">IF($E$18="SAC",Sim_SAC!E200,Sim_PRICE!E200)</f>
        <v>1048.7172418580351</v>
      </c>
      <c r="F211" s="338">
        <f ca="1">IF($E$18="SAC",Sim_SAC!G200,Sim_PRICE!F200)</f>
        <v>153380.37449225521</v>
      </c>
      <c r="G211" s="338">
        <f ca="1">IF($E$18="SAC",Sim_SAC!H200,Sim_PRICE!G200)</f>
        <v>32.2098786433736</v>
      </c>
      <c r="H211" s="338">
        <f>IF($E$18="SAC",Sim_SAC!I200,Sim_PRICE!H200)</f>
        <v>34.369999999999997</v>
      </c>
      <c r="I211" s="338">
        <f>IF($E$18="SAC",Sim_SAC!J200,Sim_PRICE!I200)</f>
        <v>25</v>
      </c>
      <c r="J211" s="338">
        <f ca="1">IF($E$18="SAC",Sim_SAC!K200,Sim_PRICE!J200)</f>
        <v>1983.0464308984215</v>
      </c>
      <c r="L211" s="335"/>
      <c r="M211" s="335">
        <f t="shared" ca="1" si="7"/>
        <v>1983.0464308984215</v>
      </c>
      <c r="N211" s="336">
        <f t="shared" ca="1" si="8"/>
        <v>16.061808834607344</v>
      </c>
    </row>
    <row r="212" spans="2:14" ht="22.2" customHeight="1" thickTop="1" thickBot="1">
      <c r="B212" s="332">
        <f>Sim_SAC!C201</f>
        <v>50206</v>
      </c>
      <c r="C212" s="333">
        <f t="shared" ca="1" si="6"/>
        <v>1885.7358569443481</v>
      </c>
      <c r="D212" s="333">
        <f ca="1">IF($E$18="SAC",Sim_SAC!D201,Sim_PRICE!D201)</f>
        <v>842.74931039701278</v>
      </c>
      <c r="E212" s="333">
        <f ca="1">IF($E$18="SAC",Sim_SAC!E201,Sim_PRICE!E201)</f>
        <v>1042.9865465473354</v>
      </c>
      <c r="F212" s="333">
        <f ca="1">IF($E$18="SAC",Sim_SAC!G201,Sim_PRICE!F201)</f>
        <v>152537.62518185819</v>
      </c>
      <c r="G212" s="333">
        <f ca="1">IF($E$18="SAC",Sim_SAC!H201,Sim_PRICE!G201)</f>
        <v>32.032901288190224</v>
      </c>
      <c r="H212" s="333">
        <f>IF($E$18="SAC",Sim_SAC!I201,Sim_PRICE!H201)</f>
        <v>34.369999999999997</v>
      </c>
      <c r="I212" s="333">
        <f>IF($E$18="SAC",Sim_SAC!J201,Sim_PRICE!I201)</f>
        <v>25</v>
      </c>
      <c r="J212" s="333">
        <f ca="1">IF($E$18="SAC",Sim_SAC!K201,Sim_PRICE!J201)</f>
        <v>1977.1387582325383</v>
      </c>
      <c r="L212" s="339"/>
      <c r="M212" s="335">
        <f t="shared" ca="1" si="7"/>
        <v>1977.1387582325383</v>
      </c>
      <c r="N212" s="336">
        <f t="shared" ca="1" si="8"/>
        <v>15.889550442794638</v>
      </c>
    </row>
    <row r="213" spans="2:14" ht="22.2" customHeight="1" thickTop="1" thickBot="1">
      <c r="B213" s="337">
        <f>Sim_SAC!C202</f>
        <v>50236</v>
      </c>
      <c r="C213" s="338">
        <f t="shared" ref="C213:C263" ca="1" si="9">D213+E213</f>
        <v>1880.0051616336484</v>
      </c>
      <c r="D213" s="338">
        <f ca="1">IF($E$18="SAC",Sim_SAC!D202,Sim_PRICE!D202)</f>
        <v>842.74931039701278</v>
      </c>
      <c r="E213" s="338">
        <f ca="1">IF($E$18="SAC",Sim_SAC!E202,Sim_PRICE!E202)</f>
        <v>1037.2558512366356</v>
      </c>
      <c r="F213" s="338">
        <f ca="1">IF($E$18="SAC",Sim_SAC!G202,Sim_PRICE!F202)</f>
        <v>151694.87587146118</v>
      </c>
      <c r="G213" s="338">
        <f ca="1">IF($E$18="SAC",Sim_SAC!H202,Sim_PRICE!G202)</f>
        <v>31.855923933006849</v>
      </c>
      <c r="H213" s="338">
        <f>IF($E$18="SAC",Sim_SAC!I202,Sim_PRICE!H202)</f>
        <v>34.369999999999997</v>
      </c>
      <c r="I213" s="338">
        <f>IF($E$18="SAC",Sim_SAC!J202,Sim_PRICE!I202)</f>
        <v>25</v>
      </c>
      <c r="J213" s="338">
        <f ca="1">IF($E$18="SAC",Sim_SAC!K202,Sim_PRICE!J202)</f>
        <v>1971.2310855666551</v>
      </c>
      <c r="L213" s="335"/>
      <c r="M213" s="335">
        <f t="shared" ref="M213:M263" ca="1" si="10">J213</f>
        <v>1971.2310855666551</v>
      </c>
      <c r="N213" s="336">
        <f t="shared" ca="1" si="8"/>
        <v>15.723146225292489</v>
      </c>
    </row>
    <row r="214" spans="2:14" ht="22.2" customHeight="1" thickTop="1" thickBot="1">
      <c r="B214" s="332">
        <f>Sim_SAC!C203</f>
        <v>50267</v>
      </c>
      <c r="C214" s="333">
        <f t="shared" ca="1" si="9"/>
        <v>1874.2744663229487</v>
      </c>
      <c r="D214" s="333">
        <f ca="1">IF($E$18="SAC",Sim_SAC!D203,Sim_PRICE!D203)</f>
        <v>842.74931039701278</v>
      </c>
      <c r="E214" s="333">
        <f ca="1">IF($E$18="SAC",Sim_SAC!E203,Sim_PRICE!E203)</f>
        <v>1031.5251559259359</v>
      </c>
      <c r="F214" s="333">
        <f ca="1">IF($E$18="SAC",Sim_SAC!G203,Sim_PRICE!F203)</f>
        <v>150852.12656106416</v>
      </c>
      <c r="G214" s="333">
        <f ca="1">IF($E$18="SAC",Sim_SAC!H203,Sim_PRICE!G203)</f>
        <v>31.678946577823474</v>
      </c>
      <c r="H214" s="333">
        <f>IF($E$18="SAC",Sim_SAC!I203,Sim_PRICE!H203)</f>
        <v>34.369999999999997</v>
      </c>
      <c r="I214" s="333">
        <f>IF($E$18="SAC",Sim_SAC!J203,Sim_PRICE!I203)</f>
        <v>25</v>
      </c>
      <c r="J214" s="333">
        <f ca="1">IF($E$18="SAC",Sim_SAC!K203,Sim_PRICE!J203)</f>
        <v>1965.3234129007722</v>
      </c>
      <c r="L214" s="339"/>
      <c r="M214" s="335">
        <f t="shared" ca="1" si="10"/>
        <v>1965.3234129007722</v>
      </c>
      <c r="N214" s="336">
        <f t="shared" ca="1" si="8"/>
        <v>15.554298326971628</v>
      </c>
    </row>
    <row r="215" spans="2:14" ht="22.2" customHeight="1" thickTop="1" thickBot="1">
      <c r="B215" s="337">
        <f>Sim_SAC!C204</f>
        <v>50298</v>
      </c>
      <c r="C215" s="338">
        <f t="shared" ca="1" si="9"/>
        <v>1868.543771012249</v>
      </c>
      <c r="D215" s="338">
        <f ca="1">IF($E$18="SAC",Sim_SAC!D204,Sim_PRICE!D204)</f>
        <v>842.74931039701278</v>
      </c>
      <c r="E215" s="338">
        <f ca="1">IF($E$18="SAC",Sim_SAC!E204,Sim_PRICE!E204)</f>
        <v>1025.7944606152362</v>
      </c>
      <c r="F215" s="338">
        <f ca="1">IF($E$18="SAC",Sim_SAC!G204,Sim_PRICE!F204)</f>
        <v>150009.37725066714</v>
      </c>
      <c r="G215" s="338">
        <f ca="1">IF($E$18="SAC",Sim_SAC!H204,Sim_PRICE!G204)</f>
        <v>31.501969222640099</v>
      </c>
      <c r="H215" s="338">
        <f>IF($E$18="SAC",Sim_SAC!I204,Sim_PRICE!H204)</f>
        <v>34.369999999999997</v>
      </c>
      <c r="I215" s="338">
        <f>IF($E$18="SAC",Sim_SAC!J204,Sim_PRICE!I204)</f>
        <v>25</v>
      </c>
      <c r="J215" s="338">
        <f ca="1">IF($E$18="SAC",Sim_SAC!K204,Sim_PRICE!J204)</f>
        <v>1959.415740234889</v>
      </c>
      <c r="L215" s="335"/>
      <c r="M215" s="335">
        <f t="shared" ca="1" si="10"/>
        <v>1959.415740234889</v>
      </c>
      <c r="N215" s="336">
        <f t="shared" ca="1" si="8"/>
        <v>15.387153179094176</v>
      </c>
    </row>
    <row r="216" spans="2:14" ht="22.2" customHeight="1" thickTop="1" thickBot="1">
      <c r="B216" s="332">
        <f>Sim_SAC!C205</f>
        <v>50328</v>
      </c>
      <c r="C216" s="333">
        <f t="shared" ca="1" si="9"/>
        <v>1862.8130757015492</v>
      </c>
      <c r="D216" s="333">
        <f ca="1">IF($E$18="SAC",Sim_SAC!D205,Sim_PRICE!D205)</f>
        <v>842.74931039701278</v>
      </c>
      <c r="E216" s="333">
        <f ca="1">IF($E$18="SAC",Sim_SAC!E205,Sim_PRICE!E205)</f>
        <v>1020.0637653045364</v>
      </c>
      <c r="F216" s="333">
        <f ca="1">IF($E$18="SAC",Sim_SAC!G205,Sim_PRICE!F205)</f>
        <v>149166.62794027012</v>
      </c>
      <c r="G216" s="333">
        <f ca="1">IF($E$18="SAC",Sim_SAC!H205,Sim_PRICE!G205)</f>
        <v>31.324991867456728</v>
      </c>
      <c r="H216" s="333">
        <f>IF($E$18="SAC",Sim_SAC!I205,Sim_PRICE!H205)</f>
        <v>34.369999999999997</v>
      </c>
      <c r="I216" s="333">
        <f>IF($E$18="SAC",Sim_SAC!J205,Sim_PRICE!I205)</f>
        <v>25</v>
      </c>
      <c r="J216" s="333">
        <f ca="1">IF($E$18="SAC",Sim_SAC!K205,Sim_PRICE!J205)</f>
        <v>1953.5080675690058</v>
      </c>
      <c r="L216" s="339"/>
      <c r="M216" s="335">
        <f t="shared" ca="1" si="10"/>
        <v>1953.5080675690058</v>
      </c>
      <c r="N216" s="336">
        <f t="shared" ca="1" si="8"/>
        <v>15.225682390523342</v>
      </c>
    </row>
    <row r="217" spans="2:14" ht="22.2" customHeight="1" thickTop="1" thickBot="1">
      <c r="B217" s="337">
        <f>Sim_SAC!C206</f>
        <v>50359</v>
      </c>
      <c r="C217" s="338">
        <f t="shared" ca="1" si="9"/>
        <v>1857.0823803908495</v>
      </c>
      <c r="D217" s="338">
        <f ca="1">IF($E$18="SAC",Sim_SAC!D206,Sim_PRICE!D206)</f>
        <v>842.74931039701278</v>
      </c>
      <c r="E217" s="338">
        <f ca="1">IF($E$18="SAC",Sim_SAC!E206,Sim_PRICE!E206)</f>
        <v>1014.3330699938367</v>
      </c>
      <c r="F217" s="338">
        <f ca="1">IF($E$18="SAC",Sim_SAC!G206,Sim_PRICE!F206)</f>
        <v>148323.8786298731</v>
      </c>
      <c r="G217" s="338">
        <f ca="1">IF($E$18="SAC",Sim_SAC!H206,Sim_PRICE!G206)</f>
        <v>31.148014512273352</v>
      </c>
      <c r="H217" s="338">
        <f>IF($E$18="SAC",Sim_SAC!I206,Sim_PRICE!H206)</f>
        <v>34.369999999999997</v>
      </c>
      <c r="I217" s="338">
        <f>IF($E$18="SAC",Sim_SAC!J206,Sim_PRICE!I206)</f>
        <v>25</v>
      </c>
      <c r="J217" s="338">
        <f ca="1">IF($E$18="SAC",Sim_SAC!K206,Sim_PRICE!J206)</f>
        <v>1947.6003949031228</v>
      </c>
      <c r="L217" s="335"/>
      <c r="M217" s="335">
        <f t="shared" ca="1" si="10"/>
        <v>1947.6003949031228</v>
      </c>
      <c r="N217" s="336">
        <f t="shared" ca="1" si="8"/>
        <v>15.061850490720444</v>
      </c>
    </row>
    <row r="218" spans="2:14" ht="22.2" customHeight="1" thickTop="1" thickBot="1">
      <c r="B218" s="332">
        <f>Sim_SAC!C207</f>
        <v>50389</v>
      </c>
      <c r="C218" s="333">
        <f t="shared" ca="1" si="9"/>
        <v>1851.3516850801498</v>
      </c>
      <c r="D218" s="333">
        <f ca="1">IF($E$18="SAC",Sim_SAC!D207,Sim_PRICE!D207)</f>
        <v>842.74931039701278</v>
      </c>
      <c r="E218" s="333">
        <f ca="1">IF($E$18="SAC",Sim_SAC!E207,Sim_PRICE!E207)</f>
        <v>1008.602374683137</v>
      </c>
      <c r="F218" s="333">
        <f ca="1">IF($E$18="SAC",Sim_SAC!G207,Sim_PRICE!F207)</f>
        <v>147481.12931947608</v>
      </c>
      <c r="G218" s="333">
        <f ca="1">IF($E$18="SAC",Sim_SAC!H207,Sim_PRICE!G207)</f>
        <v>30.971037157089977</v>
      </c>
      <c r="H218" s="333">
        <f>IF($E$18="SAC",Sim_SAC!I207,Sim_PRICE!H207)</f>
        <v>34.369999999999997</v>
      </c>
      <c r="I218" s="333">
        <f>IF($E$18="SAC",Sim_SAC!J207,Sim_PRICE!I207)</f>
        <v>25</v>
      </c>
      <c r="J218" s="333">
        <f ca="1">IF($E$18="SAC",Sim_SAC!K207,Sim_PRICE!J207)</f>
        <v>1941.6927222372396</v>
      </c>
      <c r="L218" s="339"/>
      <c r="M218" s="335">
        <f t="shared" ca="1" si="10"/>
        <v>1941.6927222372396</v>
      </c>
      <c r="N218" s="336">
        <f t="shared" ca="1" si="8"/>
        <v>14.903576481512768</v>
      </c>
    </row>
    <row r="219" spans="2:14" ht="22.2" customHeight="1" thickTop="1" thickBot="1">
      <c r="B219" s="337">
        <f>Sim_SAC!C208</f>
        <v>50420</v>
      </c>
      <c r="C219" s="338">
        <f t="shared" ca="1" si="9"/>
        <v>1845.62098976945</v>
      </c>
      <c r="D219" s="338">
        <f ca="1">IF($E$18="SAC",Sim_SAC!D208,Sim_PRICE!D208)</f>
        <v>842.74931039701278</v>
      </c>
      <c r="E219" s="338">
        <f ca="1">IF($E$18="SAC",Sim_SAC!E208,Sim_PRICE!E208)</f>
        <v>1002.8716793724373</v>
      </c>
      <c r="F219" s="338">
        <f ca="1">IF($E$18="SAC",Sim_SAC!G208,Sim_PRICE!F208)</f>
        <v>146638.38000907906</v>
      </c>
      <c r="G219" s="338">
        <f ca="1">IF($E$18="SAC",Sim_SAC!H208,Sim_PRICE!G208)</f>
        <v>30.794059801906606</v>
      </c>
      <c r="H219" s="338">
        <f>IF($E$18="SAC",Sim_SAC!I208,Sim_PRICE!H208)</f>
        <v>34.369999999999997</v>
      </c>
      <c r="I219" s="338">
        <f>IF($E$18="SAC",Sim_SAC!J208,Sim_PRICE!I208)</f>
        <v>25</v>
      </c>
      <c r="J219" s="338">
        <f ca="1">IF($E$18="SAC",Sim_SAC!K208,Sim_PRICE!J208)</f>
        <v>1935.7850495713565</v>
      </c>
      <c r="L219" s="335"/>
      <c r="M219" s="335">
        <f t="shared" ca="1" si="10"/>
        <v>1935.7850495713565</v>
      </c>
      <c r="N219" s="336">
        <f t="shared" ca="1" si="8"/>
        <v>14.742994786462956</v>
      </c>
    </row>
    <row r="220" spans="2:14" ht="22.2" customHeight="1" thickTop="1" thickBot="1">
      <c r="B220" s="332">
        <f>Sim_SAC!C209</f>
        <v>50451</v>
      </c>
      <c r="C220" s="333">
        <f t="shared" ca="1" si="9"/>
        <v>1839.8902944587503</v>
      </c>
      <c r="D220" s="333">
        <f ca="1">IF($E$18="SAC",Sim_SAC!D209,Sim_PRICE!D209)</f>
        <v>842.74931039701278</v>
      </c>
      <c r="E220" s="333">
        <f ca="1">IF($E$18="SAC",Sim_SAC!E209,Sim_PRICE!E209)</f>
        <v>997.14098406173753</v>
      </c>
      <c r="F220" s="333">
        <f ca="1">IF($E$18="SAC",Sim_SAC!G209,Sim_PRICE!F209)</f>
        <v>145795.63069868204</v>
      </c>
      <c r="G220" s="333">
        <f ca="1">IF($E$18="SAC",Sim_SAC!H209,Sim_PRICE!G209)</f>
        <v>30.617082446723231</v>
      </c>
      <c r="H220" s="333">
        <f>IF($E$18="SAC",Sim_SAC!I209,Sim_PRICE!H209)</f>
        <v>34.369999999999997</v>
      </c>
      <c r="I220" s="333">
        <f>IF($E$18="SAC",Sim_SAC!J209,Sim_PRICE!I209)</f>
        <v>25</v>
      </c>
      <c r="J220" s="333">
        <f ca="1">IF($E$18="SAC",Sim_SAC!K209,Sim_PRICE!J209)</f>
        <v>1929.8773769054735</v>
      </c>
      <c r="L220" s="339"/>
      <c r="M220" s="335">
        <f t="shared" ca="1" si="10"/>
        <v>1929.8773769054735</v>
      </c>
      <c r="N220" s="336">
        <f t="shared" ca="1" si="8"/>
        <v>14.584035740196846</v>
      </c>
    </row>
    <row r="221" spans="2:14" ht="22.2" customHeight="1" thickTop="1" thickBot="1">
      <c r="B221" s="337">
        <f>Sim_SAC!C210</f>
        <v>50479</v>
      </c>
      <c r="C221" s="338">
        <f t="shared" ca="1" si="9"/>
        <v>1834.1595991480506</v>
      </c>
      <c r="D221" s="338">
        <f ca="1">IF($E$18="SAC",Sim_SAC!D210,Sim_PRICE!D210)</f>
        <v>842.74931039701278</v>
      </c>
      <c r="E221" s="338">
        <f ca="1">IF($E$18="SAC",Sim_SAC!E210,Sim_PRICE!E210)</f>
        <v>991.4102887510378</v>
      </c>
      <c r="F221" s="338">
        <f ca="1">IF($E$18="SAC",Sim_SAC!G210,Sim_PRICE!F210)</f>
        <v>144952.88138828502</v>
      </c>
      <c r="G221" s="338">
        <f ca="1">IF($E$18="SAC",Sim_SAC!H210,Sim_PRICE!G210)</f>
        <v>30.440105091539856</v>
      </c>
      <c r="H221" s="338">
        <f>IF($E$18="SAC",Sim_SAC!I210,Sim_PRICE!H210)</f>
        <v>34.369999999999997</v>
      </c>
      <c r="I221" s="338">
        <f>IF($E$18="SAC",Sim_SAC!J210,Sim_PRICE!I210)</f>
        <v>25</v>
      </c>
      <c r="J221" s="338">
        <f ca="1">IF($E$18="SAC",Sim_SAC!K210,Sim_PRICE!J210)</f>
        <v>1923.9697042395903</v>
      </c>
      <c r="L221" s="335"/>
      <c r="M221" s="335">
        <f t="shared" ca="1" si="10"/>
        <v>1923.9697042395903</v>
      </c>
      <c r="N221" s="336">
        <f t="shared" ca="1" si="8"/>
        <v>14.43802601032859</v>
      </c>
    </row>
    <row r="222" spans="2:14" ht="22.2" customHeight="1" thickTop="1" thickBot="1">
      <c r="B222" s="332">
        <f>Sim_SAC!C211</f>
        <v>50510</v>
      </c>
      <c r="C222" s="333">
        <f t="shared" ca="1" si="9"/>
        <v>1828.4289038373508</v>
      </c>
      <c r="D222" s="333">
        <f ca="1">IF($E$18="SAC",Sim_SAC!D211,Sim_PRICE!D211)</f>
        <v>842.74931039701278</v>
      </c>
      <c r="E222" s="333">
        <f ca="1">IF($E$18="SAC",Sim_SAC!E211,Sim_PRICE!E211)</f>
        <v>985.67959344033807</v>
      </c>
      <c r="F222" s="333">
        <f ca="1">IF($E$18="SAC",Sim_SAC!G211,Sim_PRICE!F211)</f>
        <v>144110.132077888</v>
      </c>
      <c r="G222" s="333">
        <f ca="1">IF($E$18="SAC",Sim_SAC!H211,Sim_PRICE!G211)</f>
        <v>30.263127736356481</v>
      </c>
      <c r="H222" s="333">
        <f>IF($E$18="SAC",Sim_SAC!I211,Sim_PRICE!H211)</f>
        <v>34.369999999999997</v>
      </c>
      <c r="I222" s="333">
        <f>IF($E$18="SAC",Sim_SAC!J211,Sim_PRICE!I211)</f>
        <v>25</v>
      </c>
      <c r="J222" s="333">
        <f ca="1">IF($E$18="SAC",Sim_SAC!K211,Sim_PRICE!J211)</f>
        <v>1918.0620315737071</v>
      </c>
      <c r="L222" s="339"/>
      <c r="M222" s="335">
        <f t="shared" ca="1" si="10"/>
        <v>1918.0620315737071</v>
      </c>
      <c r="N222" s="336">
        <f t="shared" ca="1" si="8"/>
        <v>14.282142718962147</v>
      </c>
    </row>
    <row r="223" spans="2:14" ht="22.2" customHeight="1" thickTop="1" thickBot="1">
      <c r="B223" s="337">
        <f>Sim_SAC!C212</f>
        <v>50540</v>
      </c>
      <c r="C223" s="338">
        <f t="shared" ca="1" si="9"/>
        <v>1822.6982085266511</v>
      </c>
      <c r="D223" s="338">
        <f ca="1">IF($E$18="SAC",Sim_SAC!D212,Sim_PRICE!D212)</f>
        <v>842.74931039701278</v>
      </c>
      <c r="E223" s="338">
        <f ca="1">IF($E$18="SAC",Sim_SAC!E212,Sim_PRICE!E212)</f>
        <v>979.94889812963834</v>
      </c>
      <c r="F223" s="338">
        <f ca="1">IF($E$18="SAC",Sim_SAC!G212,Sim_PRICE!F212)</f>
        <v>143267.38276749098</v>
      </c>
      <c r="G223" s="338">
        <f ca="1">IF($E$18="SAC",Sim_SAC!H212,Sim_PRICE!G212)</f>
        <v>30.086150381173109</v>
      </c>
      <c r="H223" s="338">
        <f>IF($E$18="SAC",Sim_SAC!I212,Sim_PRICE!H212)</f>
        <v>34.369999999999997</v>
      </c>
      <c r="I223" s="338">
        <f>IF($E$18="SAC",Sim_SAC!J212,Sim_PRICE!I212)</f>
        <v>25</v>
      </c>
      <c r="J223" s="338">
        <f ca="1">IF($E$18="SAC",Sim_SAC!K212,Sim_PRICE!J212)</f>
        <v>1912.1543589078242</v>
      </c>
      <c r="L223" s="335"/>
      <c r="M223" s="335">
        <f t="shared" ca="1" si="10"/>
        <v>1912.1543589078242</v>
      </c>
      <c r="N223" s="336">
        <f t="shared" ca="1" si="8"/>
        <v>14.131538044045209</v>
      </c>
    </row>
    <row r="224" spans="2:14" ht="22.2" customHeight="1" thickTop="1" thickBot="1">
      <c r="B224" s="332">
        <f>Sim_SAC!C213</f>
        <v>50571</v>
      </c>
      <c r="C224" s="333">
        <f t="shared" ca="1" si="9"/>
        <v>1816.9675132159514</v>
      </c>
      <c r="D224" s="333">
        <f ca="1">IF($E$18="SAC",Sim_SAC!D213,Sim_PRICE!D213)</f>
        <v>842.74931039701278</v>
      </c>
      <c r="E224" s="333">
        <f ca="1">IF($E$18="SAC",Sim_SAC!E213,Sim_PRICE!E213)</f>
        <v>974.21820281893861</v>
      </c>
      <c r="F224" s="333">
        <f ca="1">IF($E$18="SAC",Sim_SAC!G213,Sim_PRICE!F213)</f>
        <v>142424.63345709397</v>
      </c>
      <c r="G224" s="333">
        <f ca="1">IF($E$18="SAC",Sim_SAC!H213,Sim_PRICE!G213)</f>
        <v>29.909173025989734</v>
      </c>
      <c r="H224" s="333">
        <f>IF($E$18="SAC",Sim_SAC!I213,Sim_PRICE!H213)</f>
        <v>34.369999999999997</v>
      </c>
      <c r="I224" s="333">
        <f>IF($E$18="SAC",Sim_SAC!J213,Sim_PRICE!I213)</f>
        <v>25</v>
      </c>
      <c r="J224" s="333">
        <f ca="1">IF($E$18="SAC",Sim_SAC!K213,Sim_PRICE!J213)</f>
        <v>1906.246686241941</v>
      </c>
      <c r="L224" s="339"/>
      <c r="M224" s="335">
        <f t="shared" ca="1" si="10"/>
        <v>1906.246686241941</v>
      </c>
      <c r="N224" s="336">
        <f t="shared" ca="1" si="8"/>
        <v>13.978753622482898</v>
      </c>
    </row>
    <row r="225" spans="2:14" ht="22.2" customHeight="1" thickTop="1" thickBot="1">
      <c r="B225" s="337">
        <f>Sim_SAC!C214</f>
        <v>50601</v>
      </c>
      <c r="C225" s="338">
        <f t="shared" ca="1" si="9"/>
        <v>1811.2368179052517</v>
      </c>
      <c r="D225" s="338">
        <f ca="1">IF($E$18="SAC",Sim_SAC!D214,Sim_PRICE!D214)</f>
        <v>842.74931039701278</v>
      </c>
      <c r="E225" s="338">
        <f ca="1">IF($E$18="SAC",Sim_SAC!E214,Sim_PRICE!E214)</f>
        <v>968.48750750823888</v>
      </c>
      <c r="F225" s="338">
        <f ca="1">IF($E$18="SAC",Sim_SAC!G214,Sim_PRICE!F214)</f>
        <v>141581.88414669695</v>
      </c>
      <c r="G225" s="338">
        <f ca="1">IF($E$18="SAC",Sim_SAC!H214,Sim_PRICE!G214)</f>
        <v>29.732195670806359</v>
      </c>
      <c r="H225" s="338">
        <f>IF($E$18="SAC",Sim_SAC!I214,Sim_PRICE!H214)</f>
        <v>34.369999999999997</v>
      </c>
      <c r="I225" s="338">
        <f>IF($E$18="SAC",Sim_SAC!J214,Sim_PRICE!I214)</f>
        <v>25</v>
      </c>
      <c r="J225" s="338">
        <f ca="1">IF($E$18="SAC",Sim_SAC!K214,Sim_PRICE!J214)</f>
        <v>1900.3390135760578</v>
      </c>
      <c r="L225" s="335"/>
      <c r="M225" s="335">
        <f t="shared" ca="1" si="10"/>
        <v>1900.3390135760578</v>
      </c>
      <c r="N225" s="336">
        <f t="shared" ref="N225:N288" ca="1" si="11">IFERROR((G225+H225)/((1.008)^(12*(B225-$B$32)/365)),"")</f>
        <v>13.831139054687537</v>
      </c>
    </row>
    <row r="226" spans="2:14" ht="22.2" customHeight="1" thickTop="1" thickBot="1">
      <c r="B226" s="332">
        <f>Sim_SAC!C215</f>
        <v>50632</v>
      </c>
      <c r="C226" s="333">
        <f t="shared" ca="1" si="9"/>
        <v>1805.5061225945519</v>
      </c>
      <c r="D226" s="333">
        <f ca="1">IF($E$18="SAC",Sim_SAC!D215,Sim_PRICE!D215)</f>
        <v>842.74931039701278</v>
      </c>
      <c r="E226" s="333">
        <f ca="1">IF($E$18="SAC",Sim_SAC!E215,Sim_PRICE!E215)</f>
        <v>962.75681219753915</v>
      </c>
      <c r="F226" s="333">
        <f ca="1">IF($E$18="SAC",Sim_SAC!G215,Sim_PRICE!F215)</f>
        <v>140739.13483629993</v>
      </c>
      <c r="G226" s="333">
        <f ca="1">IF($E$18="SAC",Sim_SAC!H215,Sim_PRICE!G215)</f>
        <v>29.555218315622987</v>
      </c>
      <c r="H226" s="333">
        <f>IF($E$18="SAC",Sim_SAC!I215,Sim_PRICE!H215)</f>
        <v>34.369999999999997</v>
      </c>
      <c r="I226" s="333">
        <f>IF($E$18="SAC",Sim_SAC!J215,Sim_PRICE!I215)</f>
        <v>25</v>
      </c>
      <c r="J226" s="333">
        <f ca="1">IF($E$18="SAC",Sim_SAC!K215,Sim_PRICE!J215)</f>
        <v>1894.4313409101749</v>
      </c>
      <c r="L226" s="339"/>
      <c r="M226" s="335">
        <f t="shared" ca="1" si="10"/>
        <v>1894.4313409101749</v>
      </c>
      <c r="N226" s="336">
        <f t="shared" ca="1" si="11"/>
        <v>13.681394426382308</v>
      </c>
    </row>
    <row r="227" spans="2:14" ht="22.2" customHeight="1" thickTop="1" thickBot="1">
      <c r="B227" s="337">
        <f>Sim_SAC!C216</f>
        <v>50663</v>
      </c>
      <c r="C227" s="338">
        <f t="shared" ca="1" si="9"/>
        <v>1799.7754272838522</v>
      </c>
      <c r="D227" s="338">
        <f ca="1">IF($E$18="SAC",Sim_SAC!D216,Sim_PRICE!D216)</f>
        <v>842.74931039701278</v>
      </c>
      <c r="E227" s="338">
        <f ca="1">IF($E$18="SAC",Sim_SAC!E216,Sim_PRICE!E216)</f>
        <v>957.02611688683942</v>
      </c>
      <c r="F227" s="338">
        <f ca="1">IF($E$18="SAC",Sim_SAC!G216,Sim_PRICE!F216)</f>
        <v>139896.38552590291</v>
      </c>
      <c r="G227" s="338">
        <f ca="1">IF($E$18="SAC",Sim_SAC!H216,Sim_PRICE!G216)</f>
        <v>29.378240960439612</v>
      </c>
      <c r="H227" s="338">
        <f>IF($E$18="SAC",Sim_SAC!I216,Sim_PRICE!H216)</f>
        <v>34.369999999999997</v>
      </c>
      <c r="I227" s="338">
        <f>IF($E$18="SAC",Sim_SAC!J216,Sim_PRICE!I216)</f>
        <v>25</v>
      </c>
      <c r="J227" s="338">
        <f ca="1">IF($E$18="SAC",Sim_SAC!K216,Sim_PRICE!J216)</f>
        <v>1888.5236682442917</v>
      </c>
      <c r="L227" s="335"/>
      <c r="M227" s="335">
        <f t="shared" ca="1" si="10"/>
        <v>1888.5236682442917</v>
      </c>
      <c r="N227" s="336">
        <f t="shared" ca="1" si="11"/>
        <v>13.533167300338377</v>
      </c>
    </row>
    <row r="228" spans="2:14" ht="22.2" customHeight="1" thickTop="1" thickBot="1">
      <c r="B228" s="332">
        <f>Sim_SAC!C217</f>
        <v>50693</v>
      </c>
      <c r="C228" s="333">
        <f t="shared" ca="1" si="9"/>
        <v>1794.0447319731525</v>
      </c>
      <c r="D228" s="333">
        <f ca="1">IF($E$18="SAC",Sim_SAC!D217,Sim_PRICE!D217)</f>
        <v>842.74931039701278</v>
      </c>
      <c r="E228" s="333">
        <f ca="1">IF($E$18="SAC",Sim_SAC!E217,Sim_PRICE!E217)</f>
        <v>951.29542157613969</v>
      </c>
      <c r="F228" s="333">
        <f ca="1">IF($E$18="SAC",Sim_SAC!G217,Sim_PRICE!F217)</f>
        <v>139053.63621550589</v>
      </c>
      <c r="G228" s="333">
        <f ca="1">IF($E$18="SAC",Sim_SAC!H217,Sim_PRICE!G217)</f>
        <v>29.201263605256237</v>
      </c>
      <c r="H228" s="333">
        <f>IF($E$18="SAC",Sim_SAC!I217,Sim_PRICE!H217)</f>
        <v>34.369999999999997</v>
      </c>
      <c r="I228" s="333">
        <f>IF($E$18="SAC",Sim_SAC!J217,Sim_PRICE!I217)</f>
        <v>25</v>
      </c>
      <c r="J228" s="333">
        <f ca="1">IF($E$18="SAC",Sim_SAC!K217,Sim_PRICE!J217)</f>
        <v>1882.6159955784085</v>
      </c>
      <c r="L228" s="339"/>
      <c r="M228" s="335">
        <f t="shared" ca="1" si="10"/>
        <v>1882.6159955784085</v>
      </c>
      <c r="N228" s="336">
        <f t="shared" ca="1" si="11"/>
        <v>13.38995019366692</v>
      </c>
    </row>
    <row r="229" spans="2:14" ht="22.2" customHeight="1" thickTop="1" thickBot="1">
      <c r="B229" s="337">
        <f>Sim_SAC!C218</f>
        <v>50724</v>
      </c>
      <c r="C229" s="338">
        <f t="shared" ca="1" si="9"/>
        <v>1788.3140366624527</v>
      </c>
      <c r="D229" s="338">
        <f ca="1">IF($E$18="SAC",Sim_SAC!D218,Sim_PRICE!D218)</f>
        <v>842.74931039701278</v>
      </c>
      <c r="E229" s="338">
        <f ca="1">IF($E$18="SAC",Sim_SAC!E218,Sim_PRICE!E218)</f>
        <v>945.56472626543996</v>
      </c>
      <c r="F229" s="338">
        <f ca="1">IF($E$18="SAC",Sim_SAC!G218,Sim_PRICE!F218)</f>
        <v>138210.88690510887</v>
      </c>
      <c r="G229" s="338">
        <f ca="1">IF($E$18="SAC",Sim_SAC!H218,Sim_PRICE!G218)</f>
        <v>29.024286250072866</v>
      </c>
      <c r="H229" s="338">
        <f>IF($E$18="SAC",Sim_SAC!I218,Sim_PRICE!H218)</f>
        <v>34.369999999999997</v>
      </c>
      <c r="I229" s="338">
        <f>IF($E$18="SAC",Sim_SAC!J218,Sim_PRICE!I218)</f>
        <v>25</v>
      </c>
      <c r="J229" s="338">
        <f ca="1">IF($E$18="SAC",Sim_SAC!K218,Sim_PRICE!J218)</f>
        <v>1876.7083229125255</v>
      </c>
      <c r="L229" s="335"/>
      <c r="M229" s="335">
        <f t="shared" ca="1" si="10"/>
        <v>1876.7083229125255</v>
      </c>
      <c r="N229" s="336">
        <f t="shared" ca="1" si="11"/>
        <v>13.244675904820145</v>
      </c>
    </row>
    <row r="230" spans="2:14" ht="22.2" customHeight="1" thickTop="1" thickBot="1">
      <c r="B230" s="332">
        <f>Sim_SAC!C219</f>
        <v>50754</v>
      </c>
      <c r="C230" s="333">
        <f t="shared" ca="1" si="9"/>
        <v>1782.583341351753</v>
      </c>
      <c r="D230" s="333">
        <f ca="1">IF($E$18="SAC",Sim_SAC!D219,Sim_PRICE!D219)</f>
        <v>842.74931039701278</v>
      </c>
      <c r="E230" s="333">
        <f ca="1">IF($E$18="SAC",Sim_SAC!E219,Sim_PRICE!E219)</f>
        <v>939.83403095474023</v>
      </c>
      <c r="F230" s="333">
        <f ca="1">IF($E$18="SAC",Sim_SAC!G219,Sim_PRICE!F219)</f>
        <v>137368.13759471185</v>
      </c>
      <c r="G230" s="333">
        <f ca="1">IF($E$18="SAC",Sim_SAC!H219,Sim_PRICE!G219)</f>
        <v>28.84730889488949</v>
      </c>
      <c r="H230" s="333">
        <f>IF($E$18="SAC",Sim_SAC!I219,Sim_PRICE!H219)</f>
        <v>34.369999999999997</v>
      </c>
      <c r="I230" s="333">
        <f>IF($E$18="SAC",Sim_SAC!J219,Sim_PRICE!I219)</f>
        <v>25</v>
      </c>
      <c r="J230" s="333">
        <f ca="1">IF($E$18="SAC",Sim_SAC!K219,Sim_PRICE!J219)</f>
        <v>1870.8006502466424</v>
      </c>
      <c r="L230" s="339"/>
      <c r="M230" s="335">
        <f t="shared" ca="1" si="10"/>
        <v>1870.8006502466424</v>
      </c>
      <c r="N230" s="336">
        <f t="shared" ca="1" si="11"/>
        <v>13.104308116115357</v>
      </c>
    </row>
    <row r="231" spans="2:14" ht="22.2" customHeight="1" thickTop="1" thickBot="1">
      <c r="B231" s="337">
        <f>Sim_SAC!C220</f>
        <v>50785</v>
      </c>
      <c r="C231" s="338">
        <f t="shared" ca="1" si="9"/>
        <v>1776.8526460410533</v>
      </c>
      <c r="D231" s="338">
        <f ca="1">IF($E$18="SAC",Sim_SAC!D220,Sim_PRICE!D220)</f>
        <v>842.74931039701278</v>
      </c>
      <c r="E231" s="338">
        <f ca="1">IF($E$18="SAC",Sim_SAC!E220,Sim_PRICE!E220)</f>
        <v>934.1033356440405</v>
      </c>
      <c r="F231" s="338">
        <f ca="1">IF($E$18="SAC",Sim_SAC!G220,Sim_PRICE!F220)</f>
        <v>136525.38828431483</v>
      </c>
      <c r="G231" s="338">
        <f ca="1">IF($E$18="SAC",Sim_SAC!H220,Sim_PRICE!G220)</f>
        <v>28.670331539706115</v>
      </c>
      <c r="H231" s="338">
        <f>IF($E$18="SAC",Sim_SAC!I220,Sim_PRICE!H220)</f>
        <v>34.369999999999997</v>
      </c>
      <c r="I231" s="338">
        <f>IF($E$18="SAC",Sim_SAC!J220,Sim_PRICE!I220)</f>
        <v>25</v>
      </c>
      <c r="J231" s="338">
        <f ca="1">IF($E$18="SAC",Sim_SAC!K220,Sim_PRICE!J220)</f>
        <v>1864.8929775807592</v>
      </c>
      <c r="L231" s="335"/>
      <c r="M231" s="335">
        <f t="shared" ca="1" si="10"/>
        <v>1864.8929775807592</v>
      </c>
      <c r="N231" s="336">
        <f t="shared" ca="1" si="11"/>
        <v>12.961930293899252</v>
      </c>
    </row>
    <row r="232" spans="2:14" ht="22.2" customHeight="1" thickTop="1" thickBot="1">
      <c r="B232" s="332">
        <f>Sim_SAC!C221</f>
        <v>50816</v>
      </c>
      <c r="C232" s="333">
        <f t="shared" ca="1" si="9"/>
        <v>1771.1219507303535</v>
      </c>
      <c r="D232" s="333">
        <f ca="1">IF($E$18="SAC",Sim_SAC!D221,Sim_PRICE!D221)</f>
        <v>842.74931039701278</v>
      </c>
      <c r="E232" s="333">
        <f ca="1">IF($E$18="SAC",Sim_SAC!E221,Sim_PRICE!E221)</f>
        <v>928.37264033334077</v>
      </c>
      <c r="F232" s="333">
        <f ca="1">IF($E$18="SAC",Sim_SAC!G221,Sim_PRICE!F221)</f>
        <v>135682.63897391781</v>
      </c>
      <c r="G232" s="333">
        <f ca="1">IF($E$18="SAC",Sim_SAC!H221,Sim_PRICE!G221)</f>
        <v>28.49335418452274</v>
      </c>
      <c r="H232" s="333">
        <f>IF($E$18="SAC",Sim_SAC!I221,Sim_PRICE!H221)</f>
        <v>34.369999999999997</v>
      </c>
      <c r="I232" s="333">
        <f>IF($E$18="SAC",Sim_SAC!J221,Sim_PRICE!I221)</f>
        <v>25</v>
      </c>
      <c r="J232" s="333">
        <f ca="1">IF($E$18="SAC",Sim_SAC!K221,Sim_PRICE!J221)</f>
        <v>1858.9853049148762</v>
      </c>
      <c r="L232" s="339"/>
      <c r="M232" s="335">
        <f t="shared" ca="1" si="10"/>
        <v>1858.9853049148762</v>
      </c>
      <c r="N232" s="336">
        <f t="shared" ca="1" si="11"/>
        <v>12.820998354384804</v>
      </c>
    </row>
    <row r="233" spans="2:14" ht="22.2" customHeight="1" thickTop="1" thickBot="1">
      <c r="B233" s="337">
        <f>Sim_SAC!C222</f>
        <v>50844</v>
      </c>
      <c r="C233" s="338">
        <f t="shared" ca="1" si="9"/>
        <v>1765.3912554196538</v>
      </c>
      <c r="D233" s="338">
        <f ca="1">IF($E$18="SAC",Sim_SAC!D222,Sim_PRICE!D222)</f>
        <v>842.74931039701278</v>
      </c>
      <c r="E233" s="338">
        <f ca="1">IF($E$18="SAC",Sim_SAC!E222,Sim_PRICE!E222)</f>
        <v>922.64194502264104</v>
      </c>
      <c r="F233" s="338">
        <f ca="1">IF($E$18="SAC",Sim_SAC!G222,Sim_PRICE!F222)</f>
        <v>134839.88966352079</v>
      </c>
      <c r="G233" s="338">
        <f ca="1">IF($E$18="SAC",Sim_SAC!H222,Sim_PRICE!G222)</f>
        <v>28.316376829339369</v>
      </c>
      <c r="H233" s="338">
        <f>IF($E$18="SAC",Sim_SAC!I222,Sim_PRICE!H222)</f>
        <v>34.369999999999997</v>
      </c>
      <c r="I233" s="338">
        <f>IF($E$18="SAC",Sim_SAC!J222,Sim_PRICE!I222)</f>
        <v>25</v>
      </c>
      <c r="J233" s="338">
        <f ca="1">IF($E$18="SAC",Sim_SAC!K222,Sim_PRICE!J222)</f>
        <v>1853.077632248993</v>
      </c>
      <c r="L233" s="335"/>
      <c r="M233" s="335">
        <f t="shared" ca="1" si="10"/>
        <v>1853.077632248993</v>
      </c>
      <c r="N233" s="336">
        <f t="shared" ca="1" si="11"/>
        <v>12.691468550558096</v>
      </c>
    </row>
    <row r="234" spans="2:14" ht="22.2" customHeight="1" thickTop="1" thickBot="1">
      <c r="B234" s="332">
        <f>Sim_SAC!C223</f>
        <v>50875</v>
      </c>
      <c r="C234" s="333">
        <f t="shared" ca="1" si="9"/>
        <v>1759.6605601089541</v>
      </c>
      <c r="D234" s="333">
        <f ca="1">IF($E$18="SAC",Sim_SAC!D223,Sim_PRICE!D223)</f>
        <v>842.74931039701278</v>
      </c>
      <c r="E234" s="333">
        <f ca="1">IF($E$18="SAC",Sim_SAC!E223,Sim_PRICE!E223)</f>
        <v>916.91124971194131</v>
      </c>
      <c r="F234" s="333">
        <f ca="1">IF($E$18="SAC",Sim_SAC!G223,Sim_PRICE!F223)</f>
        <v>133997.14035312377</v>
      </c>
      <c r="G234" s="333">
        <f ca="1">IF($E$18="SAC",Sim_SAC!H223,Sim_PRICE!G223)</f>
        <v>28.139399474155994</v>
      </c>
      <c r="H234" s="333">
        <f>IF($E$18="SAC",Sim_SAC!I223,Sim_PRICE!H223)</f>
        <v>34.369999999999997</v>
      </c>
      <c r="I234" s="333">
        <f>IF($E$18="SAC",Sim_SAC!J223,Sim_PRICE!I223)</f>
        <v>25</v>
      </c>
      <c r="J234" s="333">
        <f ca="1">IF($E$18="SAC",Sim_SAC!K223,Sim_PRICE!J223)</f>
        <v>1847.1699595831101</v>
      </c>
      <c r="L234" s="339"/>
      <c r="M234" s="335">
        <f t="shared" ca="1" si="10"/>
        <v>1847.1699595831101</v>
      </c>
      <c r="N234" s="336">
        <f t="shared" ca="1" si="11"/>
        <v>12.553277723088483</v>
      </c>
    </row>
    <row r="235" spans="2:14" ht="22.2" customHeight="1" thickTop="1" thickBot="1">
      <c r="B235" s="337">
        <f>Sim_SAC!C224</f>
        <v>50905</v>
      </c>
      <c r="C235" s="338">
        <f t="shared" ca="1" si="9"/>
        <v>1753.9298647982544</v>
      </c>
      <c r="D235" s="338">
        <f ca="1">IF($E$18="SAC",Sim_SAC!D224,Sim_PRICE!D224)</f>
        <v>842.74931039701278</v>
      </c>
      <c r="E235" s="338">
        <f ca="1">IF($E$18="SAC",Sim_SAC!E224,Sim_PRICE!E224)</f>
        <v>911.18055440124158</v>
      </c>
      <c r="F235" s="338">
        <f ca="1">IF($E$18="SAC",Sim_SAC!G224,Sim_PRICE!F224)</f>
        <v>133154.39104272675</v>
      </c>
      <c r="G235" s="338">
        <f ca="1">IF($E$18="SAC",Sim_SAC!H224,Sim_PRICE!G224)</f>
        <v>27.962422118972619</v>
      </c>
      <c r="H235" s="338">
        <f>IF($E$18="SAC",Sim_SAC!I224,Sim_PRICE!H224)</f>
        <v>34.369999999999997</v>
      </c>
      <c r="I235" s="338">
        <f>IF($E$18="SAC",Sim_SAC!J224,Sim_PRICE!I224)</f>
        <v>25</v>
      </c>
      <c r="J235" s="338">
        <f ca="1">IF($E$18="SAC",Sim_SAC!K224,Sim_PRICE!J224)</f>
        <v>1841.2622869172269</v>
      </c>
      <c r="L235" s="335"/>
      <c r="M235" s="335">
        <f t="shared" ca="1" si="10"/>
        <v>1841.2622869172269</v>
      </c>
      <c r="N235" s="336">
        <f t="shared" ca="1" si="11"/>
        <v>12.419745195547103</v>
      </c>
    </row>
    <row r="236" spans="2:14" ht="22.2" customHeight="1" thickTop="1" thickBot="1">
      <c r="B236" s="332">
        <f>Sim_SAC!C225</f>
        <v>50936</v>
      </c>
      <c r="C236" s="333">
        <f t="shared" ca="1" si="9"/>
        <v>1748.1991694875546</v>
      </c>
      <c r="D236" s="333">
        <f ca="1">IF($E$18="SAC",Sim_SAC!D225,Sim_PRICE!D225)</f>
        <v>842.74931039701278</v>
      </c>
      <c r="E236" s="333">
        <f ca="1">IF($E$18="SAC",Sim_SAC!E225,Sim_PRICE!E225)</f>
        <v>905.44985909054185</v>
      </c>
      <c r="F236" s="333">
        <f ca="1">IF($E$18="SAC",Sim_SAC!G225,Sim_PRICE!F225)</f>
        <v>132311.64173232974</v>
      </c>
      <c r="G236" s="333">
        <f ca="1">IF($E$18="SAC",Sim_SAC!H225,Sim_PRICE!G225)</f>
        <v>27.785444763789247</v>
      </c>
      <c r="H236" s="333">
        <f>IF($E$18="SAC",Sim_SAC!I225,Sim_PRICE!H225)</f>
        <v>34.369999999999997</v>
      </c>
      <c r="I236" s="333">
        <f>IF($E$18="SAC",Sim_SAC!J225,Sim_PRICE!I225)</f>
        <v>25</v>
      </c>
      <c r="J236" s="333">
        <f ca="1">IF($E$18="SAC",Sim_SAC!K225,Sim_PRICE!J225)</f>
        <v>1835.3546142513437</v>
      </c>
      <c r="L236" s="339"/>
      <c r="M236" s="335">
        <f t="shared" ca="1" si="10"/>
        <v>1835.3546142513437</v>
      </c>
      <c r="N236" s="336">
        <f t="shared" ca="1" si="11"/>
        <v>12.284315524354668</v>
      </c>
    </row>
    <row r="237" spans="2:14" ht="22.2" customHeight="1" thickTop="1" thickBot="1">
      <c r="B237" s="337">
        <f>Sim_SAC!C226</f>
        <v>50966</v>
      </c>
      <c r="C237" s="338">
        <f t="shared" ca="1" si="9"/>
        <v>1742.4684741768549</v>
      </c>
      <c r="D237" s="338">
        <f ca="1">IF($E$18="SAC",Sim_SAC!D226,Sim_PRICE!D226)</f>
        <v>842.74931039701278</v>
      </c>
      <c r="E237" s="338">
        <f ca="1">IF($E$18="SAC",Sim_SAC!E226,Sim_PRICE!E226)</f>
        <v>899.71916377984212</v>
      </c>
      <c r="F237" s="338">
        <f ca="1">IF($E$18="SAC",Sim_SAC!G226,Sim_PRICE!F226)</f>
        <v>131468.89242193272</v>
      </c>
      <c r="G237" s="338">
        <f ca="1">IF($E$18="SAC",Sim_SAC!H226,Sim_PRICE!G226)</f>
        <v>27.608467408605872</v>
      </c>
      <c r="H237" s="338">
        <f>IF($E$18="SAC",Sim_SAC!I226,Sim_PRICE!H226)</f>
        <v>34.369999999999997</v>
      </c>
      <c r="I237" s="338">
        <f>IF($E$18="SAC",Sim_SAC!J226,Sim_PRICE!I226)</f>
        <v>25</v>
      </c>
      <c r="J237" s="338">
        <f ca="1">IF($E$18="SAC",Sim_SAC!K226,Sim_PRICE!J226)</f>
        <v>1829.4469415854608</v>
      </c>
      <c r="L237" s="335"/>
      <c r="M237" s="335">
        <f t="shared" ca="1" si="10"/>
        <v>1829.4469415854608</v>
      </c>
      <c r="N237" s="336">
        <f t="shared" ca="1" si="11"/>
        <v>12.153447511374202</v>
      </c>
    </row>
    <row r="238" spans="2:14" ht="22.2" customHeight="1" thickTop="1" thickBot="1">
      <c r="B238" s="332">
        <f>Sim_SAC!C227</f>
        <v>50997</v>
      </c>
      <c r="C238" s="333">
        <f t="shared" ca="1" si="9"/>
        <v>1736.7377788661552</v>
      </c>
      <c r="D238" s="333">
        <f ca="1">IF($E$18="SAC",Sim_SAC!D227,Sim_PRICE!D227)</f>
        <v>842.74931039701278</v>
      </c>
      <c r="E238" s="333">
        <f ca="1">IF($E$18="SAC",Sim_SAC!E227,Sim_PRICE!E227)</f>
        <v>893.98846846914239</v>
      </c>
      <c r="F238" s="333">
        <f ca="1">IF($E$18="SAC",Sim_SAC!G227,Sim_PRICE!F227)</f>
        <v>130626.1431115357</v>
      </c>
      <c r="G238" s="333">
        <f ca="1">IF($E$18="SAC",Sim_SAC!H227,Sim_PRICE!G227)</f>
        <v>27.431490053422497</v>
      </c>
      <c r="H238" s="333">
        <f>IF($E$18="SAC",Sim_SAC!I227,Sim_PRICE!H227)</f>
        <v>34.369999999999997</v>
      </c>
      <c r="I238" s="333">
        <f>IF($E$18="SAC",Sim_SAC!J227,Sim_PRICE!I227)</f>
        <v>25</v>
      </c>
      <c r="J238" s="333">
        <f ca="1">IF($E$18="SAC",Sim_SAC!K227,Sim_PRICE!J227)</f>
        <v>1823.5392689195776</v>
      </c>
      <c r="L238" s="339"/>
      <c r="M238" s="335">
        <f t="shared" ca="1" si="10"/>
        <v>1823.5392689195776</v>
      </c>
      <c r="N238" s="336">
        <f t="shared" ca="1" si="11"/>
        <v>12.020726181028996</v>
      </c>
    </row>
    <row r="239" spans="2:14" ht="22.2" customHeight="1" thickTop="1" thickBot="1">
      <c r="B239" s="337">
        <f>Sim_SAC!C228</f>
        <v>51028</v>
      </c>
      <c r="C239" s="338">
        <f t="shared" ca="1" si="9"/>
        <v>1731.0070835554554</v>
      </c>
      <c r="D239" s="338">
        <f ca="1">IF($E$18="SAC",Sim_SAC!D228,Sim_PRICE!D228)</f>
        <v>842.74931039701278</v>
      </c>
      <c r="E239" s="338">
        <f ca="1">IF($E$18="SAC",Sim_SAC!E228,Sim_PRICE!E228)</f>
        <v>888.25777315844266</v>
      </c>
      <c r="F239" s="338">
        <f ca="1">IF($E$18="SAC",Sim_SAC!G228,Sim_PRICE!F228)</f>
        <v>129783.39380113868</v>
      </c>
      <c r="G239" s="338">
        <f ca="1">IF($E$18="SAC",Sim_SAC!H228,Sim_PRICE!G228)</f>
        <v>27.254512698239125</v>
      </c>
      <c r="H239" s="338">
        <f>IF($E$18="SAC",Sim_SAC!I228,Sim_PRICE!H228)</f>
        <v>34.369999999999997</v>
      </c>
      <c r="I239" s="338">
        <f>IF($E$18="SAC",Sim_SAC!J228,Sim_PRICE!I228)</f>
        <v>25</v>
      </c>
      <c r="J239" s="338">
        <f ca="1">IF($E$18="SAC",Sim_SAC!K228,Sim_PRICE!J228)</f>
        <v>1817.6315962536944</v>
      </c>
      <c r="L239" s="335"/>
      <c r="M239" s="335">
        <f t="shared" ca="1" si="10"/>
        <v>1817.6315962536944</v>
      </c>
      <c r="N239" s="336">
        <f t="shared" ca="1" si="11"/>
        <v>11.889356730842488</v>
      </c>
    </row>
    <row r="240" spans="2:14" ht="22.2" customHeight="1" thickTop="1" thickBot="1">
      <c r="B240" s="332">
        <f>Sim_SAC!C229</f>
        <v>51058</v>
      </c>
      <c r="C240" s="333">
        <f t="shared" ca="1" si="9"/>
        <v>1725.2763882447557</v>
      </c>
      <c r="D240" s="333">
        <f ca="1">IF($E$18="SAC",Sim_SAC!D229,Sim_PRICE!D229)</f>
        <v>842.74931039701278</v>
      </c>
      <c r="E240" s="333">
        <f ca="1">IF($E$18="SAC",Sim_SAC!E229,Sim_PRICE!E229)</f>
        <v>882.52707784774293</v>
      </c>
      <c r="F240" s="333">
        <f ca="1">IF($E$18="SAC",Sim_SAC!G229,Sim_PRICE!F229)</f>
        <v>128940.64449074166</v>
      </c>
      <c r="G240" s="333">
        <f ca="1">IF($E$18="SAC",Sim_SAC!H229,Sim_PRICE!G229)</f>
        <v>27.07753534305575</v>
      </c>
      <c r="H240" s="333">
        <f>IF($E$18="SAC",Sim_SAC!I229,Sim_PRICE!H229)</f>
        <v>34.369999999999997</v>
      </c>
      <c r="I240" s="333">
        <f>IF($E$18="SAC",Sim_SAC!J229,Sim_PRICE!I229)</f>
        <v>25</v>
      </c>
      <c r="J240" s="333">
        <f ca="1">IF($E$18="SAC",Sim_SAC!K229,Sim_PRICE!J229)</f>
        <v>1811.7239235878114</v>
      </c>
      <c r="L240" s="339"/>
      <c r="M240" s="335">
        <f t="shared" ca="1" si="10"/>
        <v>1811.7239235878114</v>
      </c>
      <c r="N240" s="336">
        <f t="shared" ca="1" si="11"/>
        <v>11.762406936299701</v>
      </c>
    </row>
    <row r="241" spans="2:14" ht="22.2" customHeight="1" thickTop="1" thickBot="1">
      <c r="B241" s="337">
        <f>Sim_SAC!C230</f>
        <v>51089</v>
      </c>
      <c r="C241" s="338">
        <f t="shared" ca="1" si="9"/>
        <v>1719.545692934056</v>
      </c>
      <c r="D241" s="338">
        <f ca="1">IF($E$18="SAC",Sim_SAC!D230,Sim_PRICE!D230)</f>
        <v>842.74931039701278</v>
      </c>
      <c r="E241" s="338">
        <f ca="1">IF($E$18="SAC",Sim_SAC!E230,Sim_PRICE!E230)</f>
        <v>876.7963825370432</v>
      </c>
      <c r="F241" s="338">
        <f ca="1">IF($E$18="SAC",Sim_SAC!G230,Sim_PRICE!F230)</f>
        <v>128097.89518034464</v>
      </c>
      <c r="G241" s="338">
        <f ca="1">IF($E$18="SAC",Sim_SAC!H230,Sim_PRICE!G230)</f>
        <v>26.900557987872375</v>
      </c>
      <c r="H241" s="338">
        <f>IF($E$18="SAC",Sim_SAC!I230,Sim_PRICE!H230)</f>
        <v>34.369999999999997</v>
      </c>
      <c r="I241" s="338">
        <f>IF($E$18="SAC",Sim_SAC!J230,Sim_PRICE!I230)</f>
        <v>25</v>
      </c>
      <c r="J241" s="338">
        <f ca="1">IF($E$18="SAC",Sim_SAC!K230,Sim_PRICE!J230)</f>
        <v>1805.8162509219283</v>
      </c>
      <c r="L241" s="335"/>
      <c r="M241" s="335">
        <f t="shared" ca="1" si="10"/>
        <v>1805.8162509219283</v>
      </c>
      <c r="N241" s="336">
        <f t="shared" ca="1" si="11"/>
        <v>11.633668092343504</v>
      </c>
    </row>
    <row r="242" spans="2:14" ht="22.2" customHeight="1" thickTop="1" thickBot="1">
      <c r="B242" s="332">
        <f>Sim_SAC!C231</f>
        <v>51119</v>
      </c>
      <c r="C242" s="333">
        <f t="shared" ca="1" si="9"/>
        <v>1713.8149976233562</v>
      </c>
      <c r="D242" s="333">
        <f ca="1">IF($E$18="SAC",Sim_SAC!D231,Sim_PRICE!D231)</f>
        <v>842.74931039701278</v>
      </c>
      <c r="E242" s="333">
        <f ca="1">IF($E$18="SAC",Sim_SAC!E231,Sim_PRICE!E231)</f>
        <v>871.06568722634347</v>
      </c>
      <c r="F242" s="333">
        <f ca="1">IF($E$18="SAC",Sim_SAC!G231,Sim_PRICE!F231)</f>
        <v>127255.14586994762</v>
      </c>
      <c r="G242" s="333">
        <f ca="1">IF($E$18="SAC",Sim_SAC!H231,Sim_PRICE!G231)</f>
        <v>26.723580632689</v>
      </c>
      <c r="H242" s="333">
        <f>IF($E$18="SAC",Sim_SAC!I231,Sim_PRICE!H231)</f>
        <v>34.369999999999997</v>
      </c>
      <c r="I242" s="333">
        <f>IF($E$18="SAC",Sim_SAC!J231,Sim_PRICE!I231)</f>
        <v>25</v>
      </c>
      <c r="J242" s="333">
        <f ca="1">IF($E$18="SAC",Sim_SAC!K231,Sim_PRICE!J231)</f>
        <v>1799.9085782560451</v>
      </c>
      <c r="L242" s="339"/>
      <c r="M242" s="335">
        <f t="shared" ca="1" si="10"/>
        <v>1799.9085782560451</v>
      </c>
      <c r="N242" s="336">
        <f t="shared" ca="1" si="11"/>
        <v>11.509256941069246</v>
      </c>
    </row>
    <row r="243" spans="2:14" ht="22.2" customHeight="1" thickTop="1" thickBot="1">
      <c r="B243" s="337">
        <f>Sim_SAC!C232</f>
        <v>51150</v>
      </c>
      <c r="C243" s="338">
        <f t="shared" ca="1" si="9"/>
        <v>1708.0843023126565</v>
      </c>
      <c r="D243" s="338">
        <f ca="1">IF($E$18="SAC",Sim_SAC!D232,Sim_PRICE!D232)</f>
        <v>842.74931039701278</v>
      </c>
      <c r="E243" s="338">
        <f ca="1">IF($E$18="SAC",Sim_SAC!E232,Sim_PRICE!E232)</f>
        <v>865.33499191564374</v>
      </c>
      <c r="F243" s="338">
        <f ca="1">IF($E$18="SAC",Sim_SAC!G232,Sim_PRICE!F232)</f>
        <v>126412.3965595506</v>
      </c>
      <c r="G243" s="338">
        <f ca="1">IF($E$18="SAC",Sim_SAC!H232,Sim_PRICE!G232)</f>
        <v>26.546603277505628</v>
      </c>
      <c r="H243" s="338">
        <f>IF($E$18="SAC",Sim_SAC!I232,Sim_PRICE!H232)</f>
        <v>34.369999999999997</v>
      </c>
      <c r="I243" s="338">
        <f>IF($E$18="SAC",Sim_SAC!J232,Sim_PRICE!I232)</f>
        <v>25</v>
      </c>
      <c r="J243" s="338">
        <f ca="1">IF($E$18="SAC",Sim_SAC!K232,Sim_PRICE!J232)</f>
        <v>1794.0009055901621</v>
      </c>
      <c r="L243" s="335"/>
      <c r="M243" s="335">
        <f t="shared" ca="1" si="10"/>
        <v>1794.0009055901621</v>
      </c>
      <c r="N243" s="336">
        <f t="shared" ca="1" si="11"/>
        <v>11.383098312800865</v>
      </c>
    </row>
    <row r="244" spans="2:14" ht="22.2" customHeight="1" thickTop="1" thickBot="1">
      <c r="B244" s="332">
        <f>Sim_SAC!C233</f>
        <v>51181</v>
      </c>
      <c r="C244" s="333">
        <f t="shared" ca="1" si="9"/>
        <v>1702.3536070019568</v>
      </c>
      <c r="D244" s="333">
        <f ca="1">IF($E$18="SAC",Sim_SAC!D233,Sim_PRICE!D233)</f>
        <v>842.74931039701278</v>
      </c>
      <c r="E244" s="333">
        <f ca="1">IF($E$18="SAC",Sim_SAC!E233,Sim_PRICE!E233)</f>
        <v>859.60429660494401</v>
      </c>
      <c r="F244" s="333">
        <f ca="1">IF($E$18="SAC",Sim_SAC!G233,Sim_PRICE!F233)</f>
        <v>125569.64724915358</v>
      </c>
      <c r="G244" s="333">
        <f ca="1">IF($E$18="SAC",Sim_SAC!H233,Sim_PRICE!G233)</f>
        <v>26.369625922322253</v>
      </c>
      <c r="H244" s="333">
        <f>IF($E$18="SAC",Sim_SAC!I233,Sim_PRICE!H233)</f>
        <v>34.369999999999997</v>
      </c>
      <c r="I244" s="333">
        <f>IF($E$18="SAC",Sim_SAC!J233,Sim_PRICE!I233)</f>
        <v>25</v>
      </c>
      <c r="J244" s="333">
        <f ca="1">IF($E$18="SAC",Sim_SAC!K233,Sim_PRICE!J233)</f>
        <v>1788.0932329242789</v>
      </c>
      <c r="L244" s="339"/>
      <c r="M244" s="335">
        <f t="shared" ca="1" si="10"/>
        <v>1788.0932329242789</v>
      </c>
      <c r="N244" s="336">
        <f t="shared" ca="1" si="11"/>
        <v>11.258227546363404</v>
      </c>
    </row>
    <row r="245" spans="2:14" ht="22.2" customHeight="1" thickTop="1" thickBot="1">
      <c r="B245" s="337">
        <f>Sim_SAC!C234</f>
        <v>51210</v>
      </c>
      <c r="C245" s="338">
        <f t="shared" ca="1" si="9"/>
        <v>1696.6229116912571</v>
      </c>
      <c r="D245" s="338">
        <f ca="1">IF($E$18="SAC",Sim_SAC!D234,Sim_PRICE!D234)</f>
        <v>842.74931039701278</v>
      </c>
      <c r="E245" s="338">
        <f ca="1">IF($E$18="SAC",Sim_SAC!E234,Sim_PRICE!E234)</f>
        <v>853.87360129424428</v>
      </c>
      <c r="F245" s="338">
        <f ca="1">IF($E$18="SAC",Sim_SAC!G234,Sim_PRICE!F234)</f>
        <v>124726.89793875656</v>
      </c>
      <c r="G245" s="338">
        <f ca="1">IF($E$18="SAC",Sim_SAC!H234,Sim_PRICE!G234)</f>
        <v>26.192648567138878</v>
      </c>
      <c r="H245" s="338">
        <f>IF($E$18="SAC",Sim_SAC!I234,Sim_PRICE!H234)</f>
        <v>34.369999999999997</v>
      </c>
      <c r="I245" s="338">
        <f>IF($E$18="SAC",Sim_SAC!J234,Sim_PRICE!I234)</f>
        <v>25</v>
      </c>
      <c r="J245" s="338">
        <f ca="1">IF($E$18="SAC",Sim_SAC!K234,Sim_PRICE!J234)</f>
        <v>1782.1855602583958</v>
      </c>
      <c r="L245" s="335"/>
      <c r="M245" s="335">
        <f t="shared" ca="1" si="10"/>
        <v>1782.1855602583958</v>
      </c>
      <c r="N245" s="336">
        <f t="shared" ca="1" si="11"/>
        <v>11.140467407791881</v>
      </c>
    </row>
    <row r="246" spans="2:14" ht="22.2" customHeight="1" thickTop="1" thickBot="1">
      <c r="B246" s="332">
        <f>Sim_SAC!C235</f>
        <v>51241</v>
      </c>
      <c r="C246" s="333">
        <f t="shared" ca="1" si="9"/>
        <v>1690.8922163805573</v>
      </c>
      <c r="D246" s="333">
        <f ca="1">IF($E$18="SAC",Sim_SAC!D235,Sim_PRICE!D235)</f>
        <v>842.74931039701278</v>
      </c>
      <c r="E246" s="333">
        <f ca="1">IF($E$18="SAC",Sim_SAC!E235,Sim_PRICE!E235)</f>
        <v>848.14290598354455</v>
      </c>
      <c r="F246" s="333">
        <f ca="1">IF($E$18="SAC",Sim_SAC!G235,Sim_PRICE!F235)</f>
        <v>123884.14862835954</v>
      </c>
      <c r="G246" s="333">
        <f ca="1">IF($E$18="SAC",Sim_SAC!H235,Sim_PRICE!G235)</f>
        <v>26.015671211955507</v>
      </c>
      <c r="H246" s="333">
        <f>IF($E$18="SAC",Sim_SAC!I235,Sim_PRICE!H235)</f>
        <v>34.369999999999997</v>
      </c>
      <c r="I246" s="333">
        <f>IF($E$18="SAC",Sim_SAC!J235,Sim_PRICE!I235)</f>
        <v>25</v>
      </c>
      <c r="J246" s="333">
        <f ca="1">IF($E$18="SAC",Sim_SAC!K235,Sim_PRICE!J235)</f>
        <v>1776.2778875925128</v>
      </c>
      <c r="L246" s="339"/>
      <c r="M246" s="335">
        <f t="shared" ca="1" si="10"/>
        <v>1776.2778875925128</v>
      </c>
      <c r="N246" s="336">
        <f t="shared" ca="1" si="11"/>
        <v>11.018070633936958</v>
      </c>
    </row>
    <row r="247" spans="2:14" ht="22.2" customHeight="1" thickTop="1" thickBot="1">
      <c r="B247" s="337">
        <f>Sim_SAC!C236</f>
        <v>51271</v>
      </c>
      <c r="C247" s="338">
        <f t="shared" ca="1" si="9"/>
        <v>1685.1615210698576</v>
      </c>
      <c r="D247" s="338">
        <f ca="1">IF($E$18="SAC",Sim_SAC!D236,Sim_PRICE!D236)</f>
        <v>842.74931039701278</v>
      </c>
      <c r="E247" s="338">
        <f ca="1">IF($E$18="SAC",Sim_SAC!E236,Sim_PRICE!E236)</f>
        <v>842.41221067284482</v>
      </c>
      <c r="F247" s="338">
        <f ca="1">IF($E$18="SAC",Sim_SAC!G236,Sim_PRICE!F236)</f>
        <v>123041.39931796252</v>
      </c>
      <c r="G247" s="338">
        <f ca="1">IF($E$18="SAC",Sim_SAC!H236,Sim_PRICE!G236)</f>
        <v>25.838693856772132</v>
      </c>
      <c r="H247" s="338">
        <f>IF($E$18="SAC",Sim_SAC!I236,Sim_PRICE!H236)</f>
        <v>34.369999999999997</v>
      </c>
      <c r="I247" s="338">
        <f>IF($E$18="SAC",Sim_SAC!J236,Sim_PRICE!I236)</f>
        <v>25</v>
      </c>
      <c r="J247" s="338">
        <f ca="1">IF($E$18="SAC",Sim_SAC!K236,Sim_PRICE!J236)</f>
        <v>1770.3702149266296</v>
      </c>
      <c r="L247" s="335"/>
      <c r="M247" s="335">
        <f t="shared" ca="1" si="10"/>
        <v>1770.3702149266296</v>
      </c>
      <c r="N247" s="336">
        <f t="shared" ca="1" si="11"/>
        <v>10.899780005750713</v>
      </c>
    </row>
    <row r="248" spans="2:14" ht="22.2" customHeight="1" thickTop="1" thickBot="1">
      <c r="B248" s="332">
        <f>Sim_SAC!C237</f>
        <v>51302</v>
      </c>
      <c r="C248" s="333">
        <f t="shared" ca="1" si="9"/>
        <v>1679.4308257591579</v>
      </c>
      <c r="D248" s="333">
        <f ca="1">IF($E$18="SAC",Sim_SAC!D237,Sim_PRICE!D237)</f>
        <v>842.74931039701278</v>
      </c>
      <c r="E248" s="333">
        <f ca="1">IF($E$18="SAC",Sim_SAC!E237,Sim_PRICE!E237)</f>
        <v>836.68151536214509</v>
      </c>
      <c r="F248" s="333">
        <f ca="1">IF($E$18="SAC",Sim_SAC!G237,Sim_PRICE!F237)</f>
        <v>122198.65000756551</v>
      </c>
      <c r="G248" s="333">
        <f ca="1">IF($E$18="SAC",Sim_SAC!H237,Sim_PRICE!G237)</f>
        <v>25.661716501588757</v>
      </c>
      <c r="H248" s="333">
        <f>IF($E$18="SAC",Sim_SAC!I237,Sim_PRICE!H237)</f>
        <v>34.369999999999997</v>
      </c>
      <c r="I248" s="333">
        <f>IF($E$18="SAC",Sim_SAC!J237,Sim_PRICE!I237)</f>
        <v>25</v>
      </c>
      <c r="J248" s="333">
        <f ca="1">IF($E$18="SAC",Sim_SAC!K237,Sim_PRICE!J237)</f>
        <v>1764.4625422607464</v>
      </c>
      <c r="L248" s="339"/>
      <c r="M248" s="335">
        <f t="shared" ca="1" si="10"/>
        <v>1764.4625422607464</v>
      </c>
      <c r="N248" s="336">
        <f t="shared" ca="1" si="11"/>
        <v>10.779841853545348</v>
      </c>
    </row>
    <row r="249" spans="2:14" ht="22.2" customHeight="1" thickTop="1" thickBot="1">
      <c r="B249" s="337">
        <f>Sim_SAC!C238</f>
        <v>51332</v>
      </c>
      <c r="C249" s="338">
        <f t="shared" ca="1" si="9"/>
        <v>1673.7001304484581</v>
      </c>
      <c r="D249" s="338">
        <f ca="1">IF($E$18="SAC",Sim_SAC!D238,Sim_PRICE!D238)</f>
        <v>842.74931039701278</v>
      </c>
      <c r="E249" s="338">
        <f ca="1">IF($E$18="SAC",Sim_SAC!E238,Sim_PRICE!E238)</f>
        <v>830.95082005144536</v>
      </c>
      <c r="F249" s="338">
        <f ca="1">IF($E$18="SAC",Sim_SAC!G238,Sim_PRICE!F238)</f>
        <v>121355.90069716849</v>
      </c>
      <c r="G249" s="338">
        <f ca="1">IF($E$18="SAC",Sim_SAC!H238,Sim_PRICE!G238)</f>
        <v>25.484739146405385</v>
      </c>
      <c r="H249" s="338">
        <f>IF($E$18="SAC",Sim_SAC!I238,Sim_PRICE!H238)</f>
        <v>34.369999999999997</v>
      </c>
      <c r="I249" s="338">
        <f>IF($E$18="SAC",Sim_SAC!J238,Sim_PRICE!I238)</f>
        <v>25</v>
      </c>
      <c r="J249" s="338">
        <f ca="1">IF($E$18="SAC",Sim_SAC!K238,Sim_PRICE!J238)</f>
        <v>1758.5548695948635</v>
      </c>
      <c r="L249" s="335"/>
      <c r="M249" s="335">
        <f t="shared" ca="1" si="10"/>
        <v>1758.5548695948635</v>
      </c>
      <c r="N249" s="336">
        <f t="shared" ca="1" si="11"/>
        <v>10.663924042551255</v>
      </c>
    </row>
    <row r="250" spans="2:14" ht="22.2" customHeight="1" thickTop="1" thickBot="1">
      <c r="B250" s="332">
        <f>Sim_SAC!C239</f>
        <v>51363</v>
      </c>
      <c r="C250" s="333">
        <f t="shared" ca="1" si="9"/>
        <v>1667.9694351377584</v>
      </c>
      <c r="D250" s="333">
        <f ca="1">IF($E$18="SAC",Sim_SAC!D239,Sim_PRICE!D239)</f>
        <v>842.74931039701278</v>
      </c>
      <c r="E250" s="333">
        <f ca="1">IF($E$18="SAC",Sim_SAC!E239,Sim_PRICE!E239)</f>
        <v>825.22012474074563</v>
      </c>
      <c r="F250" s="333">
        <f ca="1">IF($E$18="SAC",Sim_SAC!G239,Sim_PRICE!F239)</f>
        <v>120513.15138677147</v>
      </c>
      <c r="G250" s="333">
        <f ca="1">IF($E$18="SAC",Sim_SAC!H239,Sim_PRICE!G239)</f>
        <v>25.30776179122201</v>
      </c>
      <c r="H250" s="333">
        <f>IF($E$18="SAC",Sim_SAC!I239,Sim_PRICE!H239)</f>
        <v>34.369999999999997</v>
      </c>
      <c r="I250" s="333">
        <f>IF($E$18="SAC",Sim_SAC!J239,Sim_PRICE!I239)</f>
        <v>25</v>
      </c>
      <c r="J250" s="333">
        <f ca="1">IF($E$18="SAC",Sim_SAC!K239,Sim_PRICE!J239)</f>
        <v>1752.6471969289803</v>
      </c>
      <c r="L250" s="339"/>
      <c r="M250" s="335">
        <f t="shared" ca="1" si="10"/>
        <v>1752.6471969289803</v>
      </c>
      <c r="N250" s="336">
        <f t="shared" ca="1" si="11"/>
        <v>10.546397319404374</v>
      </c>
    </row>
    <row r="251" spans="2:14" ht="22.2" customHeight="1" thickTop="1" thickBot="1">
      <c r="B251" s="337">
        <f>Sim_SAC!C240</f>
        <v>51394</v>
      </c>
      <c r="C251" s="338">
        <f t="shared" ca="1" si="9"/>
        <v>1662.2387398270587</v>
      </c>
      <c r="D251" s="338">
        <f ca="1">IF($E$18="SAC",Sim_SAC!D240,Sim_PRICE!D240)</f>
        <v>842.74931039701278</v>
      </c>
      <c r="E251" s="338">
        <f ca="1">IF($E$18="SAC",Sim_SAC!E240,Sim_PRICE!E240)</f>
        <v>819.4894294300459</v>
      </c>
      <c r="F251" s="338">
        <f ca="1">IF($E$18="SAC",Sim_SAC!G240,Sim_PRICE!F240)</f>
        <v>119670.40207637445</v>
      </c>
      <c r="G251" s="338">
        <f ca="1">IF($E$18="SAC",Sim_SAC!H240,Sim_PRICE!G240)</f>
        <v>25.130784436038635</v>
      </c>
      <c r="H251" s="338">
        <f>IF($E$18="SAC",Sim_SAC!I240,Sim_PRICE!H240)</f>
        <v>34.369999999999997</v>
      </c>
      <c r="I251" s="338">
        <f>IF($E$18="SAC",Sim_SAC!J240,Sim_PRICE!I240)</f>
        <v>25</v>
      </c>
      <c r="J251" s="338">
        <f ca="1">IF($E$18="SAC",Sim_SAC!K240,Sim_PRICE!J240)</f>
        <v>1746.7395242630971</v>
      </c>
      <c r="L251" s="335"/>
      <c r="M251" s="335">
        <f t="shared" ca="1" si="10"/>
        <v>1746.7395242630971</v>
      </c>
      <c r="N251" s="336">
        <f t="shared" ca="1" si="11"/>
        <v>10.430074126120752</v>
      </c>
    </row>
    <row r="252" spans="2:14" ht="22.2" customHeight="1" thickTop="1" thickBot="1">
      <c r="B252" s="332">
        <f>Sim_SAC!C241</f>
        <v>51424</v>
      </c>
      <c r="C252" s="333">
        <f t="shared" ca="1" si="9"/>
        <v>1656.508044516359</v>
      </c>
      <c r="D252" s="333">
        <f ca="1">IF($E$18="SAC",Sim_SAC!D241,Sim_PRICE!D241)</f>
        <v>842.74931039701278</v>
      </c>
      <c r="E252" s="333">
        <f ca="1">IF($E$18="SAC",Sim_SAC!E241,Sim_PRICE!E241)</f>
        <v>813.75873411934617</v>
      </c>
      <c r="F252" s="333">
        <f ca="1">IF($E$18="SAC",Sim_SAC!G241,Sim_PRICE!F241)</f>
        <v>118827.65276597743</v>
      </c>
      <c r="G252" s="333">
        <f ca="1">IF($E$18="SAC",Sim_SAC!H241,Sim_PRICE!G241)</f>
        <v>24.95380708085526</v>
      </c>
      <c r="H252" s="333">
        <f>IF($E$18="SAC",Sim_SAC!I241,Sim_PRICE!H241)</f>
        <v>34.369999999999997</v>
      </c>
      <c r="I252" s="333">
        <f>IF($E$18="SAC",Sim_SAC!J241,Sim_PRICE!I241)</f>
        <v>25</v>
      </c>
      <c r="J252" s="333">
        <f ca="1">IF($E$18="SAC",Sim_SAC!K241,Sim_PRICE!J241)</f>
        <v>1740.8318515972142</v>
      </c>
      <c r="L252" s="339"/>
      <c r="M252" s="335">
        <f t="shared" ca="1" si="10"/>
        <v>1740.8318515972142</v>
      </c>
      <c r="N252" s="336">
        <f t="shared" ca="1" si="11"/>
        <v>10.317645213294528</v>
      </c>
    </row>
    <row r="253" spans="2:14" ht="22.2" customHeight="1" thickTop="1" thickBot="1">
      <c r="B253" s="337">
        <f>Sim_SAC!C242</f>
        <v>51455</v>
      </c>
      <c r="C253" s="338">
        <f t="shared" ca="1" si="9"/>
        <v>1650.7773492056592</v>
      </c>
      <c r="D253" s="338">
        <f ca="1">IF($E$18="SAC",Sim_SAC!D242,Sim_PRICE!D242)</f>
        <v>842.74931039701278</v>
      </c>
      <c r="E253" s="338">
        <f ca="1">IF($E$18="SAC",Sim_SAC!E242,Sim_PRICE!E242)</f>
        <v>808.02803880864644</v>
      </c>
      <c r="F253" s="338">
        <f ca="1">IF($E$18="SAC",Sim_SAC!G242,Sim_PRICE!F242)</f>
        <v>117984.90345558041</v>
      </c>
      <c r="G253" s="338">
        <f ca="1">IF($E$18="SAC",Sim_SAC!H242,Sim_PRICE!G242)</f>
        <v>24.776829725671888</v>
      </c>
      <c r="H253" s="338">
        <f>IF($E$18="SAC",Sim_SAC!I242,Sim_PRICE!H242)</f>
        <v>34.369999999999997</v>
      </c>
      <c r="I253" s="338">
        <f>IF($E$18="SAC",Sim_SAC!J242,Sim_PRICE!I242)</f>
        <v>25</v>
      </c>
      <c r="J253" s="338">
        <f ca="1">IF($E$18="SAC",Sim_SAC!K242,Sim_PRICE!J242)</f>
        <v>1734.924178931331</v>
      </c>
      <c r="L253" s="335"/>
      <c r="M253" s="335">
        <f t="shared" ca="1" si="10"/>
        <v>1734.924178931331</v>
      </c>
      <c r="N253" s="336">
        <f t="shared" ca="1" si="11"/>
        <v>10.203663995381691</v>
      </c>
    </row>
    <row r="254" spans="2:14" ht="22.2" customHeight="1" thickTop="1" thickBot="1">
      <c r="B254" s="332">
        <f>Sim_SAC!C243</f>
        <v>51485</v>
      </c>
      <c r="C254" s="333">
        <f t="shared" ca="1" si="9"/>
        <v>1645.0466538949595</v>
      </c>
      <c r="D254" s="333">
        <f ca="1">IF($E$18="SAC",Sim_SAC!D243,Sim_PRICE!D243)</f>
        <v>842.74931039701278</v>
      </c>
      <c r="E254" s="333">
        <f ca="1">IF($E$18="SAC",Sim_SAC!E243,Sim_PRICE!E243)</f>
        <v>802.29734349794671</v>
      </c>
      <c r="F254" s="333">
        <f ca="1">IF($E$18="SAC",Sim_SAC!G243,Sim_PRICE!F243)</f>
        <v>117142.15414518339</v>
      </c>
      <c r="G254" s="333">
        <f ca="1">IF($E$18="SAC",Sim_SAC!H243,Sim_PRICE!G243)</f>
        <v>24.599852370488513</v>
      </c>
      <c r="H254" s="333">
        <f>IF($E$18="SAC",Sim_SAC!I243,Sim_PRICE!H243)</f>
        <v>34.369999999999997</v>
      </c>
      <c r="I254" s="333">
        <f>IF($E$18="SAC",Sim_SAC!J243,Sim_PRICE!I243)</f>
        <v>25</v>
      </c>
      <c r="J254" s="333">
        <f ca="1">IF($E$18="SAC",Sim_SAC!K243,Sim_PRICE!J243)</f>
        <v>1729.0165062654478</v>
      </c>
      <c r="L254" s="339"/>
      <c r="M254" s="335">
        <f t="shared" ca="1" si="10"/>
        <v>1729.0165062654478</v>
      </c>
      <c r="N254" s="336">
        <f t="shared" ca="1" si="11"/>
        <v>10.093495425819388</v>
      </c>
    </row>
    <row r="255" spans="2:14" ht="22.2" customHeight="1" thickTop="1" thickBot="1">
      <c r="B255" s="337">
        <f>Sim_SAC!C244</f>
        <v>51516</v>
      </c>
      <c r="C255" s="338">
        <f t="shared" ca="1" si="9"/>
        <v>1639.3159585842598</v>
      </c>
      <c r="D255" s="338">
        <f ca="1">IF($E$18="SAC",Sim_SAC!D244,Sim_PRICE!D244)</f>
        <v>842.74931039701278</v>
      </c>
      <c r="E255" s="338">
        <f ca="1">IF($E$18="SAC",Sim_SAC!E244,Sim_PRICE!E244)</f>
        <v>796.56664818724698</v>
      </c>
      <c r="F255" s="338">
        <f ca="1">IF($E$18="SAC",Sim_SAC!G244,Sim_PRICE!F244)</f>
        <v>116299.40483478637</v>
      </c>
      <c r="G255" s="338">
        <f ca="1">IF($E$18="SAC",Sim_SAC!H244,Sim_PRICE!G244)</f>
        <v>24.422875015305138</v>
      </c>
      <c r="H255" s="338">
        <f>IF($E$18="SAC",Sim_SAC!I244,Sim_PRICE!H244)</f>
        <v>34.369999999999997</v>
      </c>
      <c r="I255" s="338">
        <f>IF($E$18="SAC",Sim_SAC!J244,Sim_PRICE!I244)</f>
        <v>25</v>
      </c>
      <c r="J255" s="338">
        <f ca="1">IF($E$18="SAC",Sim_SAC!K244,Sim_PRICE!J244)</f>
        <v>1723.1088335995648</v>
      </c>
      <c r="L255" s="335"/>
      <c r="M255" s="335">
        <f t="shared" ca="1" si="10"/>
        <v>1723.1088335995648</v>
      </c>
      <c r="N255" s="336">
        <f t="shared" ca="1" si="11"/>
        <v>9.9818111626753261</v>
      </c>
    </row>
    <row r="256" spans="2:14" ht="22.2" customHeight="1" thickTop="1" thickBot="1">
      <c r="B256" s="332">
        <f>Sim_SAC!C245</f>
        <v>51547</v>
      </c>
      <c r="C256" s="333">
        <f t="shared" ca="1" si="9"/>
        <v>1633.58526327356</v>
      </c>
      <c r="D256" s="333">
        <f ca="1">IF($E$18="SAC",Sim_SAC!D245,Sim_PRICE!D245)</f>
        <v>842.74931039701278</v>
      </c>
      <c r="E256" s="333">
        <f ca="1">IF($E$18="SAC",Sim_SAC!E245,Sim_PRICE!E245)</f>
        <v>790.83595287654725</v>
      </c>
      <c r="F256" s="333">
        <f ca="1">IF($E$18="SAC",Sim_SAC!G245,Sim_PRICE!F245)</f>
        <v>115456.65552438935</v>
      </c>
      <c r="G256" s="333">
        <f ca="1">IF($E$18="SAC",Sim_SAC!H245,Sim_PRICE!G245)</f>
        <v>24.245897660121766</v>
      </c>
      <c r="H256" s="333">
        <f>IF($E$18="SAC",Sim_SAC!I245,Sim_PRICE!H245)</f>
        <v>34.369999999999997</v>
      </c>
      <c r="I256" s="333">
        <f>IF($E$18="SAC",Sim_SAC!J245,Sim_PRICE!I245)</f>
        <v>25</v>
      </c>
      <c r="J256" s="333">
        <f ca="1">IF($E$18="SAC",Sim_SAC!K245,Sim_PRICE!J245)</f>
        <v>1717.2011609336816</v>
      </c>
      <c r="L256" s="339"/>
      <c r="M256" s="335">
        <f t="shared" ca="1" si="10"/>
        <v>1717.2011609336816</v>
      </c>
      <c r="N256" s="336">
        <f t="shared" ca="1" si="11"/>
        <v>9.8712732365336393</v>
      </c>
    </row>
    <row r="257" spans="2:14" ht="22.2" customHeight="1" thickTop="1" thickBot="1">
      <c r="B257" s="337">
        <f>Sim_SAC!C246</f>
        <v>51575</v>
      </c>
      <c r="C257" s="338">
        <f t="shared" ca="1" si="9"/>
        <v>1627.8545679628603</v>
      </c>
      <c r="D257" s="338">
        <f ca="1">IF($E$18="SAC",Sim_SAC!D246,Sim_PRICE!D246)</f>
        <v>842.74931039701278</v>
      </c>
      <c r="E257" s="338">
        <f ca="1">IF($E$18="SAC",Sim_SAC!E246,Sim_PRICE!E246)</f>
        <v>785.10525756584752</v>
      </c>
      <c r="F257" s="338">
        <f ca="1">IF($E$18="SAC",Sim_SAC!G246,Sim_PRICE!F246)</f>
        <v>114613.90621399233</v>
      </c>
      <c r="G257" s="338">
        <f ca="1">IF($E$18="SAC",Sim_SAC!H246,Sim_PRICE!G246)</f>
        <v>24.068920304938391</v>
      </c>
      <c r="H257" s="338">
        <f>IF($E$18="SAC",Sim_SAC!I246,Sim_PRICE!H246)</f>
        <v>34.369999999999997</v>
      </c>
      <c r="I257" s="338">
        <f>IF($E$18="SAC",Sim_SAC!J246,Sim_PRICE!I246)</f>
        <v>25</v>
      </c>
      <c r="J257" s="338">
        <f ca="1">IF($E$18="SAC",Sim_SAC!K246,Sim_PRICE!J246)</f>
        <v>1711.2934882677987</v>
      </c>
      <c r="L257" s="335"/>
      <c r="M257" s="335">
        <f t="shared" ca="1" si="10"/>
        <v>1711.2934882677987</v>
      </c>
      <c r="N257" s="336">
        <f t="shared" ca="1" si="11"/>
        <v>9.7695452957656421</v>
      </c>
    </row>
    <row r="258" spans="2:14" ht="22.2" customHeight="1" thickTop="1" thickBot="1">
      <c r="B258" s="332">
        <f>Sim_SAC!C247</f>
        <v>51606</v>
      </c>
      <c r="C258" s="333">
        <f t="shared" ca="1" si="9"/>
        <v>1622.1238726521606</v>
      </c>
      <c r="D258" s="333">
        <f ca="1">IF($E$18="SAC",Sim_SAC!D247,Sim_PRICE!D247)</f>
        <v>842.74931039701278</v>
      </c>
      <c r="E258" s="333">
        <f ca="1">IF($E$18="SAC",Sim_SAC!E247,Sim_PRICE!E247)</f>
        <v>779.37456225514779</v>
      </c>
      <c r="F258" s="333">
        <f ca="1">IF($E$18="SAC",Sim_SAC!G247,Sim_PRICE!F247)</f>
        <v>113771.15690359531</v>
      </c>
      <c r="G258" s="333">
        <f ca="1">IF($E$18="SAC",Sim_SAC!H247,Sim_PRICE!G247)</f>
        <v>23.891942949755016</v>
      </c>
      <c r="H258" s="333">
        <f>IF($E$18="SAC",Sim_SAC!I247,Sim_PRICE!H247)</f>
        <v>34.369999999999997</v>
      </c>
      <c r="I258" s="333">
        <f>IF($E$18="SAC",Sim_SAC!J247,Sim_PRICE!I247)</f>
        <v>25</v>
      </c>
      <c r="J258" s="333">
        <f ca="1">IF($E$18="SAC",Sim_SAC!K247,Sim_PRICE!J247)</f>
        <v>1705.3858156019155</v>
      </c>
      <c r="L258" s="339"/>
      <c r="M258" s="335">
        <f t="shared" ca="1" si="10"/>
        <v>1705.3858156019155</v>
      </c>
      <c r="N258" s="336">
        <f t="shared" ca="1" si="11"/>
        <v>9.6611813085762623</v>
      </c>
    </row>
    <row r="259" spans="2:14" ht="22.2" customHeight="1" thickTop="1" thickBot="1">
      <c r="B259" s="337">
        <f>Sim_SAC!C248</f>
        <v>51636</v>
      </c>
      <c r="C259" s="338">
        <f t="shared" ca="1" si="9"/>
        <v>1616.3931773414608</v>
      </c>
      <c r="D259" s="338">
        <f ca="1">IF($E$18="SAC",Sim_SAC!D248,Sim_PRICE!D248)</f>
        <v>842.74931039701278</v>
      </c>
      <c r="E259" s="338">
        <f ca="1">IF($E$18="SAC",Sim_SAC!E248,Sim_PRICE!E248)</f>
        <v>773.64386694444806</v>
      </c>
      <c r="F259" s="338">
        <f ca="1">IF($E$18="SAC",Sim_SAC!G248,Sim_PRICE!F248)</f>
        <v>112928.4075931983</v>
      </c>
      <c r="G259" s="338">
        <f ca="1">IF($E$18="SAC",Sim_SAC!H248,Sim_PRICE!G248)</f>
        <v>23.714965594571645</v>
      </c>
      <c r="H259" s="338">
        <f>IF($E$18="SAC",Sim_SAC!I248,Sim_PRICE!H248)</f>
        <v>34.369999999999997</v>
      </c>
      <c r="I259" s="338">
        <f>IF($E$18="SAC",Sim_SAC!J248,Sim_PRICE!I248)</f>
        <v>25</v>
      </c>
      <c r="J259" s="338">
        <f ca="1">IF($E$18="SAC",Sim_SAC!K248,Sim_PRICE!J248)</f>
        <v>1699.4781429360323</v>
      </c>
      <c r="L259" s="335"/>
      <c r="M259" s="335">
        <f t="shared" ca="1" si="10"/>
        <v>1699.4781429360323</v>
      </c>
      <c r="N259" s="336">
        <f t="shared" ca="1" si="11"/>
        <v>9.5564342855578026</v>
      </c>
    </row>
    <row r="260" spans="2:14" ht="22.2" customHeight="1" thickTop="1" thickBot="1">
      <c r="B260" s="332">
        <f>Sim_SAC!C249</f>
        <v>51667</v>
      </c>
      <c r="C260" s="333">
        <f t="shared" ca="1" si="9"/>
        <v>1610.6624820307611</v>
      </c>
      <c r="D260" s="333">
        <f ca="1">IF($E$18="SAC",Sim_SAC!D249,Sim_PRICE!D249)</f>
        <v>842.74931039701278</v>
      </c>
      <c r="E260" s="333">
        <f ca="1">IF($E$18="SAC",Sim_SAC!E249,Sim_PRICE!E249)</f>
        <v>767.91317163374833</v>
      </c>
      <c r="F260" s="333">
        <f ca="1">IF($E$18="SAC",Sim_SAC!G249,Sim_PRICE!F249)</f>
        <v>112085.65828280128</v>
      </c>
      <c r="G260" s="333">
        <f ca="1">IF($E$18="SAC",Sim_SAC!H249,Sim_PRICE!G249)</f>
        <v>23.53798823938827</v>
      </c>
      <c r="H260" s="333">
        <f>IF($E$18="SAC",Sim_SAC!I249,Sim_PRICE!H249)</f>
        <v>34.369999999999997</v>
      </c>
      <c r="I260" s="333">
        <f>IF($E$18="SAC",Sim_SAC!J249,Sim_PRICE!I249)</f>
        <v>25</v>
      </c>
      <c r="J260" s="333">
        <f ca="1">IF($E$18="SAC",Sim_SAC!K249,Sim_PRICE!J249)</f>
        <v>1693.5704702701494</v>
      </c>
      <c r="L260" s="339"/>
      <c r="M260" s="335">
        <f t="shared" ca="1" si="10"/>
        <v>1693.5704702701494</v>
      </c>
      <c r="N260" s="336">
        <f t="shared" ca="1" si="11"/>
        <v>9.4502591981794399</v>
      </c>
    </row>
    <row r="261" spans="2:14" ht="22.2" customHeight="1" thickTop="1" thickBot="1">
      <c r="B261" s="337">
        <f>Sim_SAC!C250</f>
        <v>51697</v>
      </c>
      <c r="C261" s="338">
        <f t="shared" ca="1" si="9"/>
        <v>1604.9317867200614</v>
      </c>
      <c r="D261" s="338">
        <f ca="1">IF($E$18="SAC",Sim_SAC!D250,Sim_PRICE!D250)</f>
        <v>842.74931039701278</v>
      </c>
      <c r="E261" s="338">
        <f ca="1">IF($E$18="SAC",Sim_SAC!E250,Sim_PRICE!E250)</f>
        <v>762.1824763230486</v>
      </c>
      <c r="F261" s="338">
        <f ca="1">IF($E$18="SAC",Sim_SAC!G250,Sim_PRICE!F250)</f>
        <v>111242.90897240426</v>
      </c>
      <c r="G261" s="338">
        <f ca="1">IF($E$18="SAC",Sim_SAC!H250,Sim_PRICE!G250)</f>
        <v>23.361010884204894</v>
      </c>
      <c r="H261" s="338">
        <f>IF($E$18="SAC",Sim_SAC!I250,Sim_PRICE!H250)</f>
        <v>34.369999999999997</v>
      </c>
      <c r="I261" s="338">
        <f>IF($E$18="SAC",Sim_SAC!J250,Sim_PRICE!I250)</f>
        <v>25</v>
      </c>
      <c r="J261" s="338">
        <f ca="1">IF($E$18="SAC",Sim_SAC!K250,Sim_PRICE!J250)</f>
        <v>1687.6627976042662</v>
      </c>
      <c r="L261" s="335"/>
      <c r="M261" s="335">
        <f t="shared" ca="1" si="10"/>
        <v>1687.6627976042662</v>
      </c>
      <c r="N261" s="336">
        <f t="shared" ca="1" si="11"/>
        <v>9.347624914006456</v>
      </c>
    </row>
    <row r="262" spans="2:14" ht="22.2" customHeight="1" thickTop="1" thickBot="1">
      <c r="B262" s="332">
        <f>Sim_SAC!C251</f>
        <v>51728</v>
      </c>
      <c r="C262" s="333">
        <f t="shared" ca="1" si="9"/>
        <v>1599.2010914093617</v>
      </c>
      <c r="D262" s="333">
        <f ca="1">IF($E$18="SAC",Sim_SAC!D251,Sim_PRICE!D251)</f>
        <v>842.74931039701278</v>
      </c>
      <c r="E262" s="333">
        <f ca="1">IF($E$18="SAC",Sim_SAC!E251,Sim_PRICE!E251)</f>
        <v>756.45178101234887</v>
      </c>
      <c r="F262" s="333">
        <f ca="1">IF($E$18="SAC",Sim_SAC!G251,Sim_PRICE!F251)</f>
        <v>110400.15966200724</v>
      </c>
      <c r="G262" s="333">
        <f ca="1">IF($E$18="SAC",Sim_SAC!H251,Sim_PRICE!G251)</f>
        <v>23.184033529021519</v>
      </c>
      <c r="H262" s="333">
        <f>IF($E$18="SAC",Sim_SAC!I251,Sim_PRICE!H251)</f>
        <v>34.369999999999997</v>
      </c>
      <c r="I262" s="333">
        <f>IF($E$18="SAC",Sim_SAC!J251,Sim_PRICE!I251)</f>
        <v>25</v>
      </c>
      <c r="J262" s="333">
        <f ca="1">IF($E$18="SAC",Sim_SAC!K251,Sim_PRICE!J251)</f>
        <v>1681.755124938383</v>
      </c>
      <c r="L262" s="335"/>
      <c r="M262" s="335">
        <f t="shared" ca="1" si="10"/>
        <v>1681.755124938383</v>
      </c>
      <c r="N262" s="336">
        <f t="shared" ca="1" si="11"/>
        <v>9.2435965589620306</v>
      </c>
    </row>
    <row r="263" spans="2:14" ht="22.2" customHeight="1" thickTop="1" thickBot="1">
      <c r="B263" s="337">
        <f>Sim_SAC!C252</f>
        <v>51759</v>
      </c>
      <c r="C263" s="338">
        <f t="shared" ca="1" si="9"/>
        <v>1593.4703960986619</v>
      </c>
      <c r="D263" s="338">
        <f ca="1">IF($E$18="SAC",Sim_SAC!D252,Sim_PRICE!D252)</f>
        <v>842.74931039701278</v>
      </c>
      <c r="E263" s="338">
        <f ca="1">IF($E$18="SAC",Sim_SAC!E252,Sim_PRICE!E252)</f>
        <v>750.72108570164914</v>
      </c>
      <c r="F263" s="338">
        <f ca="1">IF($E$18="SAC",Sim_SAC!G252,Sim_PRICE!F252)</f>
        <v>109557.41035161022</v>
      </c>
      <c r="G263" s="338">
        <f ca="1">IF($E$18="SAC",Sim_SAC!H252,Sim_PRICE!G252)</f>
        <v>23.007056173838148</v>
      </c>
      <c r="H263" s="338">
        <f>IF($E$18="SAC",Sim_SAC!I252,Sim_PRICE!H252)</f>
        <v>34.369999999999997</v>
      </c>
      <c r="I263" s="338">
        <f>IF($E$18="SAC",Sim_SAC!J252,Sim_PRICE!I252)</f>
        <v>25</v>
      </c>
      <c r="J263" s="338">
        <f ca="1">IF($E$18="SAC",Sim_SAC!K252,Sim_PRICE!J252)</f>
        <v>1675.8474522725</v>
      </c>
      <c r="L263" s="339"/>
      <c r="M263" s="335">
        <f t="shared" ca="1" si="10"/>
        <v>1675.8474522725</v>
      </c>
      <c r="N263" s="336">
        <f t="shared" ca="1" si="11"/>
        <v>9.1406394903076524</v>
      </c>
    </row>
    <row r="264" spans="2:14" ht="22.2" customHeight="1" thickTop="1" thickBot="1">
      <c r="B264" s="332">
        <f>Sim_SAC!C253</f>
        <v>51789</v>
      </c>
      <c r="C264" s="333">
        <f t="shared" ref="C264:C320" ca="1" si="12">D264+E264</f>
        <v>1587.7397007879622</v>
      </c>
      <c r="D264" s="333">
        <f ca="1">IF($E$18="SAC",Sim_SAC!D253,Sim_PRICE!D253)</f>
        <v>842.74931039701278</v>
      </c>
      <c r="E264" s="333">
        <f ca="1">IF($E$18="SAC",Sim_SAC!E253,Sim_PRICE!E253)</f>
        <v>744.99039039094941</v>
      </c>
      <c r="F264" s="333">
        <f ca="1">IF($E$18="SAC",Sim_SAC!G253,Sim_PRICE!F253)</f>
        <v>108714.6610412132</v>
      </c>
      <c r="G264" s="333">
        <f ca="1">IF($E$18="SAC",Sim_SAC!H253,Sim_PRICE!G253)</f>
        <v>22.830078818654773</v>
      </c>
      <c r="H264" s="333">
        <f>IF($E$18="SAC",Sim_SAC!I253,Sim_PRICE!H253)</f>
        <v>34.369999999999997</v>
      </c>
      <c r="I264" s="333">
        <f>IF($E$18="SAC",Sim_SAC!J253,Sim_PRICE!I253)</f>
        <v>25</v>
      </c>
      <c r="J264" s="333">
        <f ca="1">IF($E$18="SAC",Sim_SAC!K253,Sim_PRICE!J253)</f>
        <v>1669.9397796066169</v>
      </c>
      <c r="L264" s="335"/>
      <c r="M264" s="335">
        <f t="shared" ref="M264:M320" ca="1" si="13">J264</f>
        <v>1669.9397796066169</v>
      </c>
      <c r="N264" s="336">
        <f t="shared" ca="1" si="11"/>
        <v>9.0411113485755159</v>
      </c>
    </row>
    <row r="265" spans="2:14" ht="22.2" customHeight="1" thickTop="1" thickBot="1">
      <c r="B265" s="337">
        <f>Sim_SAC!C254</f>
        <v>51820</v>
      </c>
      <c r="C265" s="338">
        <f t="shared" ca="1" si="12"/>
        <v>1582.0090054772625</v>
      </c>
      <c r="D265" s="338">
        <f ca="1">IF($E$18="SAC",Sim_SAC!D254,Sim_PRICE!D254)</f>
        <v>842.74931039701278</v>
      </c>
      <c r="E265" s="338">
        <f ca="1">IF($E$18="SAC",Sim_SAC!E254,Sim_PRICE!E254)</f>
        <v>739.25969508024968</v>
      </c>
      <c r="F265" s="338">
        <f ca="1">IF($E$18="SAC",Sim_SAC!G254,Sim_PRICE!F254)</f>
        <v>107871.91173081618</v>
      </c>
      <c r="G265" s="338">
        <f ca="1">IF($E$18="SAC",Sim_SAC!H254,Sim_PRICE!G254)</f>
        <v>22.653101463471398</v>
      </c>
      <c r="H265" s="338">
        <f>IF($E$18="SAC",Sim_SAC!I254,Sim_PRICE!H254)</f>
        <v>34.369999999999997</v>
      </c>
      <c r="I265" s="338">
        <f>IF($E$18="SAC",Sim_SAC!J254,Sim_PRICE!I254)</f>
        <v>25</v>
      </c>
      <c r="J265" s="338">
        <f ca="1">IF($E$18="SAC",Sim_SAC!K254,Sim_PRICE!J254)</f>
        <v>1664.0321069407337</v>
      </c>
      <c r="L265" s="339"/>
      <c r="M265" s="335">
        <f t="shared" ca="1" si="13"/>
        <v>1664.0321069407337</v>
      </c>
      <c r="N265" s="336">
        <f t="shared" ca="1" si="11"/>
        <v>8.9402389588174049</v>
      </c>
    </row>
    <row r="266" spans="2:14" ht="22.2" customHeight="1" thickTop="1" thickBot="1">
      <c r="B266" s="332">
        <f>Sim_SAC!C255</f>
        <v>51850</v>
      </c>
      <c r="C266" s="333">
        <f t="shared" ca="1" si="12"/>
        <v>1576.2783101665627</v>
      </c>
      <c r="D266" s="333">
        <f ca="1">IF($E$18="SAC",Sim_SAC!D255,Sim_PRICE!D255)</f>
        <v>842.74931039701278</v>
      </c>
      <c r="E266" s="333">
        <f ca="1">IF($E$18="SAC",Sim_SAC!E255,Sim_PRICE!E255)</f>
        <v>733.52899976954996</v>
      </c>
      <c r="F266" s="333">
        <f ca="1">IF($E$18="SAC",Sim_SAC!G255,Sim_PRICE!F255)</f>
        <v>107029.16242041916</v>
      </c>
      <c r="G266" s="333">
        <f ca="1">IF($E$18="SAC",Sim_SAC!H255,Sim_PRICE!G255)</f>
        <v>22.476124108288026</v>
      </c>
      <c r="H266" s="333">
        <f>IF($E$18="SAC",Sim_SAC!I255,Sim_PRICE!H255)</f>
        <v>34.369999999999997</v>
      </c>
      <c r="I266" s="333">
        <f>IF($E$18="SAC",Sim_SAC!J255,Sim_PRICE!I255)</f>
        <v>25</v>
      </c>
      <c r="J266" s="333">
        <f ca="1">IF($E$18="SAC",Sim_SAC!K255,Sim_PRICE!J255)</f>
        <v>1658.1244342748507</v>
      </c>
      <c r="L266" s="335"/>
      <c r="M266" s="335">
        <f t="shared" ca="1" si="13"/>
        <v>1658.1244342748507</v>
      </c>
      <c r="N266" s="336">
        <f t="shared" ca="1" si="11"/>
        <v>8.8427230554258891</v>
      </c>
    </row>
    <row r="267" spans="2:14" ht="22.2" customHeight="1" thickTop="1" thickBot="1">
      <c r="B267" s="337">
        <f>Sim_SAC!C256</f>
        <v>51881</v>
      </c>
      <c r="C267" s="338">
        <f t="shared" ca="1" si="12"/>
        <v>1570.547614855863</v>
      </c>
      <c r="D267" s="338">
        <f ca="1">IF($E$18="SAC",Sim_SAC!D256,Sim_PRICE!D256)</f>
        <v>842.74931039701278</v>
      </c>
      <c r="E267" s="338">
        <f ca="1">IF($E$18="SAC",Sim_SAC!E256,Sim_PRICE!E256)</f>
        <v>727.79830445885023</v>
      </c>
      <c r="F267" s="338">
        <f ca="1">IF($E$18="SAC",Sim_SAC!G256,Sim_PRICE!F256)</f>
        <v>106186.41311002214</v>
      </c>
      <c r="G267" s="338">
        <f ca="1">IF($E$18="SAC",Sim_SAC!H256,Sim_PRICE!G256)</f>
        <v>22.299146753104651</v>
      </c>
      <c r="H267" s="338">
        <f>IF($E$18="SAC",Sim_SAC!I256,Sim_PRICE!H256)</f>
        <v>34.369999999999997</v>
      </c>
      <c r="I267" s="338">
        <f>IF($E$18="SAC",Sim_SAC!J256,Sim_PRICE!I256)</f>
        <v>25</v>
      </c>
      <c r="J267" s="338">
        <f ca="1">IF($E$18="SAC",Sim_SAC!K256,Sim_PRICE!J256)</f>
        <v>1652.2167616089675</v>
      </c>
      <c r="L267" s="339"/>
      <c r="M267" s="335">
        <f t="shared" ca="1" si="13"/>
        <v>1652.2167616089675</v>
      </c>
      <c r="N267" s="336">
        <f t="shared" ca="1" si="11"/>
        <v>8.7438951226613746</v>
      </c>
    </row>
    <row r="268" spans="2:14" ht="22.2" customHeight="1" thickTop="1" thickBot="1">
      <c r="B268" s="332">
        <f>Sim_SAC!C257</f>
        <v>51912</v>
      </c>
      <c r="C268" s="333">
        <f t="shared" ca="1" si="12"/>
        <v>1564.8169195451633</v>
      </c>
      <c r="D268" s="333">
        <f ca="1">IF($E$18="SAC",Sim_SAC!D257,Sim_PRICE!D257)</f>
        <v>842.74931039701278</v>
      </c>
      <c r="E268" s="333">
        <f ca="1">IF($E$18="SAC",Sim_SAC!E257,Sim_PRICE!E257)</f>
        <v>722.0676091481505</v>
      </c>
      <c r="F268" s="333">
        <f ca="1">IF($E$18="SAC",Sim_SAC!G257,Sim_PRICE!F257)</f>
        <v>105343.66379962512</v>
      </c>
      <c r="G268" s="333">
        <f ca="1">IF($E$18="SAC",Sim_SAC!H257,Sim_PRICE!G257)</f>
        <v>22.122169397921276</v>
      </c>
      <c r="H268" s="333">
        <f>IF($E$18="SAC",Sim_SAC!I257,Sim_PRICE!H257)</f>
        <v>34.369999999999997</v>
      </c>
      <c r="I268" s="333">
        <f>IF($E$18="SAC",Sim_SAC!J257,Sim_PRICE!I257)</f>
        <v>25</v>
      </c>
      <c r="J268" s="333">
        <f ca="1">IF($E$18="SAC",Sim_SAC!K257,Sim_PRICE!J257)</f>
        <v>1646.3090889430844</v>
      </c>
      <c r="L268" s="335"/>
      <c r="M268" s="335">
        <f t="shared" ca="1" si="13"/>
        <v>1646.3090889430844</v>
      </c>
      <c r="N268" s="336">
        <f t="shared" ca="1" si="11"/>
        <v>8.6460873825684956</v>
      </c>
    </row>
    <row r="269" spans="2:14" ht="22.2" customHeight="1" thickTop="1" thickBot="1">
      <c r="B269" s="337">
        <f>Sim_SAC!C258</f>
        <v>51940</v>
      </c>
      <c r="C269" s="338">
        <f t="shared" ca="1" si="12"/>
        <v>1559.0862242344635</v>
      </c>
      <c r="D269" s="338">
        <f ca="1">IF($E$18="SAC",Sim_SAC!D258,Sim_PRICE!D258)</f>
        <v>842.74931039701278</v>
      </c>
      <c r="E269" s="338">
        <f ca="1">IF($E$18="SAC",Sim_SAC!E258,Sim_PRICE!E258)</f>
        <v>716.33691383745077</v>
      </c>
      <c r="F269" s="338">
        <f ca="1">IF($E$18="SAC",Sim_SAC!G258,Sim_PRICE!F258)</f>
        <v>104500.9144892281</v>
      </c>
      <c r="G269" s="338">
        <f ca="1">IF($E$18="SAC",Sim_SAC!H258,Sim_PRICE!G258)</f>
        <v>21.945192042737904</v>
      </c>
      <c r="H269" s="338">
        <f>IF($E$18="SAC",Sim_SAC!I258,Sim_PRICE!H258)</f>
        <v>34.369999999999997</v>
      </c>
      <c r="I269" s="338">
        <f>IF($E$18="SAC",Sim_SAC!J258,Sim_PRICE!I258)</f>
        <v>25</v>
      </c>
      <c r="J269" s="338">
        <f ca="1">IF($E$18="SAC",Sim_SAC!K258,Sim_PRICE!J258)</f>
        <v>1640.4014162772014</v>
      </c>
      <c r="L269" s="339"/>
      <c r="M269" s="335">
        <f t="shared" ca="1" si="13"/>
        <v>1640.4014162772014</v>
      </c>
      <c r="N269" s="336">
        <f t="shared" ca="1" si="11"/>
        <v>8.5560113393377311</v>
      </c>
    </row>
    <row r="270" spans="2:14" ht="22.2" customHeight="1" thickTop="1" thickBot="1">
      <c r="B270" s="332">
        <f>Sim_SAC!C259</f>
        <v>51971</v>
      </c>
      <c r="C270" s="333">
        <f t="shared" ca="1" si="12"/>
        <v>1553.3555289237638</v>
      </c>
      <c r="D270" s="333">
        <f ca="1">IF($E$18="SAC",Sim_SAC!D259,Sim_PRICE!D259)</f>
        <v>842.74931039701278</v>
      </c>
      <c r="E270" s="333">
        <f ca="1">IF($E$18="SAC",Sim_SAC!E259,Sim_PRICE!E259)</f>
        <v>710.60621852675104</v>
      </c>
      <c r="F270" s="333">
        <f ca="1">IF($E$18="SAC",Sim_SAC!G259,Sim_PRICE!F259)</f>
        <v>103658.16517883108</v>
      </c>
      <c r="G270" s="333">
        <f ca="1">IF($E$18="SAC",Sim_SAC!H259,Sim_PRICE!G259)</f>
        <v>21.768214687554529</v>
      </c>
      <c r="H270" s="333">
        <f>IF($E$18="SAC",Sim_SAC!I259,Sim_PRICE!H259)</f>
        <v>34.369999999999997</v>
      </c>
      <c r="I270" s="333">
        <f>IF($E$18="SAC",Sim_SAC!J259,Sim_PRICE!I259)</f>
        <v>25</v>
      </c>
      <c r="J270" s="333">
        <f ca="1">IF($E$18="SAC",Sim_SAC!K259,Sim_PRICE!J259)</f>
        <v>1634.4937436113182</v>
      </c>
      <c r="L270" s="335"/>
      <c r="M270" s="335">
        <f t="shared" ca="1" si="13"/>
        <v>1634.4937436113182</v>
      </c>
      <c r="N270" s="336">
        <f t="shared" ca="1" si="11"/>
        <v>8.4601386499852502</v>
      </c>
    </row>
    <row r="271" spans="2:14" ht="22.2" customHeight="1" thickTop="1" thickBot="1">
      <c r="B271" s="337">
        <f>Sim_SAC!C260</f>
        <v>52001</v>
      </c>
      <c r="C271" s="338">
        <f t="shared" ca="1" si="12"/>
        <v>1547.6248336130641</v>
      </c>
      <c r="D271" s="338">
        <f ca="1">IF($E$18="SAC",Sim_SAC!D260,Sim_PRICE!D260)</f>
        <v>842.74931039701278</v>
      </c>
      <c r="E271" s="338">
        <f ca="1">IF($E$18="SAC",Sim_SAC!E260,Sim_PRICE!E260)</f>
        <v>704.87552321605131</v>
      </c>
      <c r="F271" s="338">
        <f ca="1">IF($E$18="SAC",Sim_SAC!G260,Sim_PRICE!F260)</f>
        <v>102815.41586843407</v>
      </c>
      <c r="G271" s="338">
        <f ca="1">IF($E$18="SAC",Sim_SAC!H260,Sim_PRICE!G260)</f>
        <v>21.591237332371154</v>
      </c>
      <c r="H271" s="338">
        <f>IF($E$18="SAC",Sim_SAC!I260,Sim_PRICE!H260)</f>
        <v>34.369999999999997</v>
      </c>
      <c r="I271" s="338">
        <f>IF($E$18="SAC",Sim_SAC!J260,Sim_PRICE!I260)</f>
        <v>25</v>
      </c>
      <c r="J271" s="338">
        <f ca="1">IF($E$18="SAC",Sim_SAC!K260,Sim_PRICE!J260)</f>
        <v>1628.586070945435</v>
      </c>
      <c r="L271" s="339"/>
      <c r="M271" s="335">
        <f t="shared" ca="1" si="13"/>
        <v>1628.586070945435</v>
      </c>
      <c r="N271" s="336">
        <f t="shared" ca="1" si="11"/>
        <v>8.3674488148478954</v>
      </c>
    </row>
    <row r="272" spans="2:14" ht="22.2" customHeight="1" thickTop="1" thickBot="1">
      <c r="B272" s="332">
        <f>Sim_SAC!C261</f>
        <v>52032</v>
      </c>
      <c r="C272" s="333">
        <f t="shared" ca="1" si="12"/>
        <v>1541.8941383023644</v>
      </c>
      <c r="D272" s="333">
        <f ca="1">IF($E$18="SAC",Sim_SAC!D261,Sim_PRICE!D261)</f>
        <v>842.74931039701278</v>
      </c>
      <c r="E272" s="333">
        <f ca="1">IF($E$18="SAC",Sim_SAC!E261,Sim_PRICE!E261)</f>
        <v>699.14482790535158</v>
      </c>
      <c r="F272" s="333">
        <f ca="1">IF($E$18="SAC",Sim_SAC!G261,Sim_PRICE!F261)</f>
        <v>101972.66655803705</v>
      </c>
      <c r="G272" s="333">
        <f ca="1">IF($E$18="SAC",Sim_SAC!H261,Sim_PRICE!G261)</f>
        <v>21.414259977187779</v>
      </c>
      <c r="H272" s="333">
        <f>IF($E$18="SAC",Sim_SAC!I261,Sim_PRICE!H261)</f>
        <v>34.369999999999997</v>
      </c>
      <c r="I272" s="333">
        <f>IF($E$18="SAC",Sim_SAC!J261,Sim_PRICE!I261)</f>
        <v>25</v>
      </c>
      <c r="J272" s="333">
        <f ca="1">IF($E$18="SAC",Sim_SAC!K261,Sim_PRICE!J261)</f>
        <v>1622.6783982795521</v>
      </c>
      <c r="L272" s="335"/>
      <c r="M272" s="335">
        <f t="shared" ca="1" si="13"/>
        <v>1622.6783982795521</v>
      </c>
      <c r="N272" s="336">
        <f t="shared" ca="1" si="11"/>
        <v>8.273524050284415</v>
      </c>
    </row>
    <row r="273" spans="2:14" ht="22.2" customHeight="1" thickTop="1" thickBot="1">
      <c r="B273" s="337">
        <f>Sim_SAC!C262</f>
        <v>52062</v>
      </c>
      <c r="C273" s="338">
        <f t="shared" ca="1" si="12"/>
        <v>1536.1634429916646</v>
      </c>
      <c r="D273" s="338">
        <f ca="1">IF($E$18="SAC",Sim_SAC!D262,Sim_PRICE!D262)</f>
        <v>842.74931039701278</v>
      </c>
      <c r="E273" s="338">
        <f ca="1">IF($E$18="SAC",Sim_SAC!E262,Sim_PRICE!E262)</f>
        <v>693.41413259465185</v>
      </c>
      <c r="F273" s="338">
        <f ca="1">IF($E$18="SAC",Sim_SAC!G262,Sim_PRICE!F262)</f>
        <v>101129.91724764003</v>
      </c>
      <c r="G273" s="338">
        <f ca="1">IF($E$18="SAC",Sim_SAC!H262,Sim_PRICE!G262)</f>
        <v>21.237282622004408</v>
      </c>
      <c r="H273" s="338">
        <f>IF($E$18="SAC",Sim_SAC!I262,Sim_PRICE!H262)</f>
        <v>34.369999999999997</v>
      </c>
      <c r="I273" s="338">
        <f>IF($E$18="SAC",Sim_SAC!J262,Sim_PRICE!I262)</f>
        <v>25</v>
      </c>
      <c r="J273" s="338">
        <f ca="1">IF($E$18="SAC",Sim_SAC!K262,Sim_PRICE!J262)</f>
        <v>1616.7707256136689</v>
      </c>
      <c r="L273" s="339"/>
      <c r="M273" s="335">
        <f t="shared" ca="1" si="13"/>
        <v>1616.7707256136689</v>
      </c>
      <c r="N273" s="336">
        <f t="shared" ca="1" si="11"/>
        <v>8.1827145772032246</v>
      </c>
    </row>
    <row r="274" spans="2:14" ht="22.2" customHeight="1" thickTop="1" thickBot="1">
      <c r="B274" s="332">
        <f>Sim_SAC!C263</f>
        <v>52093</v>
      </c>
      <c r="C274" s="333">
        <f t="shared" ca="1" si="12"/>
        <v>1530.4327476809649</v>
      </c>
      <c r="D274" s="333">
        <f ca="1">IF($E$18="SAC",Sim_SAC!D263,Sim_PRICE!D263)</f>
        <v>842.74931039701278</v>
      </c>
      <c r="E274" s="333">
        <f ca="1">IF($E$18="SAC",Sim_SAC!E263,Sim_PRICE!E263)</f>
        <v>687.68343728395212</v>
      </c>
      <c r="F274" s="333">
        <f ca="1">IF($E$18="SAC",Sim_SAC!G263,Sim_PRICE!F263)</f>
        <v>100287.16793724301</v>
      </c>
      <c r="G274" s="333">
        <f ca="1">IF($E$18="SAC",Sim_SAC!H263,Sim_PRICE!G263)</f>
        <v>21.060305266821032</v>
      </c>
      <c r="H274" s="333">
        <f>IF($E$18="SAC",Sim_SAC!I263,Sim_PRICE!H263)</f>
        <v>34.369999999999997</v>
      </c>
      <c r="I274" s="333">
        <f>IF($E$18="SAC",Sim_SAC!J263,Sim_PRICE!I263)</f>
        <v>25</v>
      </c>
      <c r="J274" s="333">
        <f ca="1">IF($E$18="SAC",Sim_SAC!K263,Sim_PRICE!J263)</f>
        <v>1610.8630529477857</v>
      </c>
      <c r="L274" s="335"/>
      <c r="M274" s="335">
        <f t="shared" ca="1" si="13"/>
        <v>1610.8630529477857</v>
      </c>
      <c r="N274" s="336">
        <f t="shared" ca="1" si="11"/>
        <v>8.0907000710224128</v>
      </c>
    </row>
    <row r="275" spans="2:14" ht="22.2" customHeight="1" thickTop="1" thickBot="1">
      <c r="B275" s="337">
        <f>Sim_SAC!C264</f>
        <v>52124</v>
      </c>
      <c r="C275" s="338">
        <f t="shared" ca="1" si="12"/>
        <v>1524.7020523702652</v>
      </c>
      <c r="D275" s="338">
        <f ca="1">IF($E$18="SAC",Sim_SAC!D264,Sim_PRICE!D264)</f>
        <v>842.74931039701278</v>
      </c>
      <c r="E275" s="338">
        <f ca="1">IF($E$18="SAC",Sim_SAC!E264,Sim_PRICE!E264)</f>
        <v>681.95274197325239</v>
      </c>
      <c r="F275" s="338">
        <f ca="1">IF($E$18="SAC",Sim_SAC!G264,Sim_PRICE!F264)</f>
        <v>99444.418626845989</v>
      </c>
      <c r="G275" s="338">
        <f ca="1">IF($E$18="SAC",Sim_SAC!H264,Sim_PRICE!G264)</f>
        <v>20.883327911637657</v>
      </c>
      <c r="H275" s="338">
        <f>IF($E$18="SAC",Sim_SAC!I264,Sim_PRICE!H264)</f>
        <v>34.369999999999997</v>
      </c>
      <c r="I275" s="338">
        <f>IF($E$18="SAC",Sim_SAC!J264,Sim_PRICE!I264)</f>
        <v>25</v>
      </c>
      <c r="J275" s="338">
        <f ca="1">IF($E$18="SAC",Sim_SAC!K264,Sim_PRICE!J264)</f>
        <v>1604.9553802819028</v>
      </c>
      <c r="L275" s="339"/>
      <c r="M275" s="335">
        <f t="shared" ca="1" si="13"/>
        <v>1604.9553802819028</v>
      </c>
      <c r="N275" s="336">
        <f t="shared" ca="1" si="11"/>
        <v>7.9996387181820472</v>
      </c>
    </row>
    <row r="276" spans="2:14" ht="22.2" customHeight="1" thickTop="1" thickBot="1">
      <c r="B276" s="332">
        <f>Sim_SAC!C265</f>
        <v>52154</v>
      </c>
      <c r="C276" s="333">
        <f t="shared" ca="1" si="12"/>
        <v>1518.9713570595654</v>
      </c>
      <c r="D276" s="333">
        <f ca="1">IF($E$18="SAC",Sim_SAC!D265,Sim_PRICE!D265)</f>
        <v>842.74931039701278</v>
      </c>
      <c r="E276" s="333">
        <f ca="1">IF($E$18="SAC",Sim_SAC!E265,Sim_PRICE!E265)</f>
        <v>676.22204666255266</v>
      </c>
      <c r="F276" s="333">
        <f ca="1">IF($E$18="SAC",Sim_SAC!G265,Sim_PRICE!F265)</f>
        <v>98601.66931644897</v>
      </c>
      <c r="G276" s="333">
        <f ca="1">IF($E$18="SAC",Sim_SAC!H265,Sim_PRICE!G265)</f>
        <v>20.706350556454286</v>
      </c>
      <c r="H276" s="333">
        <f>IF($E$18="SAC",Sim_SAC!I265,Sim_PRICE!H265)</f>
        <v>34.369999999999997</v>
      </c>
      <c r="I276" s="333">
        <f>IF($E$18="SAC",Sim_SAC!J265,Sim_PRICE!I265)</f>
        <v>25</v>
      </c>
      <c r="J276" s="333">
        <f ca="1">IF($E$18="SAC",Sim_SAC!K265,Sim_PRICE!J265)</f>
        <v>1599.0477076160196</v>
      </c>
      <c r="L276" s="335"/>
      <c r="M276" s="335">
        <f t="shared" ca="1" si="13"/>
        <v>1599.0477076160196</v>
      </c>
      <c r="N276" s="336">
        <f t="shared" ca="1" si="11"/>
        <v>7.911593426326446</v>
      </c>
    </row>
    <row r="277" spans="2:14" ht="22.2" customHeight="1" thickTop="1" thickBot="1">
      <c r="B277" s="337">
        <f>Sim_SAC!C266</f>
        <v>52185</v>
      </c>
      <c r="C277" s="338">
        <f t="shared" ca="1" si="12"/>
        <v>1513.2406617488657</v>
      </c>
      <c r="D277" s="338">
        <f ca="1">IF($E$18="SAC",Sim_SAC!D266,Sim_PRICE!D266)</f>
        <v>842.74931039701278</v>
      </c>
      <c r="E277" s="338">
        <f ca="1">IF($E$18="SAC",Sim_SAC!E266,Sim_PRICE!E266)</f>
        <v>670.49135135185293</v>
      </c>
      <c r="F277" s="338">
        <f ca="1">IF($E$18="SAC",Sim_SAC!G266,Sim_PRICE!F266)</f>
        <v>97758.920006051951</v>
      </c>
      <c r="G277" s="338">
        <f ca="1">IF($E$18="SAC",Sim_SAC!H266,Sim_PRICE!G266)</f>
        <v>20.529373201270911</v>
      </c>
      <c r="H277" s="338">
        <f>IF($E$18="SAC",Sim_SAC!I266,Sim_PRICE!H266)</f>
        <v>34.369999999999997</v>
      </c>
      <c r="I277" s="338">
        <f>IF($E$18="SAC",Sim_SAC!J266,Sim_PRICE!I266)</f>
        <v>25</v>
      </c>
      <c r="J277" s="338">
        <f ca="1">IF($E$18="SAC",Sim_SAC!K266,Sim_PRICE!J266)</f>
        <v>1593.1400349501364</v>
      </c>
      <c r="L277" s="339"/>
      <c r="M277" s="335">
        <f t="shared" ca="1" si="13"/>
        <v>1593.1400349501364</v>
      </c>
      <c r="N277" s="336">
        <f t="shared" ca="1" si="11"/>
        <v>7.822386906576023</v>
      </c>
    </row>
    <row r="278" spans="2:14" ht="22.2" customHeight="1" thickTop="1" thickBot="1">
      <c r="B278" s="332">
        <f>Sim_SAC!C267</f>
        <v>52215</v>
      </c>
      <c r="C278" s="333">
        <f t="shared" ca="1" si="12"/>
        <v>1507.509966438166</v>
      </c>
      <c r="D278" s="333">
        <f ca="1">IF($E$18="SAC",Sim_SAC!D267,Sim_PRICE!D267)</f>
        <v>842.74931039701278</v>
      </c>
      <c r="E278" s="333">
        <f ca="1">IF($E$18="SAC",Sim_SAC!E267,Sim_PRICE!E267)</f>
        <v>664.7606560411532</v>
      </c>
      <c r="F278" s="333">
        <f ca="1">IF($E$18="SAC",Sim_SAC!G267,Sim_PRICE!F267)</f>
        <v>96916.170695654931</v>
      </c>
      <c r="G278" s="333">
        <f ca="1">IF($E$18="SAC",Sim_SAC!H267,Sim_PRICE!G267)</f>
        <v>20.352395846087536</v>
      </c>
      <c r="H278" s="333">
        <f>IF($E$18="SAC",Sim_SAC!I267,Sim_PRICE!H267)</f>
        <v>34.369999999999997</v>
      </c>
      <c r="I278" s="333">
        <f>IF($E$18="SAC",Sim_SAC!J267,Sim_PRICE!I267)</f>
        <v>25</v>
      </c>
      <c r="J278" s="333">
        <f ca="1">IF($E$18="SAC",Sim_SAC!K267,Sim_PRICE!J267)</f>
        <v>1587.2323622842534</v>
      </c>
      <c r="L278" s="335"/>
      <c r="M278" s="335">
        <f t="shared" ca="1" si="13"/>
        <v>1587.2323622842534</v>
      </c>
      <c r="N278" s="336">
        <f t="shared" ca="1" si="11"/>
        <v>7.7361322012758711</v>
      </c>
    </row>
    <row r="279" spans="2:14" ht="22.2" customHeight="1" thickTop="1" thickBot="1">
      <c r="B279" s="337">
        <f>Sim_SAC!C268</f>
        <v>52246</v>
      </c>
      <c r="C279" s="338">
        <f t="shared" ca="1" si="12"/>
        <v>1501.7792711274662</v>
      </c>
      <c r="D279" s="338">
        <f ca="1">IF($E$18="SAC",Sim_SAC!D268,Sim_PRICE!D268)</f>
        <v>842.74931039701278</v>
      </c>
      <c r="E279" s="338">
        <f ca="1">IF($E$18="SAC",Sim_SAC!E268,Sim_PRICE!E268)</f>
        <v>659.02996073045347</v>
      </c>
      <c r="F279" s="338">
        <f ca="1">IF($E$18="SAC",Sim_SAC!G268,Sim_PRICE!F268)</f>
        <v>96073.421385257912</v>
      </c>
      <c r="G279" s="338">
        <f ca="1">IF($E$18="SAC",Sim_SAC!H268,Sim_PRICE!G268)</f>
        <v>20.175418490904164</v>
      </c>
      <c r="H279" s="338">
        <f>IF($E$18="SAC",Sim_SAC!I268,Sim_PRICE!H268)</f>
        <v>34.369999999999997</v>
      </c>
      <c r="I279" s="338">
        <f>IF($E$18="SAC",Sim_SAC!J268,Sim_PRICE!I268)</f>
        <v>25</v>
      </c>
      <c r="J279" s="338">
        <f ca="1">IF($E$18="SAC",Sim_SAC!K268,Sim_PRICE!J268)</f>
        <v>1581.3246896183703</v>
      </c>
      <c r="L279" s="339"/>
      <c r="M279" s="335">
        <f t="shared" ca="1" si="13"/>
        <v>1581.3246896183703</v>
      </c>
      <c r="N279" s="336">
        <f t="shared" ca="1" si="11"/>
        <v>7.6487445906008098</v>
      </c>
    </row>
    <row r="280" spans="2:14" ht="22.2" customHeight="1" thickTop="1" thickBot="1">
      <c r="B280" s="332">
        <f>Sim_SAC!C269</f>
        <v>52277</v>
      </c>
      <c r="C280" s="333">
        <f t="shared" ca="1" si="12"/>
        <v>1496.0485758167665</v>
      </c>
      <c r="D280" s="333">
        <f ca="1">IF($E$18="SAC",Sim_SAC!D269,Sim_PRICE!D269)</f>
        <v>842.74931039701278</v>
      </c>
      <c r="E280" s="333">
        <f ca="1">IF($E$18="SAC",Sim_SAC!E269,Sim_PRICE!E269)</f>
        <v>653.29926541975374</v>
      </c>
      <c r="F280" s="333">
        <f ca="1">IF($E$18="SAC",Sim_SAC!G269,Sim_PRICE!F269)</f>
        <v>95230.672074860893</v>
      </c>
      <c r="G280" s="333">
        <f ca="1">IF($E$18="SAC",Sim_SAC!H269,Sim_PRICE!G269)</f>
        <v>19.998441135720789</v>
      </c>
      <c r="H280" s="333">
        <f>IF($E$18="SAC",Sim_SAC!I269,Sim_PRICE!H269)</f>
        <v>34.369999999999997</v>
      </c>
      <c r="I280" s="333">
        <f>IF($E$18="SAC",Sim_SAC!J269,Sim_PRICE!I269)</f>
        <v>25</v>
      </c>
      <c r="J280" s="333">
        <f ca="1">IF($E$18="SAC",Sim_SAC!K269,Sim_PRICE!J269)</f>
        <v>1575.4170169524873</v>
      </c>
      <c r="L280" s="335"/>
      <c r="M280" s="335">
        <f t="shared" ca="1" si="13"/>
        <v>1575.4170169524873</v>
      </c>
      <c r="N280" s="336">
        <f t="shared" ca="1" si="11"/>
        <v>7.5622645019244423</v>
      </c>
    </row>
    <row r="281" spans="2:14" ht="22.2" customHeight="1" thickTop="1" thickBot="1">
      <c r="B281" s="337">
        <f>Sim_SAC!C270</f>
        <v>52305</v>
      </c>
      <c r="C281" s="338">
        <f t="shared" ca="1" si="12"/>
        <v>1490.3178805060668</v>
      </c>
      <c r="D281" s="338">
        <f ca="1">IF($E$18="SAC",Sim_SAC!D270,Sim_PRICE!D270)</f>
        <v>842.74931039701278</v>
      </c>
      <c r="E281" s="338">
        <f ca="1">IF($E$18="SAC",Sim_SAC!E270,Sim_PRICE!E270)</f>
        <v>647.56857010905401</v>
      </c>
      <c r="F281" s="338">
        <f ca="1">IF($E$18="SAC",Sim_SAC!G270,Sim_PRICE!F270)</f>
        <v>94387.922764463874</v>
      </c>
      <c r="G281" s="338">
        <f ca="1">IF($E$18="SAC",Sim_SAC!H270,Sim_PRICE!G270)</f>
        <v>19.821463780537414</v>
      </c>
      <c r="H281" s="338">
        <f>IF($E$18="SAC",Sim_SAC!I270,Sim_PRICE!H270)</f>
        <v>34.369999999999997</v>
      </c>
      <c r="I281" s="338">
        <f>IF($E$18="SAC",Sim_SAC!J270,Sim_PRICE!I270)</f>
        <v>25</v>
      </c>
      <c r="J281" s="338">
        <f ca="1">IF($E$18="SAC",Sim_SAC!K270,Sim_PRICE!J270)</f>
        <v>1569.5093442866041</v>
      </c>
      <c r="L281" s="339"/>
      <c r="M281" s="335">
        <f t="shared" ca="1" si="13"/>
        <v>1569.5093442866041</v>
      </c>
      <c r="N281" s="336">
        <f t="shared" ca="1" si="11"/>
        <v>7.4825612188056372</v>
      </c>
    </row>
    <row r="282" spans="2:14" ht="22.2" customHeight="1" thickTop="1" thickBot="1">
      <c r="B282" s="332">
        <f>Sim_SAC!C271</f>
        <v>52336</v>
      </c>
      <c r="C282" s="333">
        <f t="shared" ca="1" si="12"/>
        <v>1484.5871851953671</v>
      </c>
      <c r="D282" s="333">
        <f ca="1">IF($E$18="SAC",Sim_SAC!D271,Sim_PRICE!D271)</f>
        <v>842.74931039701278</v>
      </c>
      <c r="E282" s="333">
        <f ca="1">IF($E$18="SAC",Sim_SAC!E271,Sim_PRICE!E271)</f>
        <v>641.83787479835428</v>
      </c>
      <c r="F282" s="333">
        <f ca="1">IF($E$18="SAC",Sim_SAC!G271,Sim_PRICE!F271)</f>
        <v>93545.173454066855</v>
      </c>
      <c r="G282" s="333">
        <f ca="1">IF($E$18="SAC",Sim_SAC!H271,Sim_PRICE!G271)</f>
        <v>19.644486425354039</v>
      </c>
      <c r="H282" s="333">
        <f>IF($E$18="SAC",Sim_SAC!I271,Sim_PRICE!H271)</f>
        <v>34.369999999999997</v>
      </c>
      <c r="I282" s="333">
        <f>IF($E$18="SAC",Sim_SAC!J271,Sim_PRICE!I271)</f>
        <v>25</v>
      </c>
      <c r="J282" s="333">
        <f ca="1">IF($E$18="SAC",Sim_SAC!K271,Sim_PRICE!J271)</f>
        <v>1563.6016716207209</v>
      </c>
      <c r="L282" s="335"/>
      <c r="M282" s="335">
        <f t="shared" ca="1" si="13"/>
        <v>1563.6016716207209</v>
      </c>
      <c r="N282" s="336">
        <f t="shared" ca="1" si="11"/>
        <v>7.3978027833600439</v>
      </c>
    </row>
    <row r="283" spans="2:14" ht="22.2" customHeight="1" thickTop="1" thickBot="1">
      <c r="B283" s="337">
        <f>Sim_SAC!C272</f>
        <v>52366</v>
      </c>
      <c r="C283" s="338">
        <f t="shared" ca="1" si="12"/>
        <v>1478.8564898846673</v>
      </c>
      <c r="D283" s="338">
        <f ca="1">IF($E$18="SAC",Sim_SAC!D272,Sim_PRICE!D272)</f>
        <v>842.74931039701278</v>
      </c>
      <c r="E283" s="338">
        <f ca="1">IF($E$18="SAC",Sim_SAC!E272,Sim_PRICE!E272)</f>
        <v>636.10717948765455</v>
      </c>
      <c r="F283" s="338">
        <f ca="1">IF($E$18="SAC",Sim_SAC!G272,Sim_PRICE!F272)</f>
        <v>92702.424143669836</v>
      </c>
      <c r="G283" s="338">
        <f ca="1">IF($E$18="SAC",Sim_SAC!H272,Sim_PRICE!G272)</f>
        <v>19.467509070170667</v>
      </c>
      <c r="H283" s="338">
        <f>IF($E$18="SAC",Sim_SAC!I272,Sim_PRICE!H272)</f>
        <v>34.369999999999997</v>
      </c>
      <c r="I283" s="338">
        <f>IF($E$18="SAC",Sim_SAC!J272,Sim_PRICE!I272)</f>
        <v>25</v>
      </c>
      <c r="J283" s="338">
        <f ca="1">IF($E$18="SAC",Sim_SAC!K272,Sim_PRICE!J272)</f>
        <v>1557.693998954838</v>
      </c>
      <c r="L283" s="339"/>
      <c r="M283" s="335">
        <f t="shared" ca="1" si="13"/>
        <v>1557.693998954838</v>
      </c>
      <c r="N283" s="336">
        <f t="shared" ca="1" si="11"/>
        <v>7.3158421876361395</v>
      </c>
    </row>
    <row r="284" spans="2:14" ht="22.2" customHeight="1" thickTop="1" thickBot="1">
      <c r="B284" s="332">
        <f>Sim_SAC!C273</f>
        <v>52397</v>
      </c>
      <c r="C284" s="333">
        <f t="shared" ca="1" si="12"/>
        <v>1473.1257945739676</v>
      </c>
      <c r="D284" s="333">
        <f ca="1">IF($E$18="SAC",Sim_SAC!D273,Sim_PRICE!D273)</f>
        <v>842.74931039701278</v>
      </c>
      <c r="E284" s="333">
        <f ca="1">IF($E$18="SAC",Sim_SAC!E273,Sim_PRICE!E273)</f>
        <v>630.37648417695482</v>
      </c>
      <c r="F284" s="333">
        <f ca="1">IF($E$18="SAC",Sim_SAC!G273,Sim_PRICE!F273)</f>
        <v>91859.674833272817</v>
      </c>
      <c r="G284" s="333">
        <f ca="1">IF($E$18="SAC",Sim_SAC!H273,Sim_PRICE!G273)</f>
        <v>19.290531714987292</v>
      </c>
      <c r="H284" s="333">
        <f>IF($E$18="SAC",Sim_SAC!I273,Sim_PRICE!H273)</f>
        <v>34.369999999999997</v>
      </c>
      <c r="I284" s="333">
        <f>IF($E$18="SAC",Sim_SAC!J273,Sim_PRICE!I273)</f>
        <v>25</v>
      </c>
      <c r="J284" s="333">
        <f ca="1">IF($E$18="SAC",Sim_SAC!K273,Sim_PRICE!J273)</f>
        <v>1551.7863262889548</v>
      </c>
      <c r="L284" s="335"/>
      <c r="M284" s="335">
        <f t="shared" ca="1" si="13"/>
        <v>1551.7863262889548</v>
      </c>
      <c r="N284" s="336">
        <f t="shared" ca="1" si="11"/>
        <v>7.2328164488419207</v>
      </c>
    </row>
    <row r="285" spans="2:14" ht="22.2" customHeight="1" thickTop="1" thickBot="1">
      <c r="B285" s="337">
        <f>Sim_SAC!C274</f>
        <v>52427</v>
      </c>
      <c r="C285" s="338">
        <f t="shared" ca="1" si="12"/>
        <v>1467.3950992632679</v>
      </c>
      <c r="D285" s="338">
        <f ca="1">IF($E$18="SAC",Sim_SAC!D274,Sim_PRICE!D274)</f>
        <v>842.74931039701278</v>
      </c>
      <c r="E285" s="338">
        <f ca="1">IF($E$18="SAC",Sim_SAC!E274,Sim_PRICE!E274)</f>
        <v>624.64578886625509</v>
      </c>
      <c r="F285" s="338">
        <f ca="1">IF($E$18="SAC",Sim_SAC!G274,Sim_PRICE!F274)</f>
        <v>91016.925522875797</v>
      </c>
      <c r="G285" s="338">
        <f ca="1">IF($E$18="SAC",Sim_SAC!H274,Sim_PRICE!G274)</f>
        <v>19.113554359803917</v>
      </c>
      <c r="H285" s="338">
        <f>IF($E$18="SAC",Sim_SAC!I274,Sim_PRICE!H274)</f>
        <v>34.369999999999997</v>
      </c>
      <c r="I285" s="338">
        <f>IF($E$18="SAC",Sim_SAC!J274,Sim_PRICE!I274)</f>
        <v>25</v>
      </c>
      <c r="J285" s="338">
        <f ca="1">IF($E$18="SAC",Sim_SAC!K274,Sim_PRICE!J274)</f>
        <v>1545.8786536230716</v>
      </c>
      <c r="L285" s="339"/>
      <c r="M285" s="335">
        <f t="shared" ca="1" si="13"/>
        <v>1545.8786536230716</v>
      </c>
      <c r="N285" s="336">
        <f t="shared" ca="1" si="11"/>
        <v>7.1525286504525081</v>
      </c>
    </row>
    <row r="286" spans="2:14" ht="22.2" customHeight="1" thickTop="1" thickBot="1">
      <c r="B286" s="332">
        <f>Sim_SAC!C275</f>
        <v>52458</v>
      </c>
      <c r="C286" s="333">
        <f t="shared" ca="1" si="12"/>
        <v>1461.6644039525681</v>
      </c>
      <c r="D286" s="333">
        <f ca="1">IF($E$18="SAC",Sim_SAC!D275,Sim_PRICE!D275)</f>
        <v>842.74931039701278</v>
      </c>
      <c r="E286" s="333">
        <f ca="1">IF($E$18="SAC",Sim_SAC!E275,Sim_PRICE!E275)</f>
        <v>618.91509355555536</v>
      </c>
      <c r="F286" s="333">
        <f ca="1">IF($E$18="SAC",Sim_SAC!G275,Sim_PRICE!F275)</f>
        <v>90174.176212478778</v>
      </c>
      <c r="G286" s="333">
        <f ca="1">IF($E$18="SAC",Sim_SAC!H275,Sim_PRICE!G275)</f>
        <v>18.936577004620545</v>
      </c>
      <c r="H286" s="333">
        <f>IF($E$18="SAC",Sim_SAC!I275,Sim_PRICE!H275)</f>
        <v>34.369999999999997</v>
      </c>
      <c r="I286" s="333">
        <f>IF($E$18="SAC",Sim_SAC!J275,Sim_PRICE!I275)</f>
        <v>25</v>
      </c>
      <c r="J286" s="333">
        <f ca="1">IF($E$18="SAC",Sim_SAC!K275,Sim_PRICE!J275)</f>
        <v>1539.9709809571887</v>
      </c>
      <c r="L286" s="335"/>
      <c r="M286" s="335">
        <f t="shared" ca="1" si="13"/>
        <v>1539.9709809571887</v>
      </c>
      <c r="N286" s="336">
        <f t="shared" ca="1" si="11"/>
        <v>7.0712019727187672</v>
      </c>
    </row>
    <row r="287" spans="2:14" ht="22.2" customHeight="1" thickTop="1" thickBot="1">
      <c r="B287" s="337">
        <f>Sim_SAC!C276</f>
        <v>52489</v>
      </c>
      <c r="C287" s="338">
        <f t="shared" ca="1" si="12"/>
        <v>1455.9337086418684</v>
      </c>
      <c r="D287" s="338">
        <f ca="1">IF($E$18="SAC",Sim_SAC!D276,Sim_PRICE!D276)</f>
        <v>842.74931039701278</v>
      </c>
      <c r="E287" s="338">
        <f ca="1">IF($E$18="SAC",Sim_SAC!E276,Sim_PRICE!E276)</f>
        <v>613.18439824485563</v>
      </c>
      <c r="F287" s="338">
        <f ca="1">IF($E$18="SAC",Sim_SAC!G276,Sim_PRICE!F276)</f>
        <v>89331.426902081759</v>
      </c>
      <c r="G287" s="338">
        <f ca="1">IF($E$18="SAC",Sim_SAC!H276,Sim_PRICE!G276)</f>
        <v>18.75959964943717</v>
      </c>
      <c r="H287" s="338">
        <f>IF($E$18="SAC",Sim_SAC!I276,Sim_PRICE!H276)</f>
        <v>34.369999999999997</v>
      </c>
      <c r="I287" s="338">
        <f>IF($E$18="SAC",Sim_SAC!J276,Sim_PRICE!I276)</f>
        <v>25</v>
      </c>
      <c r="J287" s="338">
        <f ca="1">IF($E$18="SAC",Sim_SAC!K276,Sim_PRICE!J276)</f>
        <v>1534.0633082913055</v>
      </c>
      <c r="L287" s="339"/>
      <c r="M287" s="335">
        <f t="shared" ca="1" si="13"/>
        <v>1534.0633082913055</v>
      </c>
      <c r="N287" s="336">
        <f t="shared" ca="1" si="11"/>
        <v>6.9907229519308203</v>
      </c>
    </row>
    <row r="288" spans="2:14" ht="22.2" customHeight="1" thickTop="1" thickBot="1">
      <c r="B288" s="332">
        <f>Sim_SAC!C277</f>
        <v>52519</v>
      </c>
      <c r="C288" s="333">
        <f t="shared" ca="1" si="12"/>
        <v>1450.2030133311687</v>
      </c>
      <c r="D288" s="333">
        <f ca="1">IF($E$18="SAC",Sim_SAC!D277,Sim_PRICE!D277)</f>
        <v>842.74931039701278</v>
      </c>
      <c r="E288" s="333">
        <f ca="1">IF($E$18="SAC",Sim_SAC!E277,Sim_PRICE!E277)</f>
        <v>607.4537029341559</v>
      </c>
      <c r="F288" s="333">
        <f ca="1">IF($E$18="SAC",Sim_SAC!G277,Sim_PRICE!F277)</f>
        <v>88488.67759168474</v>
      </c>
      <c r="G288" s="333">
        <f ca="1">IF($E$18="SAC",Sim_SAC!H277,Sim_PRICE!G277)</f>
        <v>18.582622294253795</v>
      </c>
      <c r="H288" s="333">
        <f>IF($E$18="SAC",Sim_SAC!I277,Sim_PRICE!H277)</f>
        <v>34.369999999999997</v>
      </c>
      <c r="I288" s="333">
        <f>IF($E$18="SAC",Sim_SAC!J277,Sim_PRICE!I277)</f>
        <v>25</v>
      </c>
      <c r="J288" s="333">
        <f ca="1">IF($E$18="SAC",Sim_SAC!K277,Sim_PRICE!J277)</f>
        <v>1528.1556356254223</v>
      </c>
      <c r="L288" s="335"/>
      <c r="M288" s="335">
        <f t="shared" ca="1" si="13"/>
        <v>1528.1556356254223</v>
      </c>
      <c r="N288" s="336">
        <f t="shared" ca="1" si="11"/>
        <v>6.9128939108229019</v>
      </c>
    </row>
    <row r="289" spans="2:14" ht="22.2" customHeight="1" thickTop="1" thickBot="1">
      <c r="B289" s="337">
        <f>Sim_SAC!C278</f>
        <v>52550</v>
      </c>
      <c r="C289" s="338">
        <f t="shared" ca="1" si="12"/>
        <v>1444.4723180204689</v>
      </c>
      <c r="D289" s="338">
        <f ca="1">IF($E$18="SAC",Sim_SAC!D278,Sim_PRICE!D278)</f>
        <v>842.74931039701278</v>
      </c>
      <c r="E289" s="338">
        <f ca="1">IF($E$18="SAC",Sim_SAC!E278,Sim_PRICE!E278)</f>
        <v>601.72300762345617</v>
      </c>
      <c r="F289" s="338">
        <f ca="1">IF($E$18="SAC",Sim_SAC!G278,Sim_PRICE!F278)</f>
        <v>87645.928281287721</v>
      </c>
      <c r="G289" s="338">
        <f ca="1">IF($E$18="SAC",Sim_SAC!H278,Sim_PRICE!G278)</f>
        <v>18.405644939070424</v>
      </c>
      <c r="H289" s="338">
        <f>IF($E$18="SAC",Sim_SAC!I278,Sim_PRICE!H278)</f>
        <v>34.369999999999997</v>
      </c>
      <c r="I289" s="338">
        <f>IF($E$18="SAC",Sim_SAC!J278,Sim_PRICE!I278)</f>
        <v>25</v>
      </c>
      <c r="J289" s="338">
        <f ca="1">IF($E$18="SAC",Sim_SAC!K278,Sim_PRICE!J278)</f>
        <v>1522.2479629595393</v>
      </c>
      <c r="L289" s="339"/>
      <c r="M289" s="335">
        <f t="shared" ca="1" si="13"/>
        <v>1522.2479629595393</v>
      </c>
      <c r="N289" s="336">
        <f t="shared" ref="N289:N320" ca="1" si="14">IFERROR((G289+H289)/((1.008)^(12*(B289-$B$32)/365)),"")</f>
        <v>6.8340644611212475</v>
      </c>
    </row>
    <row r="290" spans="2:14" ht="22.2" customHeight="1" thickTop="1" thickBot="1">
      <c r="B290" s="332">
        <f>Sim_SAC!C279</f>
        <v>52580</v>
      </c>
      <c r="C290" s="333">
        <f t="shared" ca="1" si="12"/>
        <v>1438.7416227097692</v>
      </c>
      <c r="D290" s="333">
        <f ca="1">IF($E$18="SAC",Sim_SAC!D279,Sim_PRICE!D279)</f>
        <v>842.74931039701278</v>
      </c>
      <c r="E290" s="333">
        <f ca="1">IF($E$18="SAC",Sim_SAC!E279,Sim_PRICE!E279)</f>
        <v>595.99231231275644</v>
      </c>
      <c r="F290" s="333">
        <f ca="1">IF($E$18="SAC",Sim_SAC!G279,Sim_PRICE!F279)</f>
        <v>86803.178970890702</v>
      </c>
      <c r="G290" s="333">
        <f ca="1">IF($E$18="SAC",Sim_SAC!H279,Sim_PRICE!G279)</f>
        <v>18.228667583887049</v>
      </c>
      <c r="H290" s="333">
        <f>IF($E$18="SAC",Sim_SAC!I279,Sim_PRICE!H279)</f>
        <v>34.369999999999997</v>
      </c>
      <c r="I290" s="333">
        <f>IF($E$18="SAC",Sim_SAC!J279,Sim_PRICE!I279)</f>
        <v>25</v>
      </c>
      <c r="J290" s="333">
        <f ca="1">IF($E$18="SAC",Sim_SAC!K279,Sim_PRICE!J279)</f>
        <v>1516.3402902936562</v>
      </c>
      <c r="L290" s="335"/>
      <c r="M290" s="335">
        <f t="shared" ca="1" si="13"/>
        <v>1516.3402902936562</v>
      </c>
      <c r="N290" s="336">
        <f t="shared" ca="1" si="14"/>
        <v>6.7578280465519907</v>
      </c>
    </row>
    <row r="291" spans="2:14" ht="22.2" customHeight="1" thickTop="1" thickBot="1">
      <c r="B291" s="337">
        <f>Sim_SAC!C280</f>
        <v>52611</v>
      </c>
      <c r="C291" s="338">
        <f t="shared" ca="1" si="12"/>
        <v>1433.0109273990695</v>
      </c>
      <c r="D291" s="338">
        <f ca="1">IF($E$18="SAC",Sim_SAC!D280,Sim_PRICE!D280)</f>
        <v>842.74931039701278</v>
      </c>
      <c r="E291" s="338">
        <f ca="1">IF($E$18="SAC",Sim_SAC!E280,Sim_PRICE!E280)</f>
        <v>590.26161700205671</v>
      </c>
      <c r="F291" s="338">
        <f ca="1">IF($E$18="SAC",Sim_SAC!G280,Sim_PRICE!F280)</f>
        <v>85960.429660493683</v>
      </c>
      <c r="G291" s="338">
        <f ca="1">IF($E$18="SAC",Sim_SAC!H280,Sim_PRICE!G280)</f>
        <v>18.051690228703674</v>
      </c>
      <c r="H291" s="338">
        <f>IF($E$18="SAC",Sim_SAC!I280,Sim_PRICE!H280)</f>
        <v>34.369999999999997</v>
      </c>
      <c r="I291" s="338">
        <f>IF($E$18="SAC",Sim_SAC!J280,Sim_PRICE!I280)</f>
        <v>25</v>
      </c>
      <c r="J291" s="338">
        <f ca="1">IF($E$18="SAC",Sim_SAC!K280,Sim_PRICE!J280)</f>
        <v>1510.432617627773</v>
      </c>
      <c r="L291" s="339"/>
      <c r="M291" s="335">
        <f t="shared" ca="1" si="13"/>
        <v>1510.432617627773</v>
      </c>
      <c r="N291" s="336">
        <f t="shared" ca="1" si="14"/>
        <v>6.6806160924325617</v>
      </c>
    </row>
    <row r="292" spans="2:14" ht="22.2" customHeight="1" thickTop="1" thickBot="1">
      <c r="B292" s="332">
        <f>Sim_SAC!C281</f>
        <v>52642</v>
      </c>
      <c r="C292" s="333">
        <f t="shared" ca="1" si="12"/>
        <v>1427.2802320883698</v>
      </c>
      <c r="D292" s="333">
        <f ca="1">IF($E$18="SAC",Sim_SAC!D281,Sim_PRICE!D281)</f>
        <v>842.74931039701278</v>
      </c>
      <c r="E292" s="333">
        <f ca="1">IF($E$18="SAC",Sim_SAC!E281,Sim_PRICE!E281)</f>
        <v>584.53092169135698</v>
      </c>
      <c r="F292" s="333">
        <f ca="1">IF($E$18="SAC",Sim_SAC!G281,Sim_PRICE!F281)</f>
        <v>85117.680350096663</v>
      </c>
      <c r="G292" s="333">
        <f ca="1">IF($E$18="SAC",Sim_SAC!H281,Sim_PRICE!G281)</f>
        <v>17.874712873520298</v>
      </c>
      <c r="H292" s="333">
        <f>IF($E$18="SAC",Sim_SAC!I281,Sim_PRICE!H281)</f>
        <v>34.369999999999997</v>
      </c>
      <c r="I292" s="333">
        <f>IF($E$18="SAC",Sim_SAC!J281,Sim_PRICE!I281)</f>
        <v>25</v>
      </c>
      <c r="J292" s="333">
        <f ca="1">IF($E$18="SAC",Sim_SAC!K281,Sim_PRICE!J281)</f>
        <v>1504.52494496189</v>
      </c>
      <c r="L292" s="335"/>
      <c r="M292" s="335">
        <f t="shared" ca="1" si="13"/>
        <v>1504.52494496189</v>
      </c>
      <c r="N292" s="336">
        <f t="shared" ca="1" si="14"/>
        <v>6.6042110549430744</v>
      </c>
    </row>
    <row r="293" spans="2:14" ht="22.2" customHeight="1" thickTop="1" thickBot="1">
      <c r="B293" s="337">
        <f>Sim_SAC!C282</f>
        <v>52671</v>
      </c>
      <c r="C293" s="338">
        <f t="shared" ca="1" si="12"/>
        <v>1421.54953677767</v>
      </c>
      <c r="D293" s="338">
        <f ca="1">IF($E$18="SAC",Sim_SAC!D282,Sim_PRICE!D282)</f>
        <v>842.74931039701278</v>
      </c>
      <c r="E293" s="338">
        <f ca="1">IF($E$18="SAC",Sim_SAC!E282,Sim_PRICE!E282)</f>
        <v>578.80022638065725</v>
      </c>
      <c r="F293" s="338">
        <f ca="1">IF($E$18="SAC",Sim_SAC!G282,Sim_PRICE!F282)</f>
        <v>84274.931039699644</v>
      </c>
      <c r="G293" s="338">
        <f ca="1">IF($E$18="SAC",Sim_SAC!H282,Sim_PRICE!G282)</f>
        <v>17.697735518336927</v>
      </c>
      <c r="H293" s="338">
        <f>IF($E$18="SAC",Sim_SAC!I282,Sim_PRICE!H282)</f>
        <v>34.369999999999997</v>
      </c>
      <c r="I293" s="338">
        <f>IF($E$18="SAC",Sim_SAC!J282,Sim_PRICE!I282)</f>
        <v>25</v>
      </c>
      <c r="J293" s="338">
        <f ca="1">IF($E$18="SAC",Sim_SAC!K282,Sim_PRICE!J282)</f>
        <v>1498.6172722960068</v>
      </c>
      <c r="L293" s="339"/>
      <c r="M293" s="335">
        <f t="shared" ca="1" si="13"/>
        <v>1498.6172722960068</v>
      </c>
      <c r="N293" s="336">
        <f t="shared" ca="1" si="14"/>
        <v>6.5320263894599364</v>
      </c>
    </row>
    <row r="294" spans="2:14" ht="22.2" customHeight="1" thickTop="1" thickBot="1">
      <c r="B294" s="332">
        <f>Sim_SAC!C283</f>
        <v>52702</v>
      </c>
      <c r="C294" s="333">
        <f t="shared" ca="1" si="12"/>
        <v>1415.8188414669703</v>
      </c>
      <c r="D294" s="333">
        <f ca="1">IF($E$18="SAC",Sim_SAC!D283,Sim_PRICE!D283)</f>
        <v>842.74931039701278</v>
      </c>
      <c r="E294" s="333">
        <f ca="1">IF($E$18="SAC",Sim_SAC!E283,Sim_PRICE!E283)</f>
        <v>573.06953106995752</v>
      </c>
      <c r="F294" s="333">
        <f ca="1">IF($E$18="SAC",Sim_SAC!G283,Sim_PRICE!F283)</f>
        <v>83432.181729302625</v>
      </c>
      <c r="G294" s="333">
        <f ca="1">IF($E$18="SAC",Sim_SAC!H283,Sim_PRICE!G283)</f>
        <v>17.520758163153552</v>
      </c>
      <c r="H294" s="333">
        <f>IF($E$18="SAC",Sim_SAC!I283,Sim_PRICE!H283)</f>
        <v>34.369999999999997</v>
      </c>
      <c r="I294" s="333">
        <f>IF($E$18="SAC",Sim_SAC!J283,Sim_PRICE!I283)</f>
        <v>25</v>
      </c>
      <c r="J294" s="333">
        <f ca="1">IF($E$18="SAC",Sim_SAC!K283,Sim_PRICE!J283)</f>
        <v>1492.7095996301236</v>
      </c>
      <c r="L294" s="335"/>
      <c r="M294" s="335">
        <f t="shared" ca="1" si="13"/>
        <v>1492.7095996301236</v>
      </c>
      <c r="N294" s="336">
        <f t="shared" ca="1" si="14"/>
        <v>6.4571720478628949</v>
      </c>
    </row>
    <row r="295" spans="2:14" ht="22.2" customHeight="1" thickTop="1" thickBot="1">
      <c r="B295" s="337">
        <f>Sim_SAC!C284</f>
        <v>52732</v>
      </c>
      <c r="C295" s="338">
        <f t="shared" ca="1" si="12"/>
        <v>1410.0881461562706</v>
      </c>
      <c r="D295" s="338">
        <f ca="1">IF($E$18="SAC",Sim_SAC!D284,Sim_PRICE!D284)</f>
        <v>842.74931039701278</v>
      </c>
      <c r="E295" s="338">
        <f ca="1">IF($E$18="SAC",Sim_SAC!E284,Sim_PRICE!E284)</f>
        <v>567.33883575925779</v>
      </c>
      <c r="F295" s="338">
        <f ca="1">IF($E$18="SAC",Sim_SAC!G284,Sim_PRICE!F284)</f>
        <v>82589.432418905606</v>
      </c>
      <c r="G295" s="338">
        <f ca="1">IF($E$18="SAC",Sim_SAC!H284,Sim_PRICE!G284)</f>
        <v>17.343780807970177</v>
      </c>
      <c r="H295" s="338">
        <f>IF($E$18="SAC",Sim_SAC!I284,Sim_PRICE!H284)</f>
        <v>34.369999999999997</v>
      </c>
      <c r="I295" s="338">
        <f>IF($E$18="SAC",Sim_SAC!J284,Sim_PRICE!I284)</f>
        <v>25</v>
      </c>
      <c r="J295" s="338">
        <f ca="1">IF($E$18="SAC",Sim_SAC!K284,Sim_PRICE!J284)</f>
        <v>1486.8019269642407</v>
      </c>
      <c r="L295" s="339"/>
      <c r="M295" s="335">
        <f t="shared" ca="1" si="13"/>
        <v>1486.8019269642407</v>
      </c>
      <c r="N295" s="336">
        <f t="shared" ca="1" si="14"/>
        <v>6.3847736393801169</v>
      </c>
    </row>
    <row r="296" spans="2:14" ht="22.2" customHeight="1" thickTop="1" thickBot="1">
      <c r="B296" s="332">
        <f>Sim_SAC!C285</f>
        <v>52763</v>
      </c>
      <c r="C296" s="333">
        <f t="shared" ca="1" si="12"/>
        <v>1404.3574508455708</v>
      </c>
      <c r="D296" s="333">
        <f ca="1">IF($E$18="SAC",Sim_SAC!D285,Sim_PRICE!D285)</f>
        <v>842.74931039701278</v>
      </c>
      <c r="E296" s="333">
        <f ca="1">IF($E$18="SAC",Sim_SAC!E285,Sim_PRICE!E285)</f>
        <v>561.60814044855806</v>
      </c>
      <c r="F296" s="333">
        <f ca="1">IF($E$18="SAC",Sim_SAC!G285,Sim_PRICE!F285)</f>
        <v>81746.683108508587</v>
      </c>
      <c r="G296" s="333">
        <f ca="1">IF($E$18="SAC",Sim_SAC!H285,Sim_PRICE!G285)</f>
        <v>17.166803452786805</v>
      </c>
      <c r="H296" s="333">
        <f>IF($E$18="SAC",Sim_SAC!I285,Sim_PRICE!H285)</f>
        <v>34.369999999999997</v>
      </c>
      <c r="I296" s="333">
        <f>IF($E$18="SAC",Sim_SAC!J285,Sim_PRICE!I285)</f>
        <v>25</v>
      </c>
      <c r="J296" s="333">
        <f ca="1">IF($E$18="SAC",Sim_SAC!K285,Sim_PRICE!J285)</f>
        <v>1480.8942542983575</v>
      </c>
      <c r="L296" s="335"/>
      <c r="M296" s="335">
        <f t="shared" ca="1" si="13"/>
        <v>1480.8942542983575</v>
      </c>
      <c r="N296" s="336">
        <f t="shared" ca="1" si="14"/>
        <v>6.3114594178145698</v>
      </c>
    </row>
    <row r="297" spans="2:14" ht="22.2" customHeight="1" thickTop="1" thickBot="1">
      <c r="B297" s="337">
        <f>Sim_SAC!C286</f>
        <v>52793</v>
      </c>
      <c r="C297" s="338">
        <f t="shared" ca="1" si="12"/>
        <v>1398.6267555348711</v>
      </c>
      <c r="D297" s="338">
        <f ca="1">IF($E$18="SAC",Sim_SAC!D286,Sim_PRICE!D286)</f>
        <v>842.74931039701278</v>
      </c>
      <c r="E297" s="338">
        <f ca="1">IF($E$18="SAC",Sim_SAC!E286,Sim_PRICE!E286)</f>
        <v>555.87744513785833</v>
      </c>
      <c r="F297" s="338">
        <f ca="1">IF($E$18="SAC",Sim_SAC!G286,Sim_PRICE!F286)</f>
        <v>80903.933798111568</v>
      </c>
      <c r="G297" s="338">
        <f ca="1">IF($E$18="SAC",Sim_SAC!H286,Sim_PRICE!G286)</f>
        <v>16.98982609760343</v>
      </c>
      <c r="H297" s="338">
        <f>IF($E$18="SAC",Sim_SAC!I286,Sim_PRICE!H286)</f>
        <v>34.369999999999997</v>
      </c>
      <c r="I297" s="338">
        <f>IF($E$18="SAC",Sim_SAC!J286,Sim_PRICE!I286)</f>
        <v>25</v>
      </c>
      <c r="J297" s="338">
        <f ca="1">IF($E$18="SAC",Sim_SAC!K286,Sim_PRICE!J286)</f>
        <v>1474.9865816324743</v>
      </c>
      <c r="L297" s="339"/>
      <c r="M297" s="335">
        <f t="shared" ca="1" si="13"/>
        <v>1474.9865816324743</v>
      </c>
      <c r="N297" s="336">
        <f t="shared" ca="1" si="14"/>
        <v>6.2405480715387807</v>
      </c>
    </row>
    <row r="298" spans="2:14" ht="22.2" customHeight="1" thickTop="1" thickBot="1">
      <c r="B298" s="332">
        <f>Sim_SAC!C287</f>
        <v>52824</v>
      </c>
      <c r="C298" s="333">
        <f t="shared" ca="1" si="12"/>
        <v>1392.8960602241714</v>
      </c>
      <c r="D298" s="333">
        <f ca="1">IF($E$18="SAC",Sim_SAC!D287,Sim_PRICE!D287)</f>
        <v>842.74931039701278</v>
      </c>
      <c r="E298" s="333">
        <f ca="1">IF($E$18="SAC",Sim_SAC!E287,Sim_PRICE!E287)</f>
        <v>550.1467498271586</v>
      </c>
      <c r="F298" s="333">
        <f ca="1">IF($E$18="SAC",Sim_SAC!G287,Sim_PRICE!F287)</f>
        <v>80061.184487714549</v>
      </c>
      <c r="G298" s="333">
        <f ca="1">IF($E$18="SAC",Sim_SAC!H287,Sim_PRICE!G287)</f>
        <v>16.812848742420055</v>
      </c>
      <c r="H298" s="333">
        <f>IF($E$18="SAC",Sim_SAC!I287,Sim_PRICE!H287)</f>
        <v>34.369999999999997</v>
      </c>
      <c r="I298" s="333">
        <f>IF($E$18="SAC",Sim_SAC!J287,Sim_PRICE!I287)</f>
        <v>25</v>
      </c>
      <c r="J298" s="333">
        <f ca="1">IF($E$18="SAC",Sim_SAC!K287,Sim_PRICE!J287)</f>
        <v>1469.0789089665914</v>
      </c>
      <c r="L298" s="335"/>
      <c r="M298" s="335">
        <f t="shared" ca="1" si="13"/>
        <v>1469.0789089665914</v>
      </c>
      <c r="N298" s="336">
        <f t="shared" ca="1" si="14"/>
        <v>6.1687439511747897</v>
      </c>
    </row>
    <row r="299" spans="2:14" ht="22.2" customHeight="1" thickTop="1" thickBot="1">
      <c r="B299" s="337">
        <f>Sim_SAC!C288</f>
        <v>52855</v>
      </c>
      <c r="C299" s="338">
        <f t="shared" ca="1" si="12"/>
        <v>1387.1653649134716</v>
      </c>
      <c r="D299" s="338">
        <f ca="1">IF($E$18="SAC",Sim_SAC!D288,Sim_PRICE!D288)</f>
        <v>842.74931039701278</v>
      </c>
      <c r="E299" s="338">
        <f ca="1">IF($E$18="SAC",Sim_SAC!E288,Sim_PRICE!E288)</f>
        <v>544.41605451645887</v>
      </c>
      <c r="F299" s="338">
        <f ca="1">IF($E$18="SAC",Sim_SAC!G288,Sim_PRICE!F288)</f>
        <v>79218.435177317529</v>
      </c>
      <c r="G299" s="338">
        <f ca="1">IF($E$18="SAC",Sim_SAC!H288,Sim_PRICE!G288)</f>
        <v>16.635871387236683</v>
      </c>
      <c r="H299" s="338">
        <f>IF($E$18="SAC",Sim_SAC!I288,Sim_PRICE!H288)</f>
        <v>34.369999999999997</v>
      </c>
      <c r="I299" s="338">
        <f>IF($E$18="SAC",Sim_SAC!J288,Sim_PRICE!I288)</f>
        <v>25</v>
      </c>
      <c r="J299" s="338">
        <f ca="1">IF($E$18="SAC",Sim_SAC!K288,Sim_PRICE!J288)</f>
        <v>1463.1712363007082</v>
      </c>
      <c r="L299" s="339"/>
      <c r="M299" s="335">
        <f t="shared" ca="1" si="13"/>
        <v>1463.1712363007082</v>
      </c>
      <c r="N299" s="336">
        <f t="shared" ca="1" si="14"/>
        <v>6.0976931083370207</v>
      </c>
    </row>
    <row r="300" spans="2:14" ht="22.2" customHeight="1" thickTop="1" thickBot="1">
      <c r="B300" s="332">
        <f>Sim_SAC!C289</f>
        <v>52885</v>
      </c>
      <c r="C300" s="333">
        <f t="shared" ca="1" si="12"/>
        <v>1381.4346696027719</v>
      </c>
      <c r="D300" s="333">
        <f ca="1">IF($E$18="SAC",Sim_SAC!D289,Sim_PRICE!D289)</f>
        <v>842.74931039701278</v>
      </c>
      <c r="E300" s="333">
        <f ca="1">IF($E$18="SAC",Sim_SAC!E289,Sim_PRICE!E289)</f>
        <v>538.68535920575914</v>
      </c>
      <c r="F300" s="333">
        <f ca="1">IF($E$18="SAC",Sim_SAC!G289,Sim_PRICE!F289)</f>
        <v>78375.68586692051</v>
      </c>
      <c r="G300" s="333">
        <f ca="1">IF($E$18="SAC",Sim_SAC!H289,Sim_PRICE!G289)</f>
        <v>16.458894032053308</v>
      </c>
      <c r="H300" s="333">
        <f>IF($E$18="SAC",Sim_SAC!I289,Sim_PRICE!H289)</f>
        <v>34.369999999999997</v>
      </c>
      <c r="I300" s="333">
        <f>IF($E$18="SAC",Sim_SAC!J289,Sim_PRICE!I289)</f>
        <v>25</v>
      </c>
      <c r="J300" s="333">
        <f ca="1">IF($E$18="SAC",Sim_SAC!K289,Sim_PRICE!J289)</f>
        <v>1457.263563634825</v>
      </c>
      <c r="L300" s="335"/>
      <c r="M300" s="335">
        <f t="shared" ca="1" si="13"/>
        <v>1457.263563634825</v>
      </c>
      <c r="N300" s="336">
        <f t="shared" ca="1" si="14"/>
        <v>6.0289672400334853</v>
      </c>
    </row>
    <row r="301" spans="2:14" ht="22.2" customHeight="1" thickTop="1" thickBot="1">
      <c r="B301" s="337">
        <f>Sim_SAC!C290</f>
        <v>52916</v>
      </c>
      <c r="C301" s="338">
        <f t="shared" ca="1" si="12"/>
        <v>1375.7039742920722</v>
      </c>
      <c r="D301" s="338">
        <f ca="1">IF($E$18="SAC",Sim_SAC!D290,Sim_PRICE!D290)</f>
        <v>842.74931039701278</v>
      </c>
      <c r="E301" s="338">
        <f ca="1">IF($E$18="SAC",Sim_SAC!E290,Sim_PRICE!E290)</f>
        <v>532.95466389505941</v>
      </c>
      <c r="F301" s="338">
        <f ca="1">IF($E$18="SAC",Sim_SAC!G290,Sim_PRICE!F290)</f>
        <v>77532.936556523491</v>
      </c>
      <c r="G301" s="338">
        <f ca="1">IF($E$18="SAC",Sim_SAC!H290,Sim_PRICE!G290)</f>
        <v>16.281916676869933</v>
      </c>
      <c r="H301" s="338">
        <f>IF($E$18="SAC",Sim_SAC!I290,Sim_PRICE!H290)</f>
        <v>34.369999999999997</v>
      </c>
      <c r="I301" s="338">
        <f>IF($E$18="SAC",Sim_SAC!J290,Sim_PRICE!I290)</f>
        <v>25</v>
      </c>
      <c r="J301" s="338">
        <f ca="1">IF($E$18="SAC",Sim_SAC!K290,Sim_PRICE!J290)</f>
        <v>1451.355890968942</v>
      </c>
      <c r="L301" s="339"/>
      <c r="M301" s="335">
        <f t="shared" ca="1" si="13"/>
        <v>1451.355890968942</v>
      </c>
      <c r="N301" s="336">
        <f t="shared" ca="1" si="14"/>
        <v>5.9593823337267997</v>
      </c>
    </row>
    <row r="302" spans="2:14" ht="22.2" customHeight="1" thickTop="1" thickBot="1">
      <c r="B302" s="332">
        <f>Sim_SAC!C291</f>
        <v>52946</v>
      </c>
      <c r="C302" s="333">
        <f t="shared" ca="1" si="12"/>
        <v>1369.9732789813725</v>
      </c>
      <c r="D302" s="333">
        <f ca="1">IF($E$18="SAC",Sim_SAC!D291,Sim_PRICE!D291)</f>
        <v>842.74931039701278</v>
      </c>
      <c r="E302" s="333">
        <f ca="1">IF($E$18="SAC",Sim_SAC!E291,Sim_PRICE!E291)</f>
        <v>527.22396858435968</v>
      </c>
      <c r="F302" s="333">
        <f ca="1">IF($E$18="SAC",Sim_SAC!G291,Sim_PRICE!F291)</f>
        <v>76690.187246126472</v>
      </c>
      <c r="G302" s="333">
        <f ca="1">IF($E$18="SAC",Sim_SAC!H291,Sim_PRICE!G291)</f>
        <v>16.104939321686558</v>
      </c>
      <c r="H302" s="333">
        <f>IF($E$18="SAC",Sim_SAC!I291,Sim_PRICE!H291)</f>
        <v>34.369999999999997</v>
      </c>
      <c r="I302" s="333">
        <f>IF($E$18="SAC",Sim_SAC!J291,Sim_PRICE!I291)</f>
        <v>25</v>
      </c>
      <c r="J302" s="333">
        <f ca="1">IF($E$18="SAC",Sim_SAC!K291,Sim_PRICE!J291)</f>
        <v>1445.4482183030589</v>
      </c>
      <c r="L302" s="335"/>
      <c r="M302" s="335">
        <f t="shared" ca="1" si="13"/>
        <v>1445.4482183030589</v>
      </c>
      <c r="N302" s="336">
        <f t="shared" ca="1" si="14"/>
        <v>5.8920719751217741</v>
      </c>
    </row>
    <row r="303" spans="2:14" ht="22.2" customHeight="1" thickTop="1" thickBot="1">
      <c r="B303" s="337">
        <f>Sim_SAC!C292</f>
        <v>52977</v>
      </c>
      <c r="C303" s="338">
        <f t="shared" ca="1" si="12"/>
        <v>1364.2425836706727</v>
      </c>
      <c r="D303" s="338">
        <f ca="1">IF($E$18="SAC",Sim_SAC!D292,Sim_PRICE!D292)</f>
        <v>842.74931039701278</v>
      </c>
      <c r="E303" s="338">
        <f ca="1">IF($E$18="SAC",Sim_SAC!E292,Sim_PRICE!E292)</f>
        <v>521.49327327365995</v>
      </c>
      <c r="F303" s="338">
        <f ca="1">IF($E$18="SAC",Sim_SAC!G292,Sim_PRICE!F292)</f>
        <v>75847.437935729453</v>
      </c>
      <c r="G303" s="338">
        <f ca="1">IF($E$18="SAC",Sim_SAC!H292,Sim_PRICE!G292)</f>
        <v>15.927961966503187</v>
      </c>
      <c r="H303" s="338">
        <f>IF($E$18="SAC",Sim_SAC!I292,Sim_PRICE!H292)</f>
        <v>34.369999999999997</v>
      </c>
      <c r="I303" s="338">
        <f>IF($E$18="SAC",Sim_SAC!J292,Sim_PRICE!I292)</f>
        <v>25</v>
      </c>
      <c r="J303" s="338">
        <f ca="1">IF($E$18="SAC",Sim_SAC!K292,Sim_PRICE!J292)</f>
        <v>1439.5405456371759</v>
      </c>
      <c r="L303" s="339"/>
      <c r="M303" s="335">
        <f t="shared" ca="1" si="13"/>
        <v>1439.5405456371759</v>
      </c>
      <c r="N303" s="336">
        <f t="shared" ca="1" si="14"/>
        <v>5.8239243826920291</v>
      </c>
    </row>
    <row r="304" spans="2:14" ht="22.2" customHeight="1" thickTop="1" thickBot="1">
      <c r="B304" s="332">
        <f>Sim_SAC!C293</f>
        <v>53008</v>
      </c>
      <c r="C304" s="333">
        <f t="shared" ca="1" si="12"/>
        <v>1358.511888359973</v>
      </c>
      <c r="D304" s="333">
        <f ca="1">IF($E$18="SAC",Sim_SAC!D293,Sim_PRICE!D293)</f>
        <v>842.74931039701278</v>
      </c>
      <c r="E304" s="333">
        <f ca="1">IF($E$18="SAC",Sim_SAC!E293,Sim_PRICE!E293)</f>
        <v>515.76257796296022</v>
      </c>
      <c r="F304" s="333">
        <f ca="1">IF($E$18="SAC",Sim_SAC!G293,Sim_PRICE!F293)</f>
        <v>75004.688625332434</v>
      </c>
      <c r="G304" s="333">
        <f ca="1">IF($E$18="SAC",Sim_SAC!H293,Sim_PRICE!G293)</f>
        <v>15.750984611319812</v>
      </c>
      <c r="H304" s="333">
        <f>IF($E$18="SAC",Sim_SAC!I293,Sim_PRICE!H293)</f>
        <v>34.369999999999997</v>
      </c>
      <c r="I304" s="333">
        <f>IF($E$18="SAC",Sim_SAC!J293,Sim_PRICE!I293)</f>
        <v>25</v>
      </c>
      <c r="J304" s="333">
        <f ca="1">IF($E$18="SAC",Sim_SAC!K293,Sim_PRICE!J293)</f>
        <v>1433.6328729712927</v>
      </c>
      <c r="L304" s="335"/>
      <c r="M304" s="335">
        <f t="shared" ca="1" si="13"/>
        <v>1433.6328729712927</v>
      </c>
      <c r="N304" s="336">
        <f t="shared" ca="1" si="14"/>
        <v>5.7564937154519047</v>
      </c>
    </row>
    <row r="305" spans="2:14" ht="22.2" customHeight="1" thickTop="1" thickBot="1">
      <c r="B305" s="337">
        <f>Sim_SAC!C294</f>
        <v>53036</v>
      </c>
      <c r="C305" s="338">
        <f t="shared" ca="1" si="12"/>
        <v>1352.7811930492733</v>
      </c>
      <c r="D305" s="338">
        <f ca="1">IF($E$18="SAC",Sim_SAC!D294,Sim_PRICE!D294)</f>
        <v>842.74931039701278</v>
      </c>
      <c r="E305" s="338">
        <f ca="1">IF($E$18="SAC",Sim_SAC!E294,Sim_PRICE!E294)</f>
        <v>510.03188265226055</v>
      </c>
      <c r="F305" s="338">
        <f ca="1">IF($E$18="SAC",Sim_SAC!G294,Sim_PRICE!F294)</f>
        <v>74161.939314935415</v>
      </c>
      <c r="G305" s="338">
        <f ca="1">IF($E$18="SAC",Sim_SAC!H294,Sim_PRICE!G294)</f>
        <v>15.574007256136438</v>
      </c>
      <c r="H305" s="338">
        <f>IF($E$18="SAC",Sim_SAC!I294,Sim_PRICE!H294)</f>
        <v>34.369999999999997</v>
      </c>
      <c r="I305" s="338">
        <f>IF($E$18="SAC",Sim_SAC!J294,Sim_PRICE!I294)</f>
        <v>25</v>
      </c>
      <c r="J305" s="338">
        <f ca="1">IF($E$18="SAC",Sim_SAC!K294,Sim_PRICE!J294)</f>
        <v>1427.7252003054095</v>
      </c>
      <c r="L305" s="339"/>
      <c r="M305" s="335">
        <f t="shared" ca="1" si="13"/>
        <v>1427.7252003054095</v>
      </c>
      <c r="N305" s="336">
        <f t="shared" ca="1" si="14"/>
        <v>5.694246193831118</v>
      </c>
    </row>
    <row r="306" spans="2:14" ht="22.2" customHeight="1" thickTop="1" thickBot="1">
      <c r="B306" s="332">
        <f>Sim_SAC!C295</f>
        <v>53067</v>
      </c>
      <c r="C306" s="333">
        <f t="shared" ca="1" si="12"/>
        <v>1347.0504977385735</v>
      </c>
      <c r="D306" s="333">
        <f ca="1">IF($E$18="SAC",Sim_SAC!D295,Sim_PRICE!D295)</f>
        <v>842.74931039701278</v>
      </c>
      <c r="E306" s="333">
        <f ca="1">IF($E$18="SAC",Sim_SAC!E295,Sim_PRICE!E295)</f>
        <v>504.30118734156082</v>
      </c>
      <c r="F306" s="333">
        <f ca="1">IF($E$18="SAC",Sim_SAC!G295,Sim_PRICE!F295)</f>
        <v>73319.190004538395</v>
      </c>
      <c r="G306" s="333">
        <f ca="1">IF($E$18="SAC",Sim_SAC!H295,Sim_PRICE!G295)</f>
        <v>15.397029900953063</v>
      </c>
      <c r="H306" s="333">
        <f>IF($E$18="SAC",Sim_SAC!I295,Sim_PRICE!H295)</f>
        <v>34.369999999999997</v>
      </c>
      <c r="I306" s="333">
        <f>IF($E$18="SAC",Sim_SAC!J295,Sim_PRICE!I295)</f>
        <v>25</v>
      </c>
      <c r="J306" s="333">
        <f ca="1">IF($E$18="SAC",Sim_SAC!K295,Sim_PRICE!J295)</f>
        <v>1421.8175276395266</v>
      </c>
      <c r="L306" s="335"/>
      <c r="M306" s="335">
        <f t="shared" ca="1" si="13"/>
        <v>1421.8175276395266</v>
      </c>
      <c r="N306" s="336">
        <f t="shared" ca="1" si="14"/>
        <v>5.6281761241084931</v>
      </c>
    </row>
    <row r="307" spans="2:14" ht="22.2" customHeight="1" thickTop="1" thickBot="1">
      <c r="B307" s="337">
        <f>Sim_SAC!C296</f>
        <v>53097</v>
      </c>
      <c r="C307" s="338">
        <f t="shared" ca="1" si="12"/>
        <v>1341.3198024278738</v>
      </c>
      <c r="D307" s="338">
        <f ca="1">IF($E$18="SAC",Sim_SAC!D296,Sim_PRICE!D296)</f>
        <v>842.74931039701278</v>
      </c>
      <c r="E307" s="338">
        <f ca="1">IF($E$18="SAC",Sim_SAC!E296,Sim_PRICE!E296)</f>
        <v>498.57049203086109</v>
      </c>
      <c r="F307" s="338">
        <f ca="1">IF($E$18="SAC",Sim_SAC!G296,Sim_PRICE!F296)</f>
        <v>72476.440694141376</v>
      </c>
      <c r="G307" s="338">
        <f ca="1">IF($E$18="SAC",Sim_SAC!H296,Sim_PRICE!G296)</f>
        <v>15.22005254576969</v>
      </c>
      <c r="H307" s="338">
        <f>IF($E$18="SAC",Sim_SAC!I296,Sim_PRICE!H296)</f>
        <v>34.369999999999997</v>
      </c>
      <c r="I307" s="338">
        <f>IF($E$18="SAC",Sim_SAC!J296,Sim_PRICE!I296)</f>
        <v>25</v>
      </c>
      <c r="J307" s="338">
        <f ca="1">IF($E$18="SAC",Sim_SAC!K296,Sim_PRICE!J296)</f>
        <v>1415.9098549736434</v>
      </c>
      <c r="L307" s="339"/>
      <c r="M307" s="335">
        <f t="shared" ca="1" si="13"/>
        <v>1415.9098549736434</v>
      </c>
      <c r="N307" s="336">
        <f t="shared" ca="1" si="14"/>
        <v>5.5642597771560727</v>
      </c>
    </row>
    <row r="308" spans="2:14" ht="22.2" customHeight="1" thickTop="1" thickBot="1">
      <c r="B308" s="332">
        <f>Sim_SAC!C297</f>
        <v>53128</v>
      </c>
      <c r="C308" s="333">
        <f t="shared" ca="1" si="12"/>
        <v>1335.5891071171741</v>
      </c>
      <c r="D308" s="333">
        <f ca="1">IF($E$18="SAC",Sim_SAC!D297,Sim_PRICE!D297)</f>
        <v>842.74931039701278</v>
      </c>
      <c r="E308" s="333">
        <f ca="1">IF($E$18="SAC",Sim_SAC!E297,Sim_PRICE!E297)</f>
        <v>492.83979672016136</v>
      </c>
      <c r="F308" s="333">
        <f ca="1">IF($E$18="SAC",Sim_SAC!G297,Sim_PRICE!F297)</f>
        <v>71633.691383744357</v>
      </c>
      <c r="G308" s="333">
        <f ca="1">IF($E$18="SAC",Sim_SAC!H297,Sim_PRICE!G297)</f>
        <v>15.043075190586316</v>
      </c>
      <c r="H308" s="333">
        <f>IF($E$18="SAC",Sim_SAC!I297,Sim_PRICE!H297)</f>
        <v>34.369999999999997</v>
      </c>
      <c r="I308" s="333">
        <f>IF($E$18="SAC",Sim_SAC!J297,Sim_PRICE!I297)</f>
        <v>25</v>
      </c>
      <c r="J308" s="333">
        <f ca="1">IF($E$18="SAC",Sim_SAC!K297,Sim_PRICE!J297)</f>
        <v>1410.0021823077602</v>
      </c>
      <c r="L308" s="335"/>
      <c r="M308" s="335">
        <f t="shared" ca="1" si="13"/>
        <v>1410.0021823077602</v>
      </c>
      <c r="N308" s="336">
        <f t="shared" ca="1" si="14"/>
        <v>5.4995583393059322</v>
      </c>
    </row>
    <row r="309" spans="2:14" ht="22.2" customHeight="1" thickTop="1" thickBot="1">
      <c r="B309" s="337">
        <f>Sim_SAC!C298</f>
        <v>53158</v>
      </c>
      <c r="C309" s="338">
        <f t="shared" ca="1" si="12"/>
        <v>1329.8584118064744</v>
      </c>
      <c r="D309" s="338">
        <f ca="1">IF($E$18="SAC",Sim_SAC!D298,Sim_PRICE!D298)</f>
        <v>842.74931039701278</v>
      </c>
      <c r="E309" s="338">
        <f ca="1">IF($E$18="SAC",Sim_SAC!E298,Sim_PRICE!E298)</f>
        <v>487.10910140946163</v>
      </c>
      <c r="F309" s="338">
        <f ca="1">IF($E$18="SAC",Sim_SAC!G298,Sim_PRICE!F298)</f>
        <v>70790.942073347338</v>
      </c>
      <c r="G309" s="338">
        <f ca="1">IF($E$18="SAC",Sim_SAC!H298,Sim_PRICE!G298)</f>
        <v>14.866097835402941</v>
      </c>
      <c r="H309" s="338">
        <f>IF($E$18="SAC",Sim_SAC!I298,Sim_PRICE!H298)</f>
        <v>34.369999999999997</v>
      </c>
      <c r="I309" s="338">
        <f>IF($E$18="SAC",Sim_SAC!J298,Sim_PRICE!I298)</f>
        <v>25</v>
      </c>
      <c r="J309" s="338">
        <f ca="1">IF($E$18="SAC",Sim_SAC!K298,Sim_PRICE!J298)</f>
        <v>1404.0945096418773</v>
      </c>
      <c r="L309" s="339"/>
      <c r="M309" s="335">
        <f t="shared" ca="1" si="13"/>
        <v>1404.0945096418773</v>
      </c>
      <c r="N309" s="336">
        <f t="shared" ca="1" si="14"/>
        <v>5.4369636452865775</v>
      </c>
    </row>
    <row r="310" spans="2:14" ht="22.2" customHeight="1" thickTop="1" thickBot="1">
      <c r="B310" s="332">
        <f>Sim_SAC!C299</f>
        <v>53189</v>
      </c>
      <c r="C310" s="333">
        <f t="shared" ca="1" si="12"/>
        <v>1324.1277164957746</v>
      </c>
      <c r="D310" s="333">
        <f ca="1">IF($E$18="SAC",Sim_SAC!D299,Sim_PRICE!D299)</f>
        <v>842.74931039701278</v>
      </c>
      <c r="E310" s="333">
        <f ca="1">IF($E$18="SAC",Sim_SAC!E299,Sim_PRICE!E299)</f>
        <v>481.3784060987619</v>
      </c>
      <c r="F310" s="333">
        <f ca="1">IF($E$18="SAC",Sim_SAC!G299,Sim_PRICE!F299)</f>
        <v>69948.192762950319</v>
      </c>
      <c r="G310" s="333">
        <f ca="1">IF($E$18="SAC",Sim_SAC!H299,Sim_PRICE!G299)</f>
        <v>14.689120480219568</v>
      </c>
      <c r="H310" s="333">
        <f>IF($E$18="SAC",Sim_SAC!I299,Sim_PRICE!H299)</f>
        <v>34.369999999999997</v>
      </c>
      <c r="I310" s="333">
        <f>IF($E$18="SAC",Sim_SAC!J299,Sim_PRICE!I299)</f>
        <v>25</v>
      </c>
      <c r="J310" s="333">
        <f ca="1">IF($E$18="SAC",Sim_SAC!K299,Sim_PRICE!J299)</f>
        <v>1398.1868369759941</v>
      </c>
      <c r="L310" s="335"/>
      <c r="M310" s="335">
        <f t="shared" ca="1" si="13"/>
        <v>1398.1868369759941</v>
      </c>
      <c r="N310" s="336">
        <f t="shared" ca="1" si="14"/>
        <v>5.373604050040206</v>
      </c>
    </row>
    <row r="311" spans="2:14" ht="22.2" customHeight="1" thickTop="1" thickBot="1">
      <c r="B311" s="337">
        <f>Sim_SAC!C300</f>
        <v>53220</v>
      </c>
      <c r="C311" s="338">
        <f t="shared" ca="1" si="12"/>
        <v>1318.3970211850749</v>
      </c>
      <c r="D311" s="338">
        <f ca="1">IF($E$18="SAC",Sim_SAC!D300,Sim_PRICE!D300)</f>
        <v>842.74931039701278</v>
      </c>
      <c r="E311" s="338">
        <f ca="1">IF($E$18="SAC",Sim_SAC!E300,Sim_PRICE!E300)</f>
        <v>475.64771078806211</v>
      </c>
      <c r="F311" s="338">
        <f ca="1">IF($E$18="SAC",Sim_SAC!G300,Sim_PRICE!F300)</f>
        <v>69105.4434525533</v>
      </c>
      <c r="G311" s="338">
        <f ca="1">IF($E$18="SAC",Sim_SAC!H300,Sim_PRICE!G300)</f>
        <v>14.512143125036193</v>
      </c>
      <c r="H311" s="338">
        <f>IF($E$18="SAC",Sim_SAC!I300,Sim_PRICE!H300)</f>
        <v>34.369999999999997</v>
      </c>
      <c r="I311" s="338">
        <f>IF($E$18="SAC",Sim_SAC!J300,Sim_PRICE!I300)</f>
        <v>25</v>
      </c>
      <c r="J311" s="338">
        <f ca="1">IF($E$18="SAC",Sim_SAC!K300,Sim_PRICE!J300)</f>
        <v>1392.2791643101109</v>
      </c>
      <c r="L311" s="339"/>
      <c r="M311" s="335">
        <f t="shared" ca="1" si="13"/>
        <v>1392.2791643101109</v>
      </c>
      <c r="N311" s="336">
        <f t="shared" ca="1" si="14"/>
        <v>5.3109137003745737</v>
      </c>
    </row>
    <row r="312" spans="2:14" ht="22.2" customHeight="1" thickTop="1" thickBot="1">
      <c r="B312" s="332">
        <f>Sim_SAC!C301</f>
        <v>53250</v>
      </c>
      <c r="C312" s="333">
        <f t="shared" ca="1" si="12"/>
        <v>1312.6663258743752</v>
      </c>
      <c r="D312" s="333">
        <f ca="1">IF($E$18="SAC",Sim_SAC!D301,Sim_PRICE!D301)</f>
        <v>842.74931039701278</v>
      </c>
      <c r="E312" s="333">
        <f ca="1">IF($E$18="SAC",Sim_SAC!E301,Sim_PRICE!E301)</f>
        <v>469.91701547736238</v>
      </c>
      <c r="F312" s="333">
        <f ca="1">IF($E$18="SAC",Sim_SAC!G301,Sim_PRICE!F301)</f>
        <v>68262.694142156281</v>
      </c>
      <c r="G312" s="333">
        <f ca="1">IF($E$18="SAC",Sim_SAC!H301,Sim_PRICE!G301)</f>
        <v>14.33516576985282</v>
      </c>
      <c r="H312" s="333">
        <f>IF($E$18="SAC",Sim_SAC!I301,Sim_PRICE!H301)</f>
        <v>34.369999999999997</v>
      </c>
      <c r="I312" s="333">
        <f>IF($E$18="SAC",Sim_SAC!J301,Sim_PRICE!I301)</f>
        <v>25</v>
      </c>
      <c r="J312" s="333">
        <f ca="1">IF($E$18="SAC",Sim_SAC!K301,Sim_PRICE!J301)</f>
        <v>1386.3714916442279</v>
      </c>
      <c r="L312" s="335"/>
      <c r="M312" s="335">
        <f t="shared" ca="1" si="13"/>
        <v>1386.3714916442279</v>
      </c>
      <c r="N312" s="336">
        <f t="shared" ca="1" si="14"/>
        <v>5.2502611314388545</v>
      </c>
    </row>
    <row r="313" spans="2:14" ht="22.2" customHeight="1" thickTop="1" thickBot="1">
      <c r="B313" s="337">
        <f>Sim_SAC!C302</f>
        <v>53281</v>
      </c>
      <c r="C313" s="338">
        <f t="shared" ca="1" si="12"/>
        <v>1306.9356305636754</v>
      </c>
      <c r="D313" s="338">
        <f ca="1">IF($E$18="SAC",Sim_SAC!D302,Sim_PRICE!D302)</f>
        <v>842.74931039701278</v>
      </c>
      <c r="E313" s="338">
        <f ca="1">IF($E$18="SAC",Sim_SAC!E302,Sim_PRICE!E302)</f>
        <v>464.18632016666265</v>
      </c>
      <c r="F313" s="338">
        <f ca="1">IF($E$18="SAC",Sim_SAC!G302,Sim_PRICE!F302)</f>
        <v>67419.944831759261</v>
      </c>
      <c r="G313" s="338">
        <f ca="1">IF($E$18="SAC",Sim_SAC!H302,Sim_PRICE!G302)</f>
        <v>14.158188414669446</v>
      </c>
      <c r="H313" s="338">
        <f>IF($E$18="SAC",Sim_SAC!I302,Sim_PRICE!H302)</f>
        <v>34.369999999999997</v>
      </c>
      <c r="I313" s="338">
        <f>IF($E$18="SAC",Sim_SAC!J302,Sim_PRICE!I302)</f>
        <v>25</v>
      </c>
      <c r="J313" s="338">
        <f ca="1">IF($E$18="SAC",Sim_SAC!K302,Sim_PRICE!J302)</f>
        <v>1380.4638189783448</v>
      </c>
      <c r="L313" s="335"/>
      <c r="M313" s="335">
        <f t="shared" ca="1" si="13"/>
        <v>1380.4638189783448</v>
      </c>
      <c r="N313" s="336">
        <f t="shared" ca="1" si="14"/>
        <v>5.1888732146160574</v>
      </c>
    </row>
    <row r="314" spans="2:14" ht="22.2" customHeight="1" thickTop="1" thickBot="1">
      <c r="B314" s="332">
        <f>Sim_SAC!C303</f>
        <v>53311</v>
      </c>
      <c r="C314" s="333">
        <f t="shared" ca="1" si="12"/>
        <v>1301.2049352529757</v>
      </c>
      <c r="D314" s="333">
        <f ca="1">IF($E$18="SAC",Sim_SAC!D303,Sim_PRICE!D303)</f>
        <v>842.74931039701278</v>
      </c>
      <c r="E314" s="333">
        <f ca="1">IF($E$18="SAC",Sim_SAC!E303,Sim_PRICE!E303)</f>
        <v>458.45562485596292</v>
      </c>
      <c r="F314" s="333">
        <f ca="1">IF($E$18="SAC",Sim_SAC!G303,Sim_PRICE!F303)</f>
        <v>66577.195521362242</v>
      </c>
      <c r="G314" s="333">
        <f ca="1">IF($E$18="SAC",Sim_SAC!H303,Sim_PRICE!G303)</f>
        <v>13.981211059486071</v>
      </c>
      <c r="H314" s="333">
        <f>IF($E$18="SAC",Sim_SAC!I303,Sim_PRICE!H303)</f>
        <v>34.369999999999997</v>
      </c>
      <c r="I314" s="333">
        <f>IF($E$18="SAC",Sim_SAC!J303,Sim_PRICE!I303)</f>
        <v>25</v>
      </c>
      <c r="J314" s="333">
        <f ca="1">IF($E$18="SAC",Sim_SAC!K303,Sim_PRICE!J303)</f>
        <v>1374.5561463124616</v>
      </c>
      <c r="L314" s="339"/>
      <c r="M314" s="335">
        <f t="shared" ca="1" si="13"/>
        <v>1374.5561463124616</v>
      </c>
      <c r="N314" s="336">
        <f t="shared" ca="1" si="14"/>
        <v>5.1294784419172474</v>
      </c>
    </row>
    <row r="315" spans="2:14" ht="22.2" customHeight="1" thickTop="1" thickBot="1">
      <c r="B315" s="337">
        <f>Sim_SAC!C304</f>
        <v>53342</v>
      </c>
      <c r="C315" s="338">
        <f t="shared" ca="1" si="12"/>
        <v>1295.474239942276</v>
      </c>
      <c r="D315" s="338">
        <f ca="1">IF($E$18="SAC",Sim_SAC!D304,Sim_PRICE!D304)</f>
        <v>842.74931039701278</v>
      </c>
      <c r="E315" s="338">
        <f ca="1">IF($E$18="SAC",Sim_SAC!E304,Sim_PRICE!E304)</f>
        <v>452.72492954526319</v>
      </c>
      <c r="F315" s="338">
        <f ca="1">IF($E$18="SAC",Sim_SAC!G304,Sim_PRICE!F304)</f>
        <v>65734.446210965223</v>
      </c>
      <c r="G315" s="338">
        <f ca="1">IF($E$18="SAC",Sim_SAC!H304,Sim_PRICE!G304)</f>
        <v>13.804233704302698</v>
      </c>
      <c r="H315" s="338">
        <f>IF($E$18="SAC",Sim_SAC!I304,Sim_PRICE!H304)</f>
        <v>34.369999999999997</v>
      </c>
      <c r="I315" s="338">
        <f>IF($E$18="SAC",Sim_SAC!J304,Sim_PRICE!I304)</f>
        <v>25</v>
      </c>
      <c r="J315" s="338">
        <f ca="1">IF($E$18="SAC",Sim_SAC!K304,Sim_PRICE!J304)</f>
        <v>1368.6484736465786</v>
      </c>
      <c r="L315" s="335"/>
      <c r="M315" s="335">
        <f t="shared" ca="1" si="13"/>
        <v>1368.6484736465786</v>
      </c>
      <c r="N315" s="336">
        <f t="shared" ca="1" si="14"/>
        <v>5.0693674181917823</v>
      </c>
    </row>
    <row r="316" spans="2:14" ht="22.2" customHeight="1" thickTop="1" thickBot="1">
      <c r="B316" s="332">
        <f>Sim_SAC!C305</f>
        <v>53373</v>
      </c>
      <c r="C316" s="333">
        <f t="shared" ca="1" si="12"/>
        <v>1289.7435446315762</v>
      </c>
      <c r="D316" s="333">
        <f ca="1">IF($E$18="SAC",Sim_SAC!D305,Sim_PRICE!D305)</f>
        <v>842.74931039701278</v>
      </c>
      <c r="E316" s="333">
        <f ca="1">IF($E$18="SAC",Sim_SAC!E305,Sim_PRICE!E305)</f>
        <v>446.99423423456346</v>
      </c>
      <c r="F316" s="333">
        <f ca="1">IF($E$18="SAC",Sim_SAC!G305,Sim_PRICE!F305)</f>
        <v>64891.696900568211</v>
      </c>
      <c r="G316" s="333">
        <f ca="1">IF($E$18="SAC",Sim_SAC!H305,Sim_PRICE!G305)</f>
        <v>13.627256349119325</v>
      </c>
      <c r="H316" s="333">
        <f>IF($E$18="SAC",Sim_SAC!I305,Sim_PRICE!H305)</f>
        <v>34.369999999999997</v>
      </c>
      <c r="I316" s="333">
        <f>IF($E$18="SAC",Sim_SAC!J305,Sim_PRICE!I305)</f>
        <v>25</v>
      </c>
      <c r="J316" s="333">
        <f ca="1">IF($E$18="SAC",Sim_SAC!K305,Sim_PRICE!J305)</f>
        <v>1362.7408009806954</v>
      </c>
      <c r="L316" s="339"/>
      <c r="M316" s="335">
        <f t="shared" ca="1" si="13"/>
        <v>1362.7408009806954</v>
      </c>
      <c r="N316" s="336">
        <f t="shared" ca="1" si="14"/>
        <v>5.0098932053785754</v>
      </c>
    </row>
    <row r="317" spans="2:14" ht="22.2" customHeight="1" thickTop="1" thickBot="1">
      <c r="B317" s="337">
        <f>Sim_SAC!C306</f>
        <v>53401</v>
      </c>
      <c r="C317" s="338">
        <f t="shared" ca="1" si="12"/>
        <v>1284.0128493208765</v>
      </c>
      <c r="D317" s="338">
        <f ca="1">IF($E$18="SAC",Sim_SAC!D306,Sim_PRICE!D306)</f>
        <v>842.74931039701278</v>
      </c>
      <c r="E317" s="338">
        <f ca="1">IF($E$18="SAC",Sim_SAC!E306,Sim_PRICE!E306)</f>
        <v>441.26353892386379</v>
      </c>
      <c r="F317" s="338">
        <f ca="1">IF($E$18="SAC",Sim_SAC!G306,Sim_PRICE!F306)</f>
        <v>64048.947590171199</v>
      </c>
      <c r="G317" s="338">
        <f ca="1">IF($E$18="SAC",Sim_SAC!H306,Sim_PRICE!G306)</f>
        <v>13.450278993935953</v>
      </c>
      <c r="H317" s="338">
        <f>IF($E$18="SAC",Sim_SAC!I306,Sim_PRICE!H306)</f>
        <v>34.369999999999997</v>
      </c>
      <c r="I317" s="338">
        <f>IF($E$18="SAC",Sim_SAC!J306,Sim_PRICE!I306)</f>
        <v>25</v>
      </c>
      <c r="J317" s="338">
        <f ca="1">IF($E$18="SAC",Sim_SAC!K306,Sim_PRICE!J306)</f>
        <v>1356.8331283148123</v>
      </c>
      <c r="L317" s="335"/>
      <c r="M317" s="335">
        <f t="shared" ca="1" si="13"/>
        <v>1356.8331283148123</v>
      </c>
      <c r="N317" s="336">
        <f t="shared" ca="1" si="14"/>
        <v>4.9549420019787842</v>
      </c>
    </row>
    <row r="318" spans="2:14" ht="22.2" customHeight="1" thickTop="1" thickBot="1">
      <c r="B318" s="332">
        <f>Sim_SAC!C307</f>
        <v>53432</v>
      </c>
      <c r="C318" s="333">
        <f t="shared" ca="1" si="12"/>
        <v>1278.2821540101768</v>
      </c>
      <c r="D318" s="333">
        <f ca="1">IF($E$18="SAC",Sim_SAC!D307,Sim_PRICE!D307)</f>
        <v>842.74931039701278</v>
      </c>
      <c r="E318" s="333">
        <f ca="1">IF($E$18="SAC",Sim_SAC!E307,Sim_PRICE!E307)</f>
        <v>435.53284361316412</v>
      </c>
      <c r="F318" s="333">
        <f ca="1">IF($E$18="SAC",Sim_SAC!G307,Sim_PRICE!F307)</f>
        <v>63206.198279774188</v>
      </c>
      <c r="G318" s="333">
        <f ca="1">IF($E$18="SAC",Sim_SAC!H307,Sim_PRICE!G307)</f>
        <v>13.27330163875258</v>
      </c>
      <c r="H318" s="333">
        <f>IF($E$18="SAC",Sim_SAC!I307,Sim_PRICE!H307)</f>
        <v>34.369999999999997</v>
      </c>
      <c r="I318" s="333">
        <f>IF($E$18="SAC",Sim_SAC!J307,Sim_PRICE!I307)</f>
        <v>25</v>
      </c>
      <c r="J318" s="333">
        <f ca="1">IF($E$18="SAC",Sim_SAC!K307,Sim_PRICE!J307)</f>
        <v>1350.9254556489293</v>
      </c>
      <c r="L318" s="339"/>
      <c r="M318" s="335">
        <f t="shared" ca="1" si="13"/>
        <v>1350.9254556489293</v>
      </c>
      <c r="N318" s="336">
        <f t="shared" ca="1" si="14"/>
        <v>4.8966765928363802</v>
      </c>
    </row>
    <row r="319" spans="2:14" ht="22.2" customHeight="1" thickTop="1" thickBot="1">
      <c r="B319" s="337">
        <f>Sim_SAC!C308</f>
        <v>53462</v>
      </c>
      <c r="C319" s="338">
        <f t="shared" ca="1" si="12"/>
        <v>1272.5514586994773</v>
      </c>
      <c r="D319" s="338">
        <f ca="1">IF($E$18="SAC",Sim_SAC!D308,Sim_PRICE!D308)</f>
        <v>842.74931039701278</v>
      </c>
      <c r="E319" s="338">
        <f ca="1">IF($E$18="SAC",Sim_SAC!E308,Sim_PRICE!E308)</f>
        <v>429.80214830246445</v>
      </c>
      <c r="F319" s="338">
        <f ca="1">IF($E$18="SAC",Sim_SAC!G308,Sim_PRICE!F308)</f>
        <v>62363.448969377176</v>
      </c>
      <c r="G319" s="338">
        <f ca="1">IF($E$18="SAC",Sim_SAC!H308,Sim_PRICE!G308)</f>
        <v>13.096324283569208</v>
      </c>
      <c r="H319" s="338">
        <f>IF($E$18="SAC",Sim_SAC!I308,Sim_PRICE!H308)</f>
        <v>34.369999999999997</v>
      </c>
      <c r="I319" s="338">
        <f>IF($E$18="SAC",Sim_SAC!J308,Sim_PRICE!I308)</f>
        <v>25</v>
      </c>
      <c r="J319" s="338">
        <f ca="1">IF($E$18="SAC",Sim_SAC!K308,Sim_PRICE!J308)</f>
        <v>1345.0177829830463</v>
      </c>
      <c r="L319" s="335"/>
      <c r="M319" s="335">
        <f t="shared" ca="1" si="13"/>
        <v>1345.0177829830463</v>
      </c>
      <c r="N319" s="336">
        <f t="shared" ca="1" si="14"/>
        <v>4.8402973904762083</v>
      </c>
    </row>
    <row r="320" spans="2:14" ht="22.2" customHeight="1" thickTop="1" thickBot="1">
      <c r="B320" s="332">
        <f>Sim_SAC!C309</f>
        <v>53493</v>
      </c>
      <c r="C320" s="333">
        <f t="shared" ca="1" si="12"/>
        <v>1266.8207633887776</v>
      </c>
      <c r="D320" s="333">
        <f ca="1">IF($E$18="SAC",Sim_SAC!D309,Sim_PRICE!D309)</f>
        <v>842.74931039701278</v>
      </c>
      <c r="E320" s="333">
        <f ca="1">IF($E$18="SAC",Sim_SAC!E309,Sim_PRICE!E309)</f>
        <v>424.07145299176477</v>
      </c>
      <c r="F320" s="333">
        <f ca="1">IF($E$18="SAC",Sim_SAC!G309,Sim_PRICE!F309)</f>
        <v>61520.699658980164</v>
      </c>
      <c r="G320" s="333">
        <f ca="1">IF($E$18="SAC",Sim_SAC!H309,Sim_PRICE!G309)</f>
        <v>12.919346928385835</v>
      </c>
      <c r="H320" s="333">
        <f>IF($E$18="SAC",Sim_SAC!I309,Sim_PRICE!H309)</f>
        <v>34.369999999999997</v>
      </c>
      <c r="I320" s="333">
        <f>IF($E$18="SAC",Sim_SAC!J309,Sim_PRICE!I309)</f>
        <v>25</v>
      </c>
      <c r="J320" s="333">
        <f ca="1">IF($E$18="SAC",Sim_SAC!K309,Sim_PRICE!J309)</f>
        <v>1339.1101103171632</v>
      </c>
      <c r="L320" s="339"/>
      <c r="M320" s="335">
        <f t="shared" ca="1" si="13"/>
        <v>1339.1101103171632</v>
      </c>
      <c r="N320" s="336">
        <f t="shared" ca="1" si="14"/>
        <v>4.7832475939435426</v>
      </c>
    </row>
    <row r="321" spans="2:14" ht="22.2" customHeight="1" thickTop="1" thickBot="1">
      <c r="B321" s="337">
        <f>Sim_SAC!C310</f>
        <v>53523</v>
      </c>
      <c r="C321" s="338">
        <f t="shared" ref="C321:C384" ca="1" si="15">D321+E321</f>
        <v>1261.0900680780778</v>
      </c>
      <c r="D321" s="338">
        <f ca="1">IF($E$18="SAC",Sim_SAC!D310,Sim_PRICE!D310)</f>
        <v>842.74931039701278</v>
      </c>
      <c r="E321" s="338">
        <f ca="1">IF($E$18="SAC",Sim_SAC!E310,Sim_PRICE!E310)</f>
        <v>418.3407576810651</v>
      </c>
      <c r="F321" s="338">
        <f ca="1">IF($E$18="SAC",Sim_SAC!G310,Sim_PRICE!F310)</f>
        <v>60677.950348583152</v>
      </c>
      <c r="G321" s="338">
        <f ca="1">IF($E$18="SAC",Sim_SAC!H310,Sim_PRICE!G310)</f>
        <v>12.742369573202462</v>
      </c>
      <c r="H321" s="338">
        <f>IF($E$18="SAC",Sim_SAC!I310,Sim_PRICE!H310)</f>
        <v>34.369999999999997</v>
      </c>
      <c r="I321" s="338">
        <f>IF($E$18="SAC",Sim_SAC!J310,Sim_PRICE!I310)</f>
        <v>25</v>
      </c>
      <c r="J321" s="338">
        <f ca="1">IF($E$18="SAC",Sim_SAC!K310,Sim_PRICE!J310)</f>
        <v>1333.2024376512802</v>
      </c>
      <c r="M321" s="335">
        <f t="shared" ref="M321:M384" ca="1" si="16">J321</f>
        <v>1333.2024376512802</v>
      </c>
      <c r="N321" s="336">
        <f t="shared" ref="N321:N384" ca="1" si="17">IFERROR((G321+H321)/((1.008)^(12*(B321-$B$32)/365)),"")</f>
        <v>4.7280424366828981</v>
      </c>
    </row>
    <row r="322" spans="2:14" ht="22.2" customHeight="1" thickTop="1" thickBot="1">
      <c r="B322" s="332">
        <f>Sim_SAC!C311</f>
        <v>53554</v>
      </c>
      <c r="C322" s="333">
        <f t="shared" ca="1" si="15"/>
        <v>1255.3593727673783</v>
      </c>
      <c r="D322" s="333">
        <f ca="1">IF($E$18="SAC",Sim_SAC!D311,Sim_PRICE!D311)</f>
        <v>842.74931039701278</v>
      </c>
      <c r="E322" s="333">
        <f ca="1">IF($E$18="SAC",Sim_SAC!E311,Sim_PRICE!E311)</f>
        <v>412.61006237036543</v>
      </c>
      <c r="F322" s="333">
        <f ca="1">IF($E$18="SAC",Sim_SAC!G311,Sim_PRICE!F311)</f>
        <v>59835.20103818614</v>
      </c>
      <c r="G322" s="333">
        <f ca="1">IF($E$18="SAC",Sim_SAC!H311,Sim_PRICE!G311)</f>
        <v>12.56539221801909</v>
      </c>
      <c r="H322" s="333">
        <f>IF($E$18="SAC",Sim_SAC!I311,Sim_PRICE!H311)</f>
        <v>34.369999999999997</v>
      </c>
      <c r="I322" s="333">
        <f>IF($E$18="SAC",Sim_SAC!J311,Sim_PRICE!I311)</f>
        <v>25</v>
      </c>
      <c r="J322" s="333">
        <f ca="1">IF($E$18="SAC",Sim_SAC!K311,Sim_PRICE!J311)</f>
        <v>1327.2947649853973</v>
      </c>
      <c r="M322" s="335">
        <f t="shared" ca="1" si="16"/>
        <v>1327.2947649853973</v>
      </c>
      <c r="N322" s="336">
        <f t="shared" ca="1" si="17"/>
        <v>4.6721843536712262</v>
      </c>
    </row>
    <row r="323" spans="2:14" ht="22.2" customHeight="1" thickTop="1" thickBot="1">
      <c r="B323" s="337">
        <f>Sim_SAC!C312</f>
        <v>53585</v>
      </c>
      <c r="C323" s="338">
        <f t="shared" ca="1" si="15"/>
        <v>1249.6286774566786</v>
      </c>
      <c r="D323" s="338">
        <f ca="1">IF($E$18="SAC",Sim_SAC!D312,Sim_PRICE!D312)</f>
        <v>842.74931039701278</v>
      </c>
      <c r="E323" s="338">
        <f ca="1">IF($E$18="SAC",Sim_SAC!E312,Sim_PRICE!E312)</f>
        <v>406.87936705966575</v>
      </c>
      <c r="F323" s="338">
        <f ca="1">IF($E$18="SAC",Sim_SAC!G312,Sim_PRICE!F312)</f>
        <v>58992.451727789128</v>
      </c>
      <c r="G323" s="338">
        <f ca="1">IF($E$18="SAC",Sim_SAC!H312,Sim_PRICE!G312)</f>
        <v>12.388414862835717</v>
      </c>
      <c r="H323" s="338">
        <f>IF($E$18="SAC",Sim_SAC!I312,Sim_PRICE!H312)</f>
        <v>34.369999999999997</v>
      </c>
      <c r="I323" s="338">
        <f>IF($E$18="SAC",Sim_SAC!J312,Sim_PRICE!I312)</f>
        <v>25</v>
      </c>
      <c r="J323" s="338">
        <f ca="1">IF($E$18="SAC",Sim_SAC!K312,Sim_PRICE!J312)</f>
        <v>1321.3870923195143</v>
      </c>
      <c r="M323" s="335">
        <f t="shared" ca="1" si="16"/>
        <v>1321.3870923195143</v>
      </c>
      <c r="N323" s="336">
        <f t="shared" ca="1" si="17"/>
        <v>4.6169205460410767</v>
      </c>
    </row>
    <row r="324" spans="2:14" ht="22.2" customHeight="1" thickTop="1" thickBot="1">
      <c r="B324" s="332">
        <f>Sim_SAC!C313</f>
        <v>53615</v>
      </c>
      <c r="C324" s="333">
        <f t="shared" ca="1" si="15"/>
        <v>1243.8979821459789</v>
      </c>
      <c r="D324" s="333">
        <f ca="1">IF($E$18="SAC",Sim_SAC!D313,Sim_PRICE!D313)</f>
        <v>842.74931039701278</v>
      </c>
      <c r="E324" s="333">
        <f ca="1">IF($E$18="SAC",Sim_SAC!E313,Sim_PRICE!E313)</f>
        <v>401.14867174896602</v>
      </c>
      <c r="F324" s="333">
        <f ca="1">IF($E$18="SAC",Sim_SAC!G313,Sim_PRICE!F313)</f>
        <v>58149.702417392116</v>
      </c>
      <c r="G324" s="333">
        <f ca="1">IF($E$18="SAC",Sim_SAC!H313,Sim_PRICE!G313)</f>
        <v>12.211437507652345</v>
      </c>
      <c r="H324" s="333">
        <f>IF($E$18="SAC",Sim_SAC!I313,Sim_PRICE!H313)</f>
        <v>34.369999999999997</v>
      </c>
      <c r="I324" s="333">
        <f>IF($E$18="SAC",Sim_SAC!J313,Sim_PRICE!I313)</f>
        <v>25</v>
      </c>
      <c r="J324" s="333">
        <f ca="1">IF($E$18="SAC",Sim_SAC!K313,Sim_PRICE!J313)</f>
        <v>1315.4794196536311</v>
      </c>
      <c r="M324" s="335">
        <f t="shared" ca="1" si="16"/>
        <v>1315.4794196536311</v>
      </c>
      <c r="N324" s="336">
        <f t="shared" ca="1" si="17"/>
        <v>4.5634403699840203</v>
      </c>
    </row>
    <row r="325" spans="2:14" ht="22.2" customHeight="1" thickTop="1" thickBot="1">
      <c r="B325" s="337">
        <f>Sim_SAC!C314</f>
        <v>53646</v>
      </c>
      <c r="C325" s="338">
        <f t="shared" ca="1" si="15"/>
        <v>1238.1672868352791</v>
      </c>
      <c r="D325" s="338">
        <f ca="1">IF($E$18="SAC",Sim_SAC!D314,Sim_PRICE!D314)</f>
        <v>842.74931039701278</v>
      </c>
      <c r="E325" s="338">
        <f ca="1">IF($E$18="SAC",Sim_SAC!E314,Sim_PRICE!E314)</f>
        <v>395.41797643826635</v>
      </c>
      <c r="F325" s="338">
        <f ca="1">IF($E$18="SAC",Sim_SAC!G314,Sim_PRICE!F314)</f>
        <v>57306.953106995104</v>
      </c>
      <c r="G325" s="338">
        <f ca="1">IF($E$18="SAC",Sim_SAC!H314,Sim_PRICE!G314)</f>
        <v>12.034460152468972</v>
      </c>
      <c r="H325" s="338">
        <f>IF($E$18="SAC",Sim_SAC!I314,Sim_PRICE!H314)</f>
        <v>34.369999999999997</v>
      </c>
      <c r="I325" s="338">
        <f>IF($E$18="SAC",Sim_SAC!J314,Sim_PRICE!I314)</f>
        <v>25</v>
      </c>
      <c r="J325" s="338">
        <f ca="1">IF($E$18="SAC",Sim_SAC!K314,Sim_PRICE!J314)</f>
        <v>1309.5717469877479</v>
      </c>
      <c r="M325" s="335">
        <f t="shared" ca="1" si="16"/>
        <v>1309.5717469877479</v>
      </c>
      <c r="N325" s="336">
        <f t="shared" ca="1" si="17"/>
        <v>4.5093331210810916</v>
      </c>
    </row>
    <row r="326" spans="2:14" ht="22.2" customHeight="1" thickTop="1" thickBot="1">
      <c r="B326" s="332">
        <f>Sim_SAC!C315</f>
        <v>53676</v>
      </c>
      <c r="C326" s="333">
        <f t="shared" ca="1" si="15"/>
        <v>1232.4365915245794</v>
      </c>
      <c r="D326" s="333">
        <f ca="1">IF($E$18="SAC",Sim_SAC!D315,Sim_PRICE!D315)</f>
        <v>842.74931039701278</v>
      </c>
      <c r="E326" s="333">
        <f ca="1">IF($E$18="SAC",Sim_SAC!E315,Sim_PRICE!E315)</f>
        <v>389.68728112756668</v>
      </c>
      <c r="F326" s="333">
        <f ca="1">IF($E$18="SAC",Sim_SAC!G315,Sim_PRICE!F315)</f>
        <v>56464.203796598093</v>
      </c>
      <c r="G326" s="333">
        <f ca="1">IF($E$18="SAC",Sim_SAC!H315,Sim_PRICE!G315)</f>
        <v>11.8574827972856</v>
      </c>
      <c r="H326" s="333">
        <f>IF($E$18="SAC",Sim_SAC!I315,Sim_PRICE!H315)</f>
        <v>34.369999999999997</v>
      </c>
      <c r="I326" s="333">
        <f>IF($E$18="SAC",Sim_SAC!J315,Sim_PRICE!I315)</f>
        <v>25</v>
      </c>
      <c r="J326" s="333">
        <f ca="1">IF($E$18="SAC",Sim_SAC!K315,Sim_PRICE!J315)</f>
        <v>1303.664074321865</v>
      </c>
      <c r="M326" s="335">
        <f t="shared" ca="1" si="16"/>
        <v>1303.664074321865</v>
      </c>
      <c r="N326" s="336">
        <f t="shared" ca="1" si="17"/>
        <v>4.4569700206832072</v>
      </c>
    </row>
    <row r="327" spans="2:14" ht="22.2" customHeight="1" thickTop="1" thickBot="1">
      <c r="B327" s="337">
        <f>Sim_SAC!C316</f>
        <v>53707</v>
      </c>
      <c r="C327" s="338">
        <f t="shared" ca="1" si="15"/>
        <v>1226.7058962138799</v>
      </c>
      <c r="D327" s="338">
        <f ca="1">IF($E$18="SAC",Sim_SAC!D316,Sim_PRICE!D316)</f>
        <v>842.74931039701278</v>
      </c>
      <c r="E327" s="338">
        <f ca="1">IF($E$18="SAC",Sim_SAC!E316,Sim_PRICE!E316)</f>
        <v>383.956585816867</v>
      </c>
      <c r="F327" s="338">
        <f ca="1">IF($E$18="SAC",Sim_SAC!G316,Sim_PRICE!F316)</f>
        <v>55621.454486201081</v>
      </c>
      <c r="G327" s="338">
        <f ca="1">IF($E$18="SAC",Sim_SAC!H316,Sim_PRICE!G316)</f>
        <v>11.680505442102227</v>
      </c>
      <c r="H327" s="338">
        <f>IF($E$18="SAC",Sim_SAC!I316,Sim_PRICE!H316)</f>
        <v>34.369999999999997</v>
      </c>
      <c r="I327" s="338">
        <f>IF($E$18="SAC",Sim_SAC!J316,Sim_PRICE!I316)</f>
        <v>25</v>
      </c>
      <c r="J327" s="338">
        <f ca="1">IF($E$18="SAC",Sim_SAC!K316,Sim_PRICE!J316)</f>
        <v>1297.756401655982</v>
      </c>
      <c r="M327" s="335">
        <f t="shared" ca="1" si="16"/>
        <v>1297.756401655982</v>
      </c>
      <c r="N327" s="336">
        <f t="shared" ca="1" si="17"/>
        <v>4.4039965494257833</v>
      </c>
    </row>
    <row r="328" spans="2:14" ht="22.2" customHeight="1" thickTop="1" thickBot="1">
      <c r="B328" s="332">
        <f>Sim_SAC!C317</f>
        <v>53738</v>
      </c>
      <c r="C328" s="333">
        <f t="shared" ca="1" si="15"/>
        <v>1220.9752009031802</v>
      </c>
      <c r="D328" s="333">
        <f ca="1">IF($E$18="SAC",Sim_SAC!D317,Sim_PRICE!D317)</f>
        <v>842.74931039701278</v>
      </c>
      <c r="E328" s="333">
        <f ca="1">IF($E$18="SAC",Sim_SAC!E317,Sim_PRICE!E317)</f>
        <v>378.22589050616733</v>
      </c>
      <c r="F328" s="333">
        <f ca="1">IF($E$18="SAC",Sim_SAC!G317,Sim_PRICE!F317)</f>
        <v>54778.705175804069</v>
      </c>
      <c r="G328" s="333">
        <f ca="1">IF($E$18="SAC",Sim_SAC!H317,Sim_PRICE!G317)</f>
        <v>11.503528086918855</v>
      </c>
      <c r="H328" s="333">
        <f>IF($E$18="SAC",Sim_SAC!I317,Sim_PRICE!H317)</f>
        <v>34.369999999999997</v>
      </c>
      <c r="I328" s="333">
        <f>IF($E$18="SAC",Sim_SAC!J317,Sim_PRICE!I317)</f>
        <v>25</v>
      </c>
      <c r="J328" s="333">
        <f ca="1">IF($E$18="SAC",Sim_SAC!K317,Sim_PRICE!J317)</f>
        <v>1291.8487289900988</v>
      </c>
      <c r="M328" s="335">
        <f t="shared" ca="1" si="16"/>
        <v>1291.8487289900988</v>
      </c>
      <c r="N328" s="336">
        <f t="shared" ca="1" si="17"/>
        <v>4.3515884243385932</v>
      </c>
    </row>
    <row r="329" spans="2:14" ht="22.2" customHeight="1" thickTop="1" thickBot="1">
      <c r="B329" s="337">
        <f>Sim_SAC!C318</f>
        <v>53766</v>
      </c>
      <c r="C329" s="338">
        <f t="shared" ca="1" si="15"/>
        <v>1215.2445055924804</v>
      </c>
      <c r="D329" s="338">
        <f ca="1">IF($E$18="SAC",Sim_SAC!D318,Sim_PRICE!D318)</f>
        <v>842.74931039701278</v>
      </c>
      <c r="E329" s="338">
        <f ca="1">IF($E$18="SAC",Sim_SAC!E318,Sim_PRICE!E318)</f>
        <v>372.49519519546766</v>
      </c>
      <c r="F329" s="338">
        <f ca="1">IF($E$18="SAC",Sim_SAC!G318,Sim_PRICE!F318)</f>
        <v>53935.955865407057</v>
      </c>
      <c r="G329" s="338">
        <f ca="1">IF($E$18="SAC",Sim_SAC!H318,Sim_PRICE!G318)</f>
        <v>11.326550731735482</v>
      </c>
      <c r="H329" s="338">
        <f>IF($E$18="SAC",Sim_SAC!I318,Sim_PRICE!H318)</f>
        <v>34.369999999999997</v>
      </c>
      <c r="I329" s="338">
        <f>IF($E$18="SAC",Sim_SAC!J318,Sim_PRICE!I318)</f>
        <v>25</v>
      </c>
      <c r="J329" s="338">
        <f ca="1">IF($E$18="SAC",Sim_SAC!K318,Sim_PRICE!J318)</f>
        <v>1285.9410563242159</v>
      </c>
      <c r="M329" s="335">
        <f t="shared" ca="1" si="16"/>
        <v>1285.9410563242159</v>
      </c>
      <c r="N329" s="336">
        <f t="shared" ca="1" si="17"/>
        <v>4.3031204666448302</v>
      </c>
    </row>
    <row r="330" spans="2:14" ht="22.2" customHeight="1" thickTop="1" thickBot="1">
      <c r="B330" s="332">
        <f>Sim_SAC!C319</f>
        <v>53797</v>
      </c>
      <c r="C330" s="333">
        <f t="shared" ca="1" si="15"/>
        <v>1209.5138102817807</v>
      </c>
      <c r="D330" s="333">
        <f ca="1">IF($E$18="SAC",Sim_SAC!D319,Sim_PRICE!D319)</f>
        <v>842.74931039701278</v>
      </c>
      <c r="E330" s="333">
        <f ca="1">IF($E$18="SAC",Sim_SAC!E319,Sim_PRICE!E319)</f>
        <v>366.76449988476799</v>
      </c>
      <c r="F330" s="333">
        <f ca="1">IF($E$18="SAC",Sim_SAC!G319,Sim_PRICE!F319)</f>
        <v>53093.206555010045</v>
      </c>
      <c r="G330" s="333">
        <f ca="1">IF($E$18="SAC",Sim_SAC!H319,Sim_PRICE!G319)</f>
        <v>11.149573376552111</v>
      </c>
      <c r="H330" s="333">
        <f>IF($E$18="SAC",Sim_SAC!I319,Sim_PRICE!H319)</f>
        <v>34.369999999999997</v>
      </c>
      <c r="I330" s="333">
        <f>IF($E$18="SAC",Sim_SAC!J319,Sim_PRICE!I319)</f>
        <v>25</v>
      </c>
      <c r="J330" s="333">
        <f ca="1">IF($E$18="SAC",Sim_SAC!K319,Sim_PRICE!J319)</f>
        <v>1280.0333836583327</v>
      </c>
      <c r="M330" s="335">
        <f t="shared" ca="1" si="16"/>
        <v>1280.0333836583327</v>
      </c>
      <c r="N330" s="336">
        <f t="shared" ca="1" si="17"/>
        <v>4.2517857212768257</v>
      </c>
    </row>
    <row r="331" spans="2:14" ht="22.2" customHeight="1" thickTop="1" thickBot="1">
      <c r="B331" s="337">
        <f>Sim_SAC!C320</f>
        <v>53827</v>
      </c>
      <c r="C331" s="338">
        <f t="shared" ca="1" si="15"/>
        <v>1203.783114971081</v>
      </c>
      <c r="D331" s="338">
        <f ca="1">IF($E$18="SAC",Sim_SAC!D320,Sim_PRICE!D320)</f>
        <v>842.74931039701278</v>
      </c>
      <c r="E331" s="338">
        <f ca="1">IF($E$18="SAC",Sim_SAC!E320,Sim_PRICE!E320)</f>
        <v>361.03380457406831</v>
      </c>
      <c r="F331" s="338">
        <f ca="1">IF($E$18="SAC",Sim_SAC!G320,Sim_PRICE!F320)</f>
        <v>52250.457244613033</v>
      </c>
      <c r="G331" s="338">
        <f ca="1">IF($E$18="SAC",Sim_SAC!H320,Sim_PRICE!G320)</f>
        <v>10.972596021368737</v>
      </c>
      <c r="H331" s="338">
        <f>IF($E$18="SAC",Sim_SAC!I320,Sim_PRICE!H320)</f>
        <v>34.369999999999997</v>
      </c>
      <c r="I331" s="338">
        <f>IF($E$18="SAC",Sim_SAC!J320,Sim_PRICE!I320)</f>
        <v>25</v>
      </c>
      <c r="J331" s="338">
        <f ca="1">IF($E$18="SAC",Sim_SAC!K320,Sim_PRICE!J320)</f>
        <v>1274.1257109924495</v>
      </c>
      <c r="M331" s="335">
        <f t="shared" ca="1" si="16"/>
        <v>1274.1257109924495</v>
      </c>
      <c r="N331" s="336">
        <f t="shared" ca="1" si="17"/>
        <v>4.202100546583174</v>
      </c>
    </row>
    <row r="332" spans="2:14" ht="22.2" customHeight="1" thickTop="1" thickBot="1">
      <c r="B332" s="332">
        <f>Sim_SAC!C321</f>
        <v>53858</v>
      </c>
      <c r="C332" s="333">
        <f t="shared" ca="1" si="15"/>
        <v>1198.0524196603815</v>
      </c>
      <c r="D332" s="333">
        <f ca="1">IF($E$18="SAC",Sim_SAC!D321,Sim_PRICE!D321)</f>
        <v>842.74931039701278</v>
      </c>
      <c r="E332" s="333">
        <f ca="1">IF($E$18="SAC",Sim_SAC!E321,Sim_PRICE!E321)</f>
        <v>355.30310926336858</v>
      </c>
      <c r="F332" s="333">
        <f ca="1">IF($E$18="SAC",Sim_SAC!G321,Sim_PRICE!F321)</f>
        <v>51407.707934216021</v>
      </c>
      <c r="G332" s="333">
        <f ca="1">IF($E$18="SAC",Sim_SAC!H321,Sim_PRICE!G321)</f>
        <v>10.795618666185366</v>
      </c>
      <c r="H332" s="333">
        <f>IF($E$18="SAC",Sim_SAC!I321,Sim_PRICE!H321)</f>
        <v>34.369999999999997</v>
      </c>
      <c r="I332" s="333">
        <f>IF($E$18="SAC",Sim_SAC!J321,Sim_PRICE!I321)</f>
        <v>25</v>
      </c>
      <c r="J332" s="333">
        <f ca="1">IF($E$18="SAC",Sim_SAC!K321,Sim_PRICE!J321)</f>
        <v>1268.2180383265668</v>
      </c>
      <c r="M332" s="335">
        <f t="shared" ca="1" si="16"/>
        <v>1268.2180383265668</v>
      </c>
      <c r="N332" s="336">
        <f t="shared" ca="1" si="17"/>
        <v>4.1518449211369504</v>
      </c>
    </row>
    <row r="333" spans="2:14" ht="22.2" customHeight="1" thickTop="1" thickBot="1">
      <c r="B333" s="337">
        <f>Sim_SAC!C322</f>
        <v>53888</v>
      </c>
      <c r="C333" s="338">
        <f t="shared" ca="1" si="15"/>
        <v>1192.3217243496817</v>
      </c>
      <c r="D333" s="338">
        <f ca="1">IF($E$18="SAC",Sim_SAC!D322,Sim_PRICE!D322)</f>
        <v>842.74931039701278</v>
      </c>
      <c r="E333" s="338">
        <f ca="1">IF($E$18="SAC",Sim_SAC!E322,Sim_PRICE!E322)</f>
        <v>349.57241395266891</v>
      </c>
      <c r="F333" s="338">
        <f ca="1">IF($E$18="SAC",Sim_SAC!G322,Sim_PRICE!F322)</f>
        <v>50564.95862381901</v>
      </c>
      <c r="G333" s="338">
        <f ca="1">IF($E$18="SAC",Sim_SAC!H322,Sim_PRICE!G322)</f>
        <v>10.618641311001992</v>
      </c>
      <c r="H333" s="338">
        <f>IF($E$18="SAC",Sim_SAC!I322,Sim_PRICE!H322)</f>
        <v>34.369999999999997</v>
      </c>
      <c r="I333" s="338">
        <f>IF($E$18="SAC",Sim_SAC!J322,Sim_PRICE!I322)</f>
        <v>25</v>
      </c>
      <c r="J333" s="338">
        <f ca="1">IF($E$18="SAC",Sim_SAC!K322,Sim_PRICE!J322)</f>
        <v>1262.3103656606836</v>
      </c>
      <c r="M333" s="335">
        <f t="shared" ca="1" si="16"/>
        <v>1262.3103656606836</v>
      </c>
      <c r="N333" s="336">
        <f t="shared" ca="1" si="17"/>
        <v>4.1032021140088846</v>
      </c>
    </row>
    <row r="334" spans="2:14" ht="22.2" customHeight="1" thickTop="1" thickBot="1">
      <c r="B334" s="332">
        <f>Sim_SAC!C323</f>
        <v>53919</v>
      </c>
      <c r="C334" s="333">
        <f t="shared" ca="1" si="15"/>
        <v>1186.591029038982</v>
      </c>
      <c r="D334" s="333">
        <f ca="1">IF($E$18="SAC",Sim_SAC!D323,Sim_PRICE!D323)</f>
        <v>842.74931039701278</v>
      </c>
      <c r="E334" s="333">
        <f ca="1">IF($E$18="SAC",Sim_SAC!E323,Sim_PRICE!E323)</f>
        <v>343.84171864196924</v>
      </c>
      <c r="F334" s="333">
        <f ca="1">IF($E$18="SAC",Sim_SAC!G323,Sim_PRICE!F323)</f>
        <v>49722.209313421998</v>
      </c>
      <c r="G334" s="333">
        <f ca="1">IF($E$18="SAC",Sim_SAC!H323,Sim_PRICE!G323)</f>
        <v>10.441663955818619</v>
      </c>
      <c r="H334" s="333">
        <f>IF($E$18="SAC",Sim_SAC!I323,Sim_PRICE!H323)</f>
        <v>34.369999999999997</v>
      </c>
      <c r="I334" s="333">
        <f>IF($E$18="SAC",Sim_SAC!J323,Sim_PRICE!I323)</f>
        <v>25</v>
      </c>
      <c r="J334" s="333">
        <f ca="1">IF($E$18="SAC",Sim_SAC!K323,Sim_PRICE!J323)</f>
        <v>1256.4026929948004</v>
      </c>
      <c r="M334" s="335">
        <f t="shared" ca="1" si="16"/>
        <v>1256.4026929948004</v>
      </c>
      <c r="N334" s="336">
        <f t="shared" ca="1" si="17"/>
        <v>4.0540042952348889</v>
      </c>
    </row>
    <row r="335" spans="2:14" ht="22.2" customHeight="1" thickTop="1" thickBot="1">
      <c r="B335" s="337">
        <f>Sim_SAC!C324</f>
        <v>53950</v>
      </c>
      <c r="C335" s="338">
        <f t="shared" ca="1" si="15"/>
        <v>1180.8603337282823</v>
      </c>
      <c r="D335" s="338">
        <f ca="1">IF($E$18="SAC",Sim_SAC!D324,Sim_PRICE!D324)</f>
        <v>842.74931039701278</v>
      </c>
      <c r="E335" s="338">
        <f ca="1">IF($E$18="SAC",Sim_SAC!E324,Sim_PRICE!E324)</f>
        <v>338.11102333126956</v>
      </c>
      <c r="F335" s="338">
        <f ca="1">IF($E$18="SAC",Sim_SAC!G324,Sim_PRICE!F324)</f>
        <v>48879.460003024986</v>
      </c>
      <c r="G335" s="338">
        <f ca="1">IF($E$18="SAC",Sim_SAC!H324,Sim_PRICE!G324)</f>
        <v>10.264686600635248</v>
      </c>
      <c r="H335" s="338">
        <f>IF($E$18="SAC",Sim_SAC!I324,Sim_PRICE!H324)</f>
        <v>34.369999999999997</v>
      </c>
      <c r="I335" s="338">
        <f>IF($E$18="SAC",Sim_SAC!J324,Sim_PRICE!I324)</f>
        <v>25</v>
      </c>
      <c r="J335" s="338">
        <f ca="1">IF($E$18="SAC",Sim_SAC!K324,Sim_PRICE!J324)</f>
        <v>1250.4950203289175</v>
      </c>
      <c r="M335" s="335">
        <f t="shared" ca="1" si="16"/>
        <v>1250.4950203289175</v>
      </c>
      <c r="N335" s="336">
        <f t="shared" ca="1" si="17"/>
        <v>4.005333889488603</v>
      </c>
    </row>
    <row r="336" spans="2:14" ht="22.2" customHeight="1" thickTop="1" thickBot="1">
      <c r="B336" s="332">
        <f>Sim_SAC!C325</f>
        <v>53980</v>
      </c>
      <c r="C336" s="333">
        <f t="shared" ca="1" si="15"/>
        <v>1175.1296384175826</v>
      </c>
      <c r="D336" s="333">
        <f ca="1">IF($E$18="SAC",Sim_SAC!D325,Sim_PRICE!D325)</f>
        <v>842.74931039701278</v>
      </c>
      <c r="E336" s="333">
        <f ca="1">IF($E$18="SAC",Sim_SAC!E325,Sim_PRICE!E325)</f>
        <v>332.38032802056989</v>
      </c>
      <c r="F336" s="333">
        <f ca="1">IF($E$18="SAC",Sim_SAC!G325,Sim_PRICE!F325)</f>
        <v>48036.710692627974</v>
      </c>
      <c r="G336" s="333">
        <f ca="1">IF($E$18="SAC",Sim_SAC!H325,Sim_PRICE!G325)</f>
        <v>10.087709245451874</v>
      </c>
      <c r="H336" s="333">
        <f>IF($E$18="SAC",Sim_SAC!I325,Sim_PRICE!H325)</f>
        <v>34.369999999999997</v>
      </c>
      <c r="I336" s="333">
        <f>IF($E$18="SAC",Sim_SAC!J325,Sim_PRICE!I325)</f>
        <v>25</v>
      </c>
      <c r="J336" s="333">
        <f ca="1">IF($E$18="SAC",Sim_SAC!K325,Sim_PRICE!J325)</f>
        <v>1244.5873476630343</v>
      </c>
      <c r="M336" s="335">
        <f t="shared" ca="1" si="16"/>
        <v>1244.5873476630343</v>
      </c>
      <c r="N336" s="336">
        <f t="shared" ca="1" si="17"/>
        <v>3.9582223723315697</v>
      </c>
    </row>
    <row r="337" spans="2:14" ht="22.2" customHeight="1" thickTop="1" thickBot="1">
      <c r="B337" s="337">
        <f>Sim_SAC!C326</f>
        <v>54011</v>
      </c>
      <c r="C337" s="338">
        <f t="shared" ca="1" si="15"/>
        <v>1169.3989431068831</v>
      </c>
      <c r="D337" s="338">
        <f ca="1">IF($E$18="SAC",Sim_SAC!D326,Sim_PRICE!D326)</f>
        <v>842.74931039701278</v>
      </c>
      <c r="E337" s="338">
        <f ca="1">IF($E$18="SAC",Sim_SAC!E326,Sim_PRICE!E326)</f>
        <v>326.64963270987022</v>
      </c>
      <c r="F337" s="338">
        <f ca="1">IF($E$18="SAC",Sim_SAC!G326,Sim_PRICE!F326)</f>
        <v>47193.961382230962</v>
      </c>
      <c r="G337" s="338">
        <f ca="1">IF($E$18="SAC",Sim_SAC!H326,Sim_PRICE!G326)</f>
        <v>9.9107318902685027</v>
      </c>
      <c r="H337" s="338">
        <f>IF($E$18="SAC",Sim_SAC!I326,Sim_PRICE!H326)</f>
        <v>34.369999999999997</v>
      </c>
      <c r="I337" s="338">
        <f>IF($E$18="SAC",Sim_SAC!J326,Sim_PRICE!I326)</f>
        <v>25</v>
      </c>
      <c r="J337" s="338">
        <f ca="1">IF($E$18="SAC",Sim_SAC!K326,Sim_PRICE!J326)</f>
        <v>1238.6796749971516</v>
      </c>
      <c r="M337" s="335">
        <f t="shared" ca="1" si="16"/>
        <v>1238.6796749971516</v>
      </c>
      <c r="N337" s="336">
        <f t="shared" ca="1" si="17"/>
        <v>3.9105784251278632</v>
      </c>
    </row>
    <row r="338" spans="2:14" ht="22.2" customHeight="1" thickTop="1" thickBot="1">
      <c r="B338" s="332">
        <f>Sim_SAC!C327</f>
        <v>54041</v>
      </c>
      <c r="C338" s="333">
        <f t="shared" ca="1" si="15"/>
        <v>1163.6682477961833</v>
      </c>
      <c r="D338" s="333">
        <f ca="1">IF($E$18="SAC",Sim_SAC!D327,Sim_PRICE!D327)</f>
        <v>842.74931039701278</v>
      </c>
      <c r="E338" s="333">
        <f ca="1">IF($E$18="SAC",Sim_SAC!E327,Sim_PRICE!E327)</f>
        <v>320.91893739917055</v>
      </c>
      <c r="F338" s="333">
        <f ca="1">IF($E$18="SAC",Sim_SAC!G327,Sim_PRICE!F327)</f>
        <v>46351.21207183395</v>
      </c>
      <c r="G338" s="333">
        <f ca="1">IF($E$18="SAC",Sim_SAC!H327,Sim_PRICE!G327)</f>
        <v>9.7337545350851293</v>
      </c>
      <c r="H338" s="333">
        <f>IF($E$18="SAC",Sim_SAC!I327,Sim_PRICE!H327)</f>
        <v>34.369999999999997</v>
      </c>
      <c r="I338" s="333">
        <f>IF($E$18="SAC",Sim_SAC!J327,Sim_PRICE!I327)</f>
        <v>25</v>
      </c>
      <c r="J338" s="333">
        <f ca="1">IF($E$18="SAC",Sim_SAC!K327,Sim_PRICE!J327)</f>
        <v>1232.7720023312684</v>
      </c>
      <c r="M338" s="335">
        <f t="shared" ca="1" si="16"/>
        <v>1232.7720023312684</v>
      </c>
      <c r="N338" s="336">
        <f t="shared" ca="1" si="17"/>
        <v>3.8644584682642176</v>
      </c>
    </row>
    <row r="339" spans="2:14" ht="22.2" customHeight="1" thickTop="1" thickBot="1">
      <c r="B339" s="337">
        <f>Sim_SAC!C328</f>
        <v>54072</v>
      </c>
      <c r="C339" s="338">
        <f t="shared" ca="1" si="15"/>
        <v>1157.9375524854836</v>
      </c>
      <c r="D339" s="338">
        <f ca="1">IF($E$18="SAC",Sim_SAC!D328,Sim_PRICE!D328)</f>
        <v>842.74931039701278</v>
      </c>
      <c r="E339" s="338">
        <f ca="1">IF($E$18="SAC",Sim_SAC!E328,Sim_PRICE!E328)</f>
        <v>315.18824208847082</v>
      </c>
      <c r="F339" s="338">
        <f ca="1">IF($E$18="SAC",Sim_SAC!G328,Sim_PRICE!F328)</f>
        <v>45508.462761436938</v>
      </c>
      <c r="G339" s="338">
        <f ca="1">IF($E$18="SAC",Sim_SAC!H328,Sim_PRICE!G328)</f>
        <v>9.5567771799017578</v>
      </c>
      <c r="H339" s="338">
        <f>IF($E$18="SAC",Sim_SAC!I328,Sim_PRICE!H328)</f>
        <v>34.369999999999997</v>
      </c>
      <c r="I339" s="338">
        <f>IF($E$18="SAC",Sim_SAC!J328,Sim_PRICE!I328)</f>
        <v>25</v>
      </c>
      <c r="J339" s="338">
        <f ca="1">IF($E$18="SAC",Sim_SAC!K328,Sim_PRICE!J328)</f>
        <v>1226.8643296653852</v>
      </c>
      <c r="M339" s="335">
        <f t="shared" ca="1" si="16"/>
        <v>1226.8643296653852</v>
      </c>
      <c r="N339" s="336">
        <f t="shared" ca="1" si="17"/>
        <v>3.8178206664397165</v>
      </c>
    </row>
    <row r="340" spans="2:14" ht="22.2" customHeight="1" thickTop="1" thickBot="1">
      <c r="B340" s="332">
        <f>Sim_SAC!C329</f>
        <v>54103</v>
      </c>
      <c r="C340" s="333">
        <f t="shared" ca="1" si="15"/>
        <v>1152.2068571747839</v>
      </c>
      <c r="D340" s="333">
        <f ca="1">IF($E$18="SAC",Sim_SAC!D329,Sim_PRICE!D329)</f>
        <v>842.74931039701278</v>
      </c>
      <c r="E340" s="333">
        <f ca="1">IF($E$18="SAC",Sim_SAC!E329,Sim_PRICE!E329)</f>
        <v>309.45754677777114</v>
      </c>
      <c r="F340" s="333">
        <f ca="1">IF($E$18="SAC",Sim_SAC!G329,Sim_PRICE!F329)</f>
        <v>44665.713451039926</v>
      </c>
      <c r="G340" s="333">
        <f ca="1">IF($E$18="SAC",Sim_SAC!H329,Sim_PRICE!G329)</f>
        <v>9.3797998247183845</v>
      </c>
      <c r="H340" s="333">
        <f>IF($E$18="SAC",Sim_SAC!I329,Sim_PRICE!H329)</f>
        <v>34.369999999999997</v>
      </c>
      <c r="I340" s="333">
        <f>IF($E$18="SAC",Sim_SAC!J329,Sim_PRICE!I329)</f>
        <v>25</v>
      </c>
      <c r="J340" s="333">
        <f ca="1">IF($E$18="SAC",Sim_SAC!K329,Sim_PRICE!J329)</f>
        <v>1220.9566569995022</v>
      </c>
      <c r="M340" s="335">
        <f t="shared" ca="1" si="16"/>
        <v>1220.9566569995022</v>
      </c>
      <c r="N340" s="336">
        <f t="shared" ca="1" si="17"/>
        <v>3.7716844842789765</v>
      </c>
    </row>
    <row r="341" spans="2:14" ht="22.2" customHeight="1" thickTop="1" thickBot="1">
      <c r="B341" s="337">
        <f>Sim_SAC!C330</f>
        <v>54132</v>
      </c>
      <c r="C341" s="338">
        <f t="shared" ca="1" si="15"/>
        <v>1146.4761618640841</v>
      </c>
      <c r="D341" s="338">
        <f ca="1">IF($E$18="SAC",Sim_SAC!D330,Sim_PRICE!D330)</f>
        <v>842.74931039701278</v>
      </c>
      <c r="E341" s="338">
        <f ca="1">IF($E$18="SAC",Sim_SAC!E330,Sim_PRICE!E330)</f>
        <v>303.72685146707147</v>
      </c>
      <c r="F341" s="338">
        <f ca="1">IF($E$18="SAC",Sim_SAC!G330,Sim_PRICE!F330)</f>
        <v>43822.964140642915</v>
      </c>
      <c r="G341" s="338">
        <f ca="1">IF($E$18="SAC",Sim_SAC!H330,Sim_PRICE!G330)</f>
        <v>9.2028224695350129</v>
      </c>
      <c r="H341" s="338">
        <f>IF($E$18="SAC",Sim_SAC!I330,Sim_PRICE!H330)</f>
        <v>34.369999999999997</v>
      </c>
      <c r="I341" s="338">
        <f>IF($E$18="SAC",Sim_SAC!J330,Sim_PRICE!I330)</f>
        <v>25</v>
      </c>
      <c r="J341" s="338">
        <f ca="1">IF($E$18="SAC",Sim_SAC!K330,Sim_PRICE!J330)</f>
        <v>1215.048984333619</v>
      </c>
      <c r="M341" s="335">
        <f t="shared" ca="1" si="16"/>
        <v>1215.048984333619</v>
      </c>
      <c r="N341" s="336">
        <f t="shared" ca="1" si="17"/>
        <v>3.727997573143393</v>
      </c>
    </row>
    <row r="342" spans="2:14" ht="22.2" customHeight="1" thickTop="1" thickBot="1">
      <c r="B342" s="332">
        <f>Sim_SAC!C331</f>
        <v>54163</v>
      </c>
      <c r="C342" s="333">
        <f t="shared" ca="1" si="15"/>
        <v>1140.7454665533846</v>
      </c>
      <c r="D342" s="333">
        <f ca="1">IF($E$18="SAC",Sim_SAC!D331,Sim_PRICE!D331)</f>
        <v>842.74931039701278</v>
      </c>
      <c r="E342" s="333">
        <f ca="1">IF($E$18="SAC",Sim_SAC!E331,Sim_PRICE!E331)</f>
        <v>297.9961561563718</v>
      </c>
      <c r="F342" s="333">
        <f ca="1">IF($E$18="SAC",Sim_SAC!G331,Sim_PRICE!F331)</f>
        <v>42980.214830245903</v>
      </c>
      <c r="G342" s="333">
        <f ca="1">IF($E$18="SAC",Sim_SAC!H331,Sim_PRICE!G331)</f>
        <v>9.0258451143516396</v>
      </c>
      <c r="H342" s="333">
        <f>IF($E$18="SAC",Sim_SAC!I331,Sim_PRICE!H331)</f>
        <v>34.369999999999997</v>
      </c>
      <c r="I342" s="333">
        <f>IF($E$18="SAC",Sim_SAC!J331,Sim_PRICE!I331)</f>
        <v>25</v>
      </c>
      <c r="J342" s="333">
        <f ca="1">IF($E$18="SAC",Sim_SAC!K331,Sim_PRICE!J331)</f>
        <v>1209.1413116677361</v>
      </c>
      <c r="M342" s="335">
        <f t="shared" ca="1" si="16"/>
        <v>1209.1413116677361</v>
      </c>
      <c r="N342" s="336">
        <f t="shared" ca="1" si="17"/>
        <v>3.6828258284352611</v>
      </c>
    </row>
    <row r="343" spans="2:14" ht="22.2" customHeight="1" thickTop="1" thickBot="1">
      <c r="B343" s="337">
        <f>Sim_SAC!C332</f>
        <v>54193</v>
      </c>
      <c r="C343" s="338">
        <f t="shared" ca="1" si="15"/>
        <v>1135.0147712426849</v>
      </c>
      <c r="D343" s="338">
        <f ca="1">IF($E$18="SAC",Sim_SAC!D332,Sim_PRICE!D332)</f>
        <v>842.74931039701278</v>
      </c>
      <c r="E343" s="338">
        <f ca="1">IF($E$18="SAC",Sim_SAC!E332,Sim_PRICE!E332)</f>
        <v>292.26546084567212</v>
      </c>
      <c r="F343" s="338">
        <f ca="1">IF($E$18="SAC",Sim_SAC!G332,Sim_PRICE!F332)</f>
        <v>42137.465519848891</v>
      </c>
      <c r="G343" s="338">
        <f ca="1">IF($E$18="SAC",Sim_SAC!H332,Sim_PRICE!G332)</f>
        <v>8.8488677591682681</v>
      </c>
      <c r="H343" s="338">
        <f>IF($E$18="SAC",Sim_SAC!I332,Sim_PRICE!H332)</f>
        <v>34.369999999999997</v>
      </c>
      <c r="I343" s="338">
        <f>IF($E$18="SAC",Sim_SAC!J332,Sim_PRICE!I332)</f>
        <v>25</v>
      </c>
      <c r="J343" s="338">
        <f ca="1">IF($E$18="SAC",Sim_SAC!K332,Sim_PRICE!J332)</f>
        <v>1203.2336390018531</v>
      </c>
      <c r="M343" s="335">
        <f t="shared" ca="1" si="16"/>
        <v>1203.2336390018531</v>
      </c>
      <c r="N343" s="336">
        <f t="shared" ca="1" si="17"/>
        <v>3.6390941135854185</v>
      </c>
    </row>
    <row r="344" spans="2:14" ht="22.2" customHeight="1" thickTop="1" thickBot="1">
      <c r="B344" s="332">
        <f>Sim_SAC!C333</f>
        <v>54224</v>
      </c>
      <c r="C344" s="333">
        <f t="shared" ca="1" si="15"/>
        <v>1129.2840759319852</v>
      </c>
      <c r="D344" s="333">
        <f ca="1">IF($E$18="SAC",Sim_SAC!D333,Sim_PRICE!D333)</f>
        <v>842.74931039701278</v>
      </c>
      <c r="E344" s="333">
        <f ca="1">IF($E$18="SAC",Sim_SAC!E333,Sim_PRICE!E333)</f>
        <v>286.53476553497245</v>
      </c>
      <c r="F344" s="333">
        <f ca="1">IF($E$18="SAC",Sim_SAC!G333,Sim_PRICE!F333)</f>
        <v>41294.716209451879</v>
      </c>
      <c r="G344" s="333">
        <f ca="1">IF($E$18="SAC",Sim_SAC!H333,Sim_PRICE!G333)</f>
        <v>8.6718904039848947</v>
      </c>
      <c r="H344" s="333">
        <f>IF($E$18="SAC",Sim_SAC!I333,Sim_PRICE!H333)</f>
        <v>34.369999999999997</v>
      </c>
      <c r="I344" s="333">
        <f>IF($E$18="SAC",Sim_SAC!J333,Sim_PRICE!I333)</f>
        <v>25</v>
      </c>
      <c r="J344" s="333">
        <f ca="1">IF($E$18="SAC",Sim_SAC!K333,Sim_PRICE!J333)</f>
        <v>1197.32596633597</v>
      </c>
      <c r="M344" s="335">
        <f t="shared" ca="1" si="16"/>
        <v>1197.32596633597</v>
      </c>
      <c r="N344" s="336">
        <f t="shared" ca="1" si="17"/>
        <v>3.594879530246454</v>
      </c>
    </row>
    <row r="345" spans="2:14" ht="22.2" customHeight="1" thickTop="1" thickBot="1">
      <c r="B345" s="337">
        <f>Sim_SAC!C334</f>
        <v>54254</v>
      </c>
      <c r="C345" s="338">
        <f t="shared" ca="1" si="15"/>
        <v>1123.5533806212857</v>
      </c>
      <c r="D345" s="338">
        <f ca="1">IF($E$18="SAC",Sim_SAC!D334,Sim_PRICE!D334)</f>
        <v>842.74931039701278</v>
      </c>
      <c r="E345" s="338">
        <f ca="1">IF($E$18="SAC",Sim_SAC!E334,Sim_PRICE!E334)</f>
        <v>280.80407022427278</v>
      </c>
      <c r="F345" s="338">
        <f ca="1">IF($E$18="SAC",Sim_SAC!G334,Sim_PRICE!F334)</f>
        <v>40451.966899054867</v>
      </c>
      <c r="G345" s="338">
        <f ca="1">IF($E$18="SAC",Sim_SAC!H334,Sim_PRICE!G334)</f>
        <v>8.4949130488015232</v>
      </c>
      <c r="H345" s="338">
        <f>IF($E$18="SAC",Sim_SAC!I334,Sim_PRICE!H334)</f>
        <v>34.369999999999997</v>
      </c>
      <c r="I345" s="338">
        <f>IF($E$18="SAC",Sim_SAC!J334,Sim_PRICE!I334)</f>
        <v>25</v>
      </c>
      <c r="J345" s="338">
        <f ca="1">IF($E$18="SAC",Sim_SAC!K334,Sim_PRICE!J334)</f>
        <v>1191.418293670087</v>
      </c>
      <c r="M345" s="335">
        <f t="shared" ca="1" si="16"/>
        <v>1191.418293670087</v>
      </c>
      <c r="N345" s="336">
        <f t="shared" ca="1" si="17"/>
        <v>3.5520725155423842</v>
      </c>
    </row>
    <row r="346" spans="2:14" ht="22.2" customHeight="1" thickTop="1" thickBot="1">
      <c r="B346" s="332">
        <f>Sim_SAC!C335</f>
        <v>54285</v>
      </c>
      <c r="C346" s="333">
        <f t="shared" ca="1" si="15"/>
        <v>1117.8226853105859</v>
      </c>
      <c r="D346" s="333">
        <f ca="1">IF($E$18="SAC",Sim_SAC!D335,Sim_PRICE!D335)</f>
        <v>842.74931039701278</v>
      </c>
      <c r="E346" s="333">
        <f ca="1">IF($E$18="SAC",Sim_SAC!E335,Sim_PRICE!E335)</f>
        <v>275.0733749135731</v>
      </c>
      <c r="F346" s="333">
        <f ca="1">IF($E$18="SAC",Sim_SAC!G335,Sim_PRICE!F335)</f>
        <v>39609.217588657855</v>
      </c>
      <c r="G346" s="333">
        <f ca="1">IF($E$18="SAC",Sim_SAC!H335,Sim_PRICE!G335)</f>
        <v>8.3179356936181499</v>
      </c>
      <c r="H346" s="333">
        <f>IF($E$18="SAC",Sim_SAC!I335,Sim_PRICE!H335)</f>
        <v>34.369999999999997</v>
      </c>
      <c r="I346" s="333">
        <f>IF($E$18="SAC",Sim_SAC!J335,Sim_PRICE!I335)</f>
        <v>25</v>
      </c>
      <c r="J346" s="333">
        <f ca="1">IF($E$18="SAC",Sim_SAC!K335,Sim_PRICE!J335)</f>
        <v>1185.510621004204</v>
      </c>
      <c r="M346" s="335">
        <f t="shared" ca="1" si="16"/>
        <v>1185.510621004204</v>
      </c>
      <c r="N346" s="336">
        <f t="shared" ca="1" si="17"/>
        <v>3.5087960982701998</v>
      </c>
    </row>
    <row r="347" spans="2:14" ht="22.2" customHeight="1" thickTop="1" thickBot="1">
      <c r="B347" s="337">
        <f>Sim_SAC!C336</f>
        <v>54316</v>
      </c>
      <c r="C347" s="338">
        <f t="shared" ca="1" si="15"/>
        <v>1112.0919899998862</v>
      </c>
      <c r="D347" s="338">
        <f ca="1">IF($E$18="SAC",Sim_SAC!D336,Sim_PRICE!D336)</f>
        <v>842.74931039701278</v>
      </c>
      <c r="E347" s="338">
        <f ca="1">IF($E$18="SAC",Sim_SAC!E336,Sim_PRICE!E336)</f>
        <v>269.34267960287337</v>
      </c>
      <c r="F347" s="338">
        <f ca="1">IF($E$18="SAC",Sim_SAC!G336,Sim_PRICE!F336)</f>
        <v>38766.468278260843</v>
      </c>
      <c r="G347" s="338">
        <f ca="1">IF($E$18="SAC",Sim_SAC!H336,Sim_PRICE!G336)</f>
        <v>8.1409583384347766</v>
      </c>
      <c r="H347" s="338">
        <f>IF($E$18="SAC",Sim_SAC!I336,Sim_PRICE!H336)</f>
        <v>34.369999999999997</v>
      </c>
      <c r="I347" s="338">
        <f>IF($E$18="SAC",Sim_SAC!J336,Sim_PRICE!I336)</f>
        <v>25</v>
      </c>
      <c r="J347" s="338">
        <f ca="1">IF($E$18="SAC",Sim_SAC!K336,Sim_PRICE!J336)</f>
        <v>1179.6029483383209</v>
      </c>
      <c r="M347" s="335">
        <f t="shared" ca="1" si="16"/>
        <v>1179.6029483383209</v>
      </c>
      <c r="N347" s="336">
        <f t="shared" ca="1" si="17"/>
        <v>3.4659873617015635</v>
      </c>
    </row>
    <row r="348" spans="2:14" ht="22.2" customHeight="1" thickTop="1" thickBot="1">
      <c r="B348" s="332">
        <f>Sim_SAC!C337</f>
        <v>54346</v>
      </c>
      <c r="C348" s="333">
        <f t="shared" ca="1" si="15"/>
        <v>1106.3612946891865</v>
      </c>
      <c r="D348" s="333">
        <f ca="1">IF($E$18="SAC",Sim_SAC!D337,Sim_PRICE!D337)</f>
        <v>842.74931039701278</v>
      </c>
      <c r="E348" s="333">
        <f ca="1">IF($E$18="SAC",Sim_SAC!E337,Sim_PRICE!E337)</f>
        <v>263.6119842921737</v>
      </c>
      <c r="F348" s="333">
        <f ca="1">IF($E$18="SAC",Sim_SAC!G337,Sim_PRICE!F337)</f>
        <v>37923.718967863831</v>
      </c>
      <c r="G348" s="333">
        <f ca="1">IF($E$18="SAC",Sim_SAC!H337,Sim_PRICE!G337)</f>
        <v>7.963980983251405</v>
      </c>
      <c r="H348" s="333">
        <f>IF($E$18="SAC",Sim_SAC!I337,Sim_PRICE!H337)</f>
        <v>34.369999999999997</v>
      </c>
      <c r="I348" s="333">
        <f>IF($E$18="SAC",Sim_SAC!J337,Sim_PRICE!I337)</f>
        <v>25</v>
      </c>
      <c r="J348" s="333">
        <f ca="1">IF($E$18="SAC",Sim_SAC!K337,Sim_PRICE!J337)</f>
        <v>1173.6952756724377</v>
      </c>
      <c r="M348" s="335">
        <f t="shared" ca="1" si="16"/>
        <v>1173.6952756724377</v>
      </c>
      <c r="N348" s="336">
        <f t="shared" ca="1" si="17"/>
        <v>3.4245385709259053</v>
      </c>
    </row>
    <row r="349" spans="2:14" ht="22.2" customHeight="1" thickTop="1" thickBot="1">
      <c r="B349" s="337">
        <f>Sim_SAC!C338</f>
        <v>54377</v>
      </c>
      <c r="C349" s="338">
        <f t="shared" ca="1" si="15"/>
        <v>1100.6305993784867</v>
      </c>
      <c r="D349" s="338">
        <f ca="1">IF($E$18="SAC",Sim_SAC!D338,Sim_PRICE!D338)</f>
        <v>842.74931039701278</v>
      </c>
      <c r="E349" s="338">
        <f ca="1">IF($E$18="SAC",Sim_SAC!E338,Sim_PRICE!E338)</f>
        <v>257.88128898147403</v>
      </c>
      <c r="F349" s="338">
        <f ca="1">IF($E$18="SAC",Sim_SAC!G338,Sim_PRICE!F338)</f>
        <v>37080.96965746682</v>
      </c>
      <c r="G349" s="338">
        <f ca="1">IF($E$18="SAC",Sim_SAC!H338,Sim_PRICE!G338)</f>
        <v>7.7870036280680326</v>
      </c>
      <c r="H349" s="338">
        <f>IF($E$18="SAC",Sim_SAC!I338,Sim_PRICE!H338)</f>
        <v>34.369999999999997</v>
      </c>
      <c r="I349" s="338">
        <f>IF($E$18="SAC",Sim_SAC!J338,Sim_PRICE!I338)</f>
        <v>25</v>
      </c>
      <c r="J349" s="338">
        <f ca="1">IF($E$18="SAC",Sim_SAC!K338,Sim_PRICE!J338)</f>
        <v>1167.7876030065547</v>
      </c>
      <c r="M349" s="335">
        <f t="shared" ca="1" si="16"/>
        <v>1167.7876030065547</v>
      </c>
      <c r="N349" s="336">
        <f t="shared" ca="1" si="17"/>
        <v>3.3826400643534864</v>
      </c>
    </row>
    <row r="350" spans="2:14" ht="22.2" customHeight="1" thickTop="1" thickBot="1">
      <c r="B350" s="332">
        <f>Sim_SAC!C339</f>
        <v>54407</v>
      </c>
      <c r="C350" s="333">
        <f t="shared" ca="1" si="15"/>
        <v>1094.8999040677872</v>
      </c>
      <c r="D350" s="333">
        <f ca="1">IF($E$18="SAC",Sim_SAC!D339,Sim_PRICE!D339)</f>
        <v>842.74931039701278</v>
      </c>
      <c r="E350" s="333">
        <f ca="1">IF($E$18="SAC",Sim_SAC!E339,Sim_PRICE!E339)</f>
        <v>252.15059367077436</v>
      </c>
      <c r="F350" s="333">
        <f ca="1">IF($E$18="SAC",Sim_SAC!G339,Sim_PRICE!F339)</f>
        <v>36238.220347069808</v>
      </c>
      <c r="G350" s="333">
        <f ca="1">IF($E$18="SAC",Sim_SAC!H339,Sim_PRICE!G339)</f>
        <v>7.6100262728846602</v>
      </c>
      <c r="H350" s="333">
        <f>IF($E$18="SAC",Sim_SAC!I339,Sim_PRICE!H339)</f>
        <v>34.369999999999997</v>
      </c>
      <c r="I350" s="333">
        <f>IF($E$18="SAC",Sim_SAC!J339,Sim_PRICE!I339)</f>
        <v>25</v>
      </c>
      <c r="J350" s="333">
        <f ca="1">IF($E$18="SAC",Sim_SAC!K339,Sim_PRICE!J339)</f>
        <v>1161.8799303406718</v>
      </c>
      <c r="M350" s="335">
        <f t="shared" ca="1" si="16"/>
        <v>1161.8799303406718</v>
      </c>
      <c r="N350" s="336">
        <f t="shared" ca="1" si="17"/>
        <v>3.3420706903657296</v>
      </c>
    </row>
    <row r="351" spans="2:14" ht="22.2" customHeight="1" thickTop="1" thickBot="1">
      <c r="B351" s="337">
        <f>Sim_SAC!C340</f>
        <v>54438</v>
      </c>
      <c r="C351" s="338">
        <f t="shared" ca="1" si="15"/>
        <v>1089.1692087570875</v>
      </c>
      <c r="D351" s="338">
        <f ca="1">IF($E$18="SAC",Sim_SAC!D340,Sim_PRICE!D340)</f>
        <v>842.74931039701278</v>
      </c>
      <c r="E351" s="338">
        <f ca="1">IF($E$18="SAC",Sim_SAC!E340,Sim_PRICE!E340)</f>
        <v>246.41989836007468</v>
      </c>
      <c r="F351" s="338">
        <f ca="1">IF($E$18="SAC",Sim_SAC!G340,Sim_PRICE!F340)</f>
        <v>35395.471036672796</v>
      </c>
      <c r="G351" s="338">
        <f ca="1">IF($E$18="SAC",Sim_SAC!H340,Sim_PRICE!G340)</f>
        <v>7.4330489177012877</v>
      </c>
      <c r="H351" s="338">
        <f>IF($E$18="SAC",Sim_SAC!I340,Sim_PRICE!H340)</f>
        <v>34.369999999999997</v>
      </c>
      <c r="I351" s="338">
        <f>IF($E$18="SAC",Sim_SAC!J340,Sim_PRICE!I340)</f>
        <v>25</v>
      </c>
      <c r="J351" s="338">
        <f ca="1">IF($E$18="SAC",Sim_SAC!K340,Sim_PRICE!J340)</f>
        <v>1155.9722576747888</v>
      </c>
      <c r="M351" s="335">
        <f t="shared" ca="1" si="16"/>
        <v>1155.9722576747888</v>
      </c>
      <c r="N351" s="336">
        <f t="shared" ca="1" si="17"/>
        <v>3.3010643126276564</v>
      </c>
    </row>
    <row r="352" spans="2:14" ht="22.2" customHeight="1" thickTop="1" thickBot="1">
      <c r="B352" s="332">
        <f>Sim_SAC!C341</f>
        <v>54469</v>
      </c>
      <c r="C352" s="333">
        <f t="shared" ca="1" si="15"/>
        <v>1083.4385134463878</v>
      </c>
      <c r="D352" s="333">
        <f ca="1">IF($E$18="SAC",Sim_SAC!D341,Sim_PRICE!D341)</f>
        <v>842.74931039701278</v>
      </c>
      <c r="E352" s="333">
        <f ca="1">IF($E$18="SAC",Sim_SAC!E341,Sim_PRICE!E341)</f>
        <v>240.68920304937501</v>
      </c>
      <c r="F352" s="333">
        <f ca="1">IF($E$18="SAC",Sim_SAC!G341,Sim_PRICE!F341)</f>
        <v>34552.721726275784</v>
      </c>
      <c r="G352" s="333">
        <f ca="1">IF($E$18="SAC",Sim_SAC!H341,Sim_PRICE!G341)</f>
        <v>7.2560715625179153</v>
      </c>
      <c r="H352" s="333">
        <f>IF($E$18="SAC",Sim_SAC!I341,Sim_PRICE!H341)</f>
        <v>34.369999999999997</v>
      </c>
      <c r="I352" s="333">
        <f>IF($E$18="SAC",Sim_SAC!J341,Sim_PRICE!I341)</f>
        <v>25</v>
      </c>
      <c r="J352" s="333">
        <f ca="1">IF($E$18="SAC",Sim_SAC!K341,Sim_PRICE!J341)</f>
        <v>1150.0645850089056</v>
      </c>
      <c r="M352" s="335">
        <f t="shared" ca="1" si="16"/>
        <v>1150.0645850089056</v>
      </c>
      <c r="N352" s="336">
        <f t="shared" ca="1" si="17"/>
        <v>3.2605026327475186</v>
      </c>
    </row>
    <row r="353" spans="2:14" ht="22.2" customHeight="1" thickTop="1" thickBot="1">
      <c r="B353" s="337">
        <f>Sim_SAC!C342</f>
        <v>54497</v>
      </c>
      <c r="C353" s="338">
        <f t="shared" ca="1" si="15"/>
        <v>1077.7078181356881</v>
      </c>
      <c r="D353" s="338">
        <f ca="1">IF($E$18="SAC",Sim_SAC!D342,Sim_PRICE!D342)</f>
        <v>842.74931039701278</v>
      </c>
      <c r="E353" s="338">
        <f ca="1">IF($E$18="SAC",Sim_SAC!E342,Sim_PRICE!E342)</f>
        <v>234.95850773867531</v>
      </c>
      <c r="F353" s="338">
        <f ca="1">IF($E$18="SAC",Sim_SAC!G342,Sim_PRICE!F342)</f>
        <v>33709.972415878772</v>
      </c>
      <c r="G353" s="338">
        <f ca="1">IF($E$18="SAC",Sim_SAC!H342,Sim_PRICE!G342)</f>
        <v>7.0790942073345429</v>
      </c>
      <c r="H353" s="338">
        <f>IF($E$18="SAC",Sim_SAC!I342,Sim_PRICE!H342)</f>
        <v>34.369999999999997</v>
      </c>
      <c r="I353" s="338">
        <f>IF($E$18="SAC",Sim_SAC!J342,Sim_PRICE!I342)</f>
        <v>25</v>
      </c>
      <c r="J353" s="338">
        <f ca="1">IF($E$18="SAC",Sim_SAC!K342,Sim_PRICE!J342)</f>
        <v>1144.1569123430224</v>
      </c>
      <c r="M353" s="335">
        <f t="shared" ca="1" si="16"/>
        <v>1144.1569123430224</v>
      </c>
      <c r="N353" s="336">
        <f t="shared" ca="1" si="17"/>
        <v>3.2229130374108839</v>
      </c>
    </row>
    <row r="354" spans="2:14" ht="22.2" customHeight="1" thickTop="1" thickBot="1">
      <c r="B354" s="332">
        <f>Sim_SAC!C343</f>
        <v>54528</v>
      </c>
      <c r="C354" s="333">
        <f t="shared" ca="1" si="15"/>
        <v>1071.9771228249883</v>
      </c>
      <c r="D354" s="333">
        <f ca="1">IF($E$18="SAC",Sim_SAC!D343,Sim_PRICE!D343)</f>
        <v>842.74931039701278</v>
      </c>
      <c r="E354" s="333">
        <f ca="1">IF($E$18="SAC",Sim_SAC!E343,Sim_PRICE!E343)</f>
        <v>229.22781242797564</v>
      </c>
      <c r="F354" s="333">
        <f ca="1">IF($E$18="SAC",Sim_SAC!G343,Sim_PRICE!F343)</f>
        <v>32867.22310548176</v>
      </c>
      <c r="G354" s="333">
        <f ca="1">IF($E$18="SAC",Sim_SAC!H343,Sim_PRICE!G343)</f>
        <v>6.9021168521511695</v>
      </c>
      <c r="H354" s="333">
        <f>IF($E$18="SAC",Sim_SAC!I343,Sim_PRICE!H343)</f>
        <v>34.369999999999997</v>
      </c>
      <c r="I354" s="333">
        <f>IF($E$18="SAC",Sim_SAC!J343,Sim_PRICE!I343)</f>
        <v>25</v>
      </c>
      <c r="J354" s="333">
        <f ca="1">IF($E$18="SAC",Sim_SAC!K343,Sim_PRICE!J343)</f>
        <v>1138.2492396771395</v>
      </c>
      <c r="M354" s="335">
        <f t="shared" ca="1" si="16"/>
        <v>1138.2492396771395</v>
      </c>
      <c r="N354" s="336">
        <f t="shared" ca="1" si="17"/>
        <v>3.1831960627762959</v>
      </c>
    </row>
    <row r="355" spans="2:14" ht="22.2" customHeight="1" thickTop="1" thickBot="1">
      <c r="B355" s="337">
        <f>Sim_SAC!C344</f>
        <v>54558</v>
      </c>
      <c r="C355" s="338">
        <f t="shared" ca="1" si="15"/>
        <v>1066.2464275142888</v>
      </c>
      <c r="D355" s="338">
        <f ca="1">IF($E$18="SAC",Sim_SAC!D344,Sim_PRICE!D344)</f>
        <v>842.74931039701278</v>
      </c>
      <c r="E355" s="338">
        <f ca="1">IF($E$18="SAC",Sim_SAC!E344,Sim_PRICE!E344)</f>
        <v>223.49711711727596</v>
      </c>
      <c r="F355" s="338">
        <f ca="1">IF($E$18="SAC",Sim_SAC!G344,Sim_PRICE!F344)</f>
        <v>32024.473795084748</v>
      </c>
      <c r="G355" s="338">
        <f ca="1">IF($E$18="SAC",Sim_SAC!H344,Sim_PRICE!G344)</f>
        <v>6.7251394969677971</v>
      </c>
      <c r="H355" s="338">
        <f>IF($E$18="SAC",Sim_SAC!I344,Sim_PRICE!H344)</f>
        <v>34.369999999999997</v>
      </c>
      <c r="I355" s="338">
        <f>IF($E$18="SAC",Sim_SAC!J344,Sim_PRICE!I344)</f>
        <v>25</v>
      </c>
      <c r="J355" s="338">
        <f ca="1">IF($E$18="SAC",Sim_SAC!K344,Sim_PRICE!J344)</f>
        <v>1132.3415670112565</v>
      </c>
      <c r="M355" s="335">
        <f t="shared" ca="1" si="16"/>
        <v>1132.3415670112565</v>
      </c>
      <c r="N355" s="336">
        <f t="shared" ca="1" si="17"/>
        <v>3.1447344327819668</v>
      </c>
    </row>
    <row r="356" spans="2:14" ht="22.2" customHeight="1" thickTop="1" thickBot="1">
      <c r="B356" s="332">
        <f>Sim_SAC!C345</f>
        <v>54589</v>
      </c>
      <c r="C356" s="333">
        <f t="shared" ca="1" si="15"/>
        <v>1060.5157322035891</v>
      </c>
      <c r="D356" s="333">
        <f ca="1">IF($E$18="SAC",Sim_SAC!D345,Sim_PRICE!D345)</f>
        <v>842.74931039701278</v>
      </c>
      <c r="E356" s="333">
        <f ca="1">IF($E$18="SAC",Sim_SAC!E345,Sim_PRICE!E345)</f>
        <v>217.76642180657629</v>
      </c>
      <c r="F356" s="333">
        <f ca="1">IF($E$18="SAC",Sim_SAC!G345,Sim_PRICE!F345)</f>
        <v>31181.724484687737</v>
      </c>
      <c r="G356" s="333">
        <f ca="1">IF($E$18="SAC",Sim_SAC!H345,Sim_PRICE!G345)</f>
        <v>6.5481621417844247</v>
      </c>
      <c r="H356" s="333">
        <f>IF($E$18="SAC",Sim_SAC!I345,Sim_PRICE!H345)</f>
        <v>34.369999999999997</v>
      </c>
      <c r="I356" s="333">
        <f>IF($E$18="SAC",Sim_SAC!J345,Sim_PRICE!I345)</f>
        <v>25</v>
      </c>
      <c r="J356" s="333">
        <f ca="1">IF($E$18="SAC",Sim_SAC!K345,Sim_PRICE!J345)</f>
        <v>1126.4338943453733</v>
      </c>
      <c r="M356" s="335">
        <f t="shared" ca="1" si="16"/>
        <v>1126.4338943453733</v>
      </c>
      <c r="N356" s="336">
        <f t="shared" ca="1" si="17"/>
        <v>3.1058661636238001</v>
      </c>
    </row>
    <row r="357" spans="2:14" ht="22.2" customHeight="1" thickTop="1" thickBot="1">
      <c r="B357" s="337">
        <f>Sim_SAC!C346</f>
        <v>54619</v>
      </c>
      <c r="C357" s="338">
        <f t="shared" ca="1" si="15"/>
        <v>1054.7850368928894</v>
      </c>
      <c r="D357" s="338">
        <f ca="1">IF($E$18="SAC",Sim_SAC!D346,Sim_PRICE!D346)</f>
        <v>842.74931039701278</v>
      </c>
      <c r="E357" s="338">
        <f ca="1">IF($E$18="SAC",Sim_SAC!E346,Sim_PRICE!E346)</f>
        <v>212.03572649587659</v>
      </c>
      <c r="F357" s="338">
        <f ca="1">IF($E$18="SAC",Sim_SAC!G346,Sim_PRICE!F346)</f>
        <v>30338.975174290725</v>
      </c>
      <c r="G357" s="338">
        <f ca="1">IF($E$18="SAC",Sim_SAC!H346,Sim_PRICE!G346)</f>
        <v>6.3711847866010523</v>
      </c>
      <c r="H357" s="338">
        <f>IF($E$18="SAC",Sim_SAC!I346,Sim_PRICE!H346)</f>
        <v>34.369999999999997</v>
      </c>
      <c r="I357" s="338">
        <f>IF($E$18="SAC",Sim_SAC!J346,Sim_PRICE!I346)</f>
        <v>25</v>
      </c>
      <c r="J357" s="338">
        <f ca="1">IF($E$18="SAC",Sim_SAC!K346,Sim_PRICE!J346)</f>
        <v>1120.5262216794904</v>
      </c>
      <c r="M357" s="335">
        <f t="shared" ca="1" si="16"/>
        <v>1120.5262216794904</v>
      </c>
      <c r="N357" s="336">
        <f t="shared" ca="1" si="17"/>
        <v>3.0682245840679965</v>
      </c>
    </row>
    <row r="358" spans="2:14" ht="22.2" customHeight="1" thickTop="1" thickBot="1">
      <c r="B358" s="332">
        <f>Sim_SAC!C347</f>
        <v>54650</v>
      </c>
      <c r="C358" s="333">
        <f t="shared" ca="1" si="15"/>
        <v>1049.0543415821896</v>
      </c>
      <c r="D358" s="333">
        <f ca="1">IF($E$18="SAC",Sim_SAC!D347,Sim_PRICE!D347)</f>
        <v>842.74931039701278</v>
      </c>
      <c r="E358" s="333">
        <f ca="1">IF($E$18="SAC",Sim_SAC!E347,Sim_PRICE!E347)</f>
        <v>206.30503118517692</v>
      </c>
      <c r="F358" s="333">
        <f ca="1">IF($E$18="SAC",Sim_SAC!G347,Sim_PRICE!F347)</f>
        <v>29496.225863893713</v>
      </c>
      <c r="G358" s="333">
        <f ca="1">IF($E$18="SAC",Sim_SAC!H347,Sim_PRICE!G347)</f>
        <v>6.1942074314176798</v>
      </c>
      <c r="H358" s="333">
        <f>IF($E$18="SAC",Sim_SAC!I347,Sim_PRICE!H347)</f>
        <v>34.369999999999997</v>
      </c>
      <c r="I358" s="333">
        <f>IF($E$18="SAC",Sim_SAC!J347,Sim_PRICE!I347)</f>
        <v>25</v>
      </c>
      <c r="J358" s="333">
        <f ca="1">IF($E$18="SAC",Sim_SAC!K347,Sim_PRICE!J347)</f>
        <v>1114.6185490136072</v>
      </c>
      <c r="M358" s="335">
        <f t="shared" ca="1" si="16"/>
        <v>1114.6185490136072</v>
      </c>
      <c r="N358" s="336">
        <f t="shared" ca="1" si="17"/>
        <v>3.0301880929065272</v>
      </c>
    </row>
    <row r="359" spans="2:14" ht="22.2" customHeight="1" thickTop="1" thickBot="1">
      <c r="B359" s="337">
        <f>Sim_SAC!C348</f>
        <v>54681</v>
      </c>
      <c r="C359" s="338">
        <f t="shared" ca="1" si="15"/>
        <v>1043.3236462714899</v>
      </c>
      <c r="D359" s="338">
        <f ca="1">IF($E$18="SAC",Sim_SAC!D348,Sim_PRICE!D348)</f>
        <v>842.74931039701278</v>
      </c>
      <c r="E359" s="338">
        <f ca="1">IF($E$18="SAC",Sim_SAC!E348,Sim_PRICE!E348)</f>
        <v>200.57433587447724</v>
      </c>
      <c r="F359" s="338">
        <f ca="1">IF($E$18="SAC",Sim_SAC!G348,Sim_PRICE!F348)</f>
        <v>28653.476553496701</v>
      </c>
      <c r="G359" s="338">
        <f ca="1">IF($E$18="SAC",Sim_SAC!H348,Sim_PRICE!G348)</f>
        <v>6.0172300762343074</v>
      </c>
      <c r="H359" s="338">
        <f>IF($E$18="SAC",Sim_SAC!I348,Sim_PRICE!H348)</f>
        <v>34.369999999999997</v>
      </c>
      <c r="I359" s="338">
        <f>IF($E$18="SAC",Sim_SAC!J348,Sim_PRICE!I348)</f>
        <v>25</v>
      </c>
      <c r="J359" s="338">
        <f ca="1">IF($E$18="SAC",Sim_SAC!K348,Sim_PRICE!J348)</f>
        <v>1108.710876347724</v>
      </c>
      <c r="M359" s="335">
        <f t="shared" ca="1" si="16"/>
        <v>1108.710876347724</v>
      </c>
      <c r="N359" s="336">
        <f t="shared" ca="1" si="17"/>
        <v>2.9925661724169053</v>
      </c>
    </row>
    <row r="360" spans="2:14" ht="22.2" customHeight="1" thickTop="1" thickBot="1">
      <c r="B360" s="332">
        <f>Sim_SAC!C349</f>
        <v>54711</v>
      </c>
      <c r="C360" s="333">
        <f t="shared" ca="1" si="15"/>
        <v>1037.5929509607904</v>
      </c>
      <c r="D360" s="333">
        <f ca="1">IF($E$18="SAC",Sim_SAC!D349,Sim_PRICE!D349)</f>
        <v>842.74931039701278</v>
      </c>
      <c r="E360" s="333">
        <f ca="1">IF($E$18="SAC",Sim_SAC!E349,Sim_PRICE!E349)</f>
        <v>194.84364056377757</v>
      </c>
      <c r="F360" s="333">
        <f ca="1">IF($E$18="SAC",Sim_SAC!G349,Sim_PRICE!F349)</f>
        <v>27810.727243099689</v>
      </c>
      <c r="G360" s="333">
        <f ca="1">IF($E$18="SAC",Sim_SAC!H349,Sim_PRICE!G349)</f>
        <v>5.840252721050935</v>
      </c>
      <c r="H360" s="333">
        <f>IF($E$18="SAC",Sim_SAC!I349,Sim_PRICE!H349)</f>
        <v>34.369999999999997</v>
      </c>
      <c r="I360" s="333">
        <f>IF($E$18="SAC",Sim_SAC!J349,Sim_PRICE!I349)</f>
        <v>25</v>
      </c>
      <c r="J360" s="333">
        <f ca="1">IF($E$18="SAC",Sim_SAC!K349,Sim_PRICE!J349)</f>
        <v>1102.8032036818413</v>
      </c>
      <c r="M360" s="335">
        <f t="shared" ca="1" si="16"/>
        <v>1102.8032036818413</v>
      </c>
      <c r="N360" s="336">
        <f t="shared" ca="1" si="17"/>
        <v>2.9561289121194316</v>
      </c>
    </row>
    <row r="361" spans="2:14" ht="22.2" customHeight="1" thickTop="1" thickBot="1">
      <c r="B361" s="337">
        <f>Sim_SAC!C350</f>
        <v>54742</v>
      </c>
      <c r="C361" s="338">
        <f t="shared" ca="1" si="15"/>
        <v>1031.8622556500907</v>
      </c>
      <c r="D361" s="338">
        <f ca="1">IF($E$18="SAC",Sim_SAC!D350,Sim_PRICE!D350)</f>
        <v>842.74931039701278</v>
      </c>
      <c r="E361" s="338">
        <f ca="1">IF($E$18="SAC",Sim_SAC!E350,Sim_PRICE!E350)</f>
        <v>189.11294525307787</v>
      </c>
      <c r="F361" s="338">
        <f ca="1">IF($E$18="SAC",Sim_SAC!G350,Sim_PRICE!F350)</f>
        <v>26967.977932702677</v>
      </c>
      <c r="G361" s="338">
        <f ca="1">IF($E$18="SAC",Sim_SAC!H350,Sim_PRICE!G350)</f>
        <v>5.6632753658675625</v>
      </c>
      <c r="H361" s="338">
        <f>IF($E$18="SAC",Sim_SAC!I350,Sim_PRICE!H350)</f>
        <v>34.369999999999997</v>
      </c>
      <c r="I361" s="338">
        <f>IF($E$18="SAC",Sim_SAC!J350,Sim_PRICE!I350)</f>
        <v>25</v>
      </c>
      <c r="J361" s="338">
        <f ca="1">IF($E$18="SAC",Sim_SAC!K350,Sim_PRICE!J350)</f>
        <v>1096.8955310159581</v>
      </c>
      <c r="M361" s="335">
        <f t="shared" ca="1" si="16"/>
        <v>1096.8955310159581</v>
      </c>
      <c r="N361" s="336">
        <f t="shared" ca="1" si="17"/>
        <v>2.9193138772220406</v>
      </c>
    </row>
    <row r="362" spans="2:14" ht="22.2" customHeight="1" thickTop="1" thickBot="1">
      <c r="B362" s="332">
        <f>Sim_SAC!C351</f>
        <v>54772</v>
      </c>
      <c r="C362" s="333">
        <f t="shared" ca="1" si="15"/>
        <v>1026.1315603393909</v>
      </c>
      <c r="D362" s="333">
        <f ca="1">IF($E$18="SAC",Sim_SAC!D351,Sim_PRICE!D351)</f>
        <v>842.74931039701278</v>
      </c>
      <c r="E362" s="333">
        <f ca="1">IF($E$18="SAC",Sim_SAC!E351,Sim_PRICE!E351)</f>
        <v>183.38224994237819</v>
      </c>
      <c r="F362" s="333">
        <f ca="1">IF($E$18="SAC",Sim_SAC!G351,Sim_PRICE!F351)</f>
        <v>26125.228622305665</v>
      </c>
      <c r="G362" s="333">
        <f ca="1">IF($E$18="SAC",Sim_SAC!H351,Sim_PRICE!G351)</f>
        <v>5.4862980106841901</v>
      </c>
      <c r="H362" s="333">
        <f>IF($E$18="SAC",Sim_SAC!I351,Sim_PRICE!H351)</f>
        <v>34.369999999999997</v>
      </c>
      <c r="I362" s="333">
        <f>IF($E$18="SAC",Sim_SAC!J351,Sim_PRICE!I351)</f>
        <v>25</v>
      </c>
      <c r="J362" s="333">
        <f ca="1">IF($E$18="SAC",Sim_SAC!K351,Sim_PRICE!J351)</f>
        <v>1090.9878583500749</v>
      </c>
      <c r="M362" s="335">
        <f t="shared" ca="1" si="16"/>
        <v>1090.9878583500749</v>
      </c>
      <c r="N362" s="336">
        <f t="shared" ca="1" si="17"/>
        <v>2.8836563119721044</v>
      </c>
    </row>
    <row r="363" spans="2:14" ht="22.2" customHeight="1" thickTop="1" thickBot="1">
      <c r="B363" s="337">
        <f>Sim_SAC!C352</f>
        <v>54803</v>
      </c>
      <c r="C363" s="338">
        <f t="shared" ca="1" si="15"/>
        <v>1020.4008650286913</v>
      </c>
      <c r="D363" s="338">
        <f ca="1">IF($E$18="SAC",Sim_SAC!D352,Sim_PRICE!D352)</f>
        <v>842.74931039701278</v>
      </c>
      <c r="E363" s="338">
        <f ca="1">IF($E$18="SAC",Sim_SAC!E352,Sim_PRICE!E352)</f>
        <v>177.65155463167852</v>
      </c>
      <c r="F363" s="338">
        <f ca="1">IF($E$18="SAC",Sim_SAC!G352,Sim_PRICE!F352)</f>
        <v>25282.479311908653</v>
      </c>
      <c r="G363" s="338">
        <f ca="1">IF($E$18="SAC",Sim_SAC!H352,Sim_PRICE!G352)</f>
        <v>5.3093206555008177</v>
      </c>
      <c r="H363" s="338">
        <f>IF($E$18="SAC",Sim_SAC!I352,Sim_PRICE!H352)</f>
        <v>34.369999999999997</v>
      </c>
      <c r="I363" s="338">
        <f>IF($E$18="SAC",Sim_SAC!J352,Sim_PRICE!I352)</f>
        <v>25</v>
      </c>
      <c r="J363" s="338">
        <f ca="1">IF($E$18="SAC",Sim_SAC!K352,Sim_PRICE!J352)</f>
        <v>1085.080185684192</v>
      </c>
      <c r="M363" s="335">
        <f t="shared" ca="1" si="16"/>
        <v>1085.080185684192</v>
      </c>
      <c r="N363" s="336">
        <f t="shared" ca="1" si="17"/>
        <v>2.8476320346044304</v>
      </c>
    </row>
    <row r="364" spans="2:14" ht="22.2" customHeight="1" thickTop="1" thickBot="1">
      <c r="B364" s="332">
        <f>Sim_SAC!C353</f>
        <v>54834</v>
      </c>
      <c r="C364" s="333">
        <f t="shared" ca="1" si="15"/>
        <v>1014.6701697179916</v>
      </c>
      <c r="D364" s="333">
        <f ca="1">IF($E$18="SAC",Sim_SAC!D353,Sim_PRICE!D353)</f>
        <v>842.74931039701278</v>
      </c>
      <c r="E364" s="333">
        <f ca="1">IF($E$18="SAC",Sim_SAC!E353,Sim_PRICE!E353)</f>
        <v>171.92085932097882</v>
      </c>
      <c r="F364" s="333">
        <f ca="1">IF($E$18="SAC",Sim_SAC!G353,Sim_PRICE!F353)</f>
        <v>24439.730001511642</v>
      </c>
      <c r="G364" s="333">
        <f ca="1">IF($E$18="SAC",Sim_SAC!H353,Sim_PRICE!G353)</f>
        <v>5.1323433003174452</v>
      </c>
      <c r="H364" s="333">
        <f>IF($E$18="SAC",Sim_SAC!I353,Sim_PRICE!H353)</f>
        <v>34.369999999999997</v>
      </c>
      <c r="I364" s="333">
        <f>IF($E$18="SAC",Sim_SAC!J353,Sim_PRICE!I353)</f>
        <v>25</v>
      </c>
      <c r="J364" s="333">
        <f ca="1">IF($E$18="SAC",Sim_SAC!K353,Sim_PRICE!J353)</f>
        <v>1079.172513018309</v>
      </c>
      <c r="M364" s="335">
        <f t="shared" ca="1" si="16"/>
        <v>1079.172513018309</v>
      </c>
      <c r="N364" s="336">
        <f t="shared" ca="1" si="17"/>
        <v>2.8120018519075627</v>
      </c>
    </row>
    <row r="365" spans="2:14" ht="22.2" customHeight="1" thickTop="1" thickBot="1">
      <c r="B365" s="337">
        <f>Sim_SAC!C354</f>
        <v>54862</v>
      </c>
      <c r="C365" s="338">
        <f t="shared" ca="1" si="15"/>
        <v>1008.939474407292</v>
      </c>
      <c r="D365" s="338">
        <f ca="1">IF($E$18="SAC",Sim_SAC!D354,Sim_PRICE!D354)</f>
        <v>842.74931039701278</v>
      </c>
      <c r="E365" s="338">
        <f ca="1">IF($E$18="SAC",Sim_SAC!E354,Sim_PRICE!E354)</f>
        <v>166.19016401027915</v>
      </c>
      <c r="F365" s="338">
        <f ca="1">IF($E$18="SAC",Sim_SAC!G354,Sim_PRICE!F354)</f>
        <v>23596.98069111463</v>
      </c>
      <c r="G365" s="338">
        <f ca="1">IF($E$18="SAC",Sim_SAC!H354,Sim_PRICE!G354)</f>
        <v>4.9553659451340728</v>
      </c>
      <c r="H365" s="338">
        <f>IF($E$18="SAC",Sim_SAC!I354,Sim_PRICE!H354)</f>
        <v>34.369999999999997</v>
      </c>
      <c r="I365" s="338">
        <f>IF($E$18="SAC",Sim_SAC!J354,Sim_PRICE!I354)</f>
        <v>25</v>
      </c>
      <c r="J365" s="338">
        <f ca="1">IF($E$18="SAC",Sim_SAC!K354,Sim_PRICE!J354)</f>
        <v>1073.2648403524261</v>
      </c>
      <c r="M365" s="335">
        <f t="shared" ca="1" si="16"/>
        <v>1073.2648403524261</v>
      </c>
      <c r="N365" s="336">
        <f t="shared" ca="1" si="17"/>
        <v>2.7789448649635871</v>
      </c>
    </row>
    <row r="366" spans="2:14" ht="22.2" customHeight="1" thickTop="1" thickBot="1">
      <c r="B366" s="332">
        <f>Sim_SAC!C355</f>
        <v>54893</v>
      </c>
      <c r="C366" s="333">
        <f t="shared" ca="1" si="15"/>
        <v>1003.2087790965923</v>
      </c>
      <c r="D366" s="333">
        <f ca="1">IF($E$18="SAC",Sim_SAC!D355,Sim_PRICE!D355)</f>
        <v>842.74931039701278</v>
      </c>
      <c r="E366" s="333">
        <f ca="1">IF($E$18="SAC",Sim_SAC!E355,Sim_PRICE!E355)</f>
        <v>160.45946869957947</v>
      </c>
      <c r="F366" s="333">
        <f ca="1">IF($E$18="SAC",Sim_SAC!G355,Sim_PRICE!F355)</f>
        <v>22754.231380717618</v>
      </c>
      <c r="G366" s="333">
        <f ca="1">IF($E$18="SAC",Sim_SAC!H355,Sim_PRICE!G355)</f>
        <v>4.7783885899507004</v>
      </c>
      <c r="H366" s="333">
        <f>IF($E$18="SAC",Sim_SAC!I355,Sim_PRICE!H355)</f>
        <v>34.369999999999997</v>
      </c>
      <c r="I366" s="333">
        <f>IF($E$18="SAC",Sim_SAC!J355,Sim_PRICE!I355)</f>
        <v>25</v>
      </c>
      <c r="J366" s="333">
        <f ca="1">IF($E$18="SAC",Sim_SAC!K355,Sim_PRICE!J355)</f>
        <v>1067.3571676865429</v>
      </c>
      <c r="M366" s="335">
        <f t="shared" ca="1" si="16"/>
        <v>1067.3571676865429</v>
      </c>
      <c r="N366" s="336">
        <f t="shared" ca="1" si="17"/>
        <v>2.7440634532172017</v>
      </c>
    </row>
    <row r="367" spans="2:14" ht="22.2" customHeight="1" thickTop="1" thickBot="1">
      <c r="B367" s="337">
        <f>Sim_SAC!C356</f>
        <v>54923</v>
      </c>
      <c r="C367" s="338">
        <f t="shared" ca="1" si="15"/>
        <v>997.47808378589252</v>
      </c>
      <c r="D367" s="338">
        <f ca="1">IF($E$18="SAC",Sim_SAC!D356,Sim_PRICE!D356)</f>
        <v>842.74931039701278</v>
      </c>
      <c r="E367" s="338">
        <f ca="1">IF($E$18="SAC",Sim_SAC!E356,Sim_PRICE!E356)</f>
        <v>154.7287733888798</v>
      </c>
      <c r="F367" s="338">
        <f ca="1">IF($E$18="SAC",Sim_SAC!G356,Sim_PRICE!F356)</f>
        <v>21911.482070320606</v>
      </c>
      <c r="G367" s="338">
        <f ca="1">IF($E$18="SAC",Sim_SAC!H356,Sim_PRICE!G356)</f>
        <v>4.6014112347673271</v>
      </c>
      <c r="H367" s="338">
        <f>IF($E$18="SAC",Sim_SAC!I356,Sim_PRICE!H356)</f>
        <v>34.369999999999997</v>
      </c>
      <c r="I367" s="338">
        <f>IF($E$18="SAC",Sim_SAC!J356,Sim_PRICE!I356)</f>
        <v>25</v>
      </c>
      <c r="J367" s="338">
        <f ca="1">IF($E$18="SAC",Sim_SAC!K356,Sim_PRICE!J356)</f>
        <v>1061.4494950206597</v>
      </c>
      <c r="M367" s="335">
        <f t="shared" ca="1" si="16"/>
        <v>1061.4494950206597</v>
      </c>
      <c r="N367" s="336">
        <f t="shared" ca="1" si="17"/>
        <v>2.7102744089320221</v>
      </c>
    </row>
    <row r="368" spans="2:14" ht="22.2" customHeight="1" thickTop="1" thickBot="1">
      <c r="B368" s="332">
        <f>Sim_SAC!C357</f>
        <v>54954</v>
      </c>
      <c r="C368" s="333">
        <f t="shared" ca="1" si="15"/>
        <v>991.74738847519291</v>
      </c>
      <c r="D368" s="333">
        <f ca="1">IF($E$18="SAC",Sim_SAC!D357,Sim_PRICE!D357)</f>
        <v>842.74931039701278</v>
      </c>
      <c r="E368" s="333">
        <f ca="1">IF($E$18="SAC",Sim_SAC!E357,Sim_PRICE!E357)</f>
        <v>148.9980780781801</v>
      </c>
      <c r="F368" s="333">
        <f ca="1">IF($E$18="SAC",Sim_SAC!G357,Sim_PRICE!F357)</f>
        <v>21068.732759923594</v>
      </c>
      <c r="G368" s="333">
        <f ca="1">IF($E$18="SAC",Sim_SAC!H357,Sim_PRICE!G357)</f>
        <v>4.4244338795839546</v>
      </c>
      <c r="H368" s="333">
        <f>IF($E$18="SAC",Sim_SAC!I357,Sim_PRICE!H357)</f>
        <v>34.369999999999997</v>
      </c>
      <c r="I368" s="333">
        <f>IF($E$18="SAC",Sim_SAC!J357,Sim_PRICE!I357)</f>
        <v>25</v>
      </c>
      <c r="J368" s="333">
        <f ca="1">IF($E$18="SAC",Sim_SAC!K357,Sim_PRICE!J357)</f>
        <v>1055.5418223547767</v>
      </c>
      <c r="M368" s="335">
        <f t="shared" ca="1" si="16"/>
        <v>1055.5418223547767</v>
      </c>
      <c r="N368" s="336">
        <f t="shared" ca="1" si="17"/>
        <v>2.6761450675226719</v>
      </c>
    </row>
    <row r="369" spans="2:14" ht="22.2" customHeight="1" thickTop="1" thickBot="1">
      <c r="B369" s="337">
        <f>Sim_SAC!C358</f>
        <v>54984</v>
      </c>
      <c r="C369" s="338">
        <f t="shared" ca="1" si="15"/>
        <v>986.01669316449318</v>
      </c>
      <c r="D369" s="338">
        <f ca="1">IF($E$18="SAC",Sim_SAC!D358,Sim_PRICE!D358)</f>
        <v>842.74931039701278</v>
      </c>
      <c r="E369" s="338">
        <f ca="1">IF($E$18="SAC",Sim_SAC!E358,Sim_PRICE!E358)</f>
        <v>143.26738276748043</v>
      </c>
      <c r="F369" s="338">
        <f ca="1">IF($E$18="SAC",Sim_SAC!G358,Sim_PRICE!F358)</f>
        <v>20225.983449526582</v>
      </c>
      <c r="G369" s="338">
        <f ca="1">IF($E$18="SAC",Sim_SAC!H358,Sim_PRICE!G358)</f>
        <v>4.2474565244005822</v>
      </c>
      <c r="H369" s="338">
        <f>IF($E$18="SAC",Sim_SAC!I358,Sim_PRICE!H358)</f>
        <v>34.369999999999997</v>
      </c>
      <c r="I369" s="338">
        <f>IF($E$18="SAC",Sim_SAC!J358,Sim_PRICE!I358)</f>
        <v>25</v>
      </c>
      <c r="J369" s="338">
        <f ca="1">IF($E$18="SAC",Sim_SAC!K358,Sim_PRICE!J358)</f>
        <v>1049.6341496888938</v>
      </c>
      <c r="M369" s="335">
        <f t="shared" ca="1" si="16"/>
        <v>1049.6341496888938</v>
      </c>
      <c r="N369" s="336">
        <f t="shared" ca="1" si="17"/>
        <v>2.643082820486931</v>
      </c>
    </row>
    <row r="370" spans="2:14" ht="22.2" customHeight="1" thickTop="1" thickBot="1">
      <c r="B370" s="332">
        <f>Sim_SAC!C359</f>
        <v>55015</v>
      </c>
      <c r="C370" s="333">
        <f t="shared" ca="1" si="15"/>
        <v>980.28599785379356</v>
      </c>
      <c r="D370" s="333">
        <f ca="1">IF($E$18="SAC",Sim_SAC!D359,Sim_PRICE!D359)</f>
        <v>842.74931039701278</v>
      </c>
      <c r="E370" s="333">
        <f ca="1">IF($E$18="SAC",Sim_SAC!E359,Sim_PRICE!E359)</f>
        <v>137.53668745678075</v>
      </c>
      <c r="F370" s="333">
        <f ca="1">IF($E$18="SAC",Sim_SAC!G359,Sim_PRICE!F359)</f>
        <v>19383.23413912957</v>
      </c>
      <c r="G370" s="333">
        <f ca="1">IF($E$18="SAC",Sim_SAC!H359,Sim_PRICE!G359)</f>
        <v>4.0704791692172098</v>
      </c>
      <c r="H370" s="333">
        <f>IF($E$18="SAC",Sim_SAC!I359,Sim_PRICE!H359)</f>
        <v>34.369999999999997</v>
      </c>
      <c r="I370" s="333">
        <f>IF($E$18="SAC",Sim_SAC!J359,Sim_PRICE!I359)</f>
        <v>25</v>
      </c>
      <c r="J370" s="333">
        <f ca="1">IF($E$18="SAC",Sim_SAC!K359,Sim_PRICE!J359)</f>
        <v>1043.7264770230108</v>
      </c>
      <c r="M370" s="335">
        <f t="shared" ca="1" si="16"/>
        <v>1043.7264770230108</v>
      </c>
      <c r="N370" s="336">
        <f t="shared" ca="1" si="17"/>
        <v>2.6096904705864294</v>
      </c>
    </row>
    <row r="371" spans="2:14" ht="22.2" customHeight="1" thickTop="1" thickBot="1">
      <c r="B371" s="337">
        <f>Sim_SAC!C360</f>
        <v>55046</v>
      </c>
      <c r="C371" s="338">
        <f t="shared" ca="1" si="15"/>
        <v>974.55530254309383</v>
      </c>
      <c r="D371" s="338">
        <f ca="1">IF($E$18="SAC",Sim_SAC!D360,Sim_PRICE!D360)</f>
        <v>842.74931039701278</v>
      </c>
      <c r="E371" s="338">
        <f ca="1">IF($E$18="SAC",Sim_SAC!E360,Sim_PRICE!E360)</f>
        <v>131.80599214608108</v>
      </c>
      <c r="F371" s="338">
        <f ca="1">IF($E$18="SAC",Sim_SAC!G360,Sim_PRICE!F360)</f>
        <v>18540.484828732559</v>
      </c>
      <c r="G371" s="338">
        <f ca="1">IF($E$18="SAC",Sim_SAC!H360,Sim_PRICE!G360)</f>
        <v>3.8935018140338373</v>
      </c>
      <c r="H371" s="338">
        <f>IF($E$18="SAC",Sim_SAC!I360,Sim_PRICE!H360)</f>
        <v>34.369999999999997</v>
      </c>
      <c r="I371" s="338">
        <f>IF($E$18="SAC",Sim_SAC!J360,Sim_PRICE!I360)</f>
        <v>25</v>
      </c>
      <c r="J371" s="338">
        <f ca="1">IF($E$18="SAC",Sim_SAC!K360,Sim_PRICE!J360)</f>
        <v>1037.8188043571276</v>
      </c>
      <c r="M371" s="335">
        <f t="shared" ca="1" si="16"/>
        <v>1037.8188043571276</v>
      </c>
      <c r="N371" s="336">
        <f t="shared" ca="1" si="17"/>
        <v>2.5766653784578057</v>
      </c>
    </row>
    <row r="372" spans="2:14" ht="22.2" customHeight="1" thickTop="1" thickBot="1">
      <c r="B372" s="332">
        <f>Sim_SAC!C361</f>
        <v>55076</v>
      </c>
      <c r="C372" s="333">
        <f t="shared" ca="1" si="15"/>
        <v>968.82460723239421</v>
      </c>
      <c r="D372" s="333">
        <f ca="1">IF($E$18="SAC",Sim_SAC!D361,Sim_PRICE!D361)</f>
        <v>842.74931039701278</v>
      </c>
      <c r="E372" s="333">
        <f ca="1">IF($E$18="SAC",Sim_SAC!E361,Sim_PRICE!E361)</f>
        <v>126.07529683538139</v>
      </c>
      <c r="F372" s="333">
        <f ca="1">IF($E$18="SAC",Sim_SAC!G361,Sim_PRICE!F361)</f>
        <v>17697.735518335547</v>
      </c>
      <c r="G372" s="333">
        <f ca="1">IF($E$18="SAC",Sim_SAC!H361,Sim_PRICE!G361)</f>
        <v>3.7165244588504649</v>
      </c>
      <c r="H372" s="333">
        <f>IF($E$18="SAC",Sim_SAC!I361,Sim_PRICE!H361)</f>
        <v>34.369999999999997</v>
      </c>
      <c r="I372" s="333">
        <f>IF($E$18="SAC",Sim_SAC!J361,Sim_PRICE!I361)</f>
        <v>25</v>
      </c>
      <c r="J372" s="333">
        <f ca="1">IF($E$18="SAC",Sim_SAC!K361,Sim_PRICE!J361)</f>
        <v>1031.9111316912447</v>
      </c>
      <c r="M372" s="335">
        <f t="shared" ca="1" si="16"/>
        <v>1031.9111316912447</v>
      </c>
      <c r="N372" s="336">
        <f t="shared" ca="1" si="17"/>
        <v>2.5446703206101833</v>
      </c>
    </row>
    <row r="373" spans="2:14" ht="22.2" customHeight="1" thickTop="1" thickBot="1">
      <c r="B373" s="337">
        <f>Sim_SAC!C362</f>
        <v>55107</v>
      </c>
      <c r="C373" s="338">
        <f t="shared" ca="1" si="15"/>
        <v>963.09391192169448</v>
      </c>
      <c r="D373" s="338">
        <f ca="1">IF($E$18="SAC",Sim_SAC!D362,Sim_PRICE!D362)</f>
        <v>842.74931039701278</v>
      </c>
      <c r="E373" s="338">
        <f ca="1">IF($E$18="SAC",Sim_SAC!E362,Sim_PRICE!E362)</f>
        <v>120.34460152468171</v>
      </c>
      <c r="F373" s="338">
        <f ca="1">IF($E$18="SAC",Sim_SAC!G362,Sim_PRICE!F362)</f>
        <v>16854.986207938535</v>
      </c>
      <c r="G373" s="338">
        <f ca="1">IF($E$18="SAC",Sim_SAC!H362,Sim_PRICE!G362)</f>
        <v>3.5395471036670925</v>
      </c>
      <c r="H373" s="338">
        <f>IF($E$18="SAC",Sim_SAC!I362,Sim_PRICE!H362)</f>
        <v>34.369999999999997</v>
      </c>
      <c r="I373" s="338">
        <f>IF($E$18="SAC",Sim_SAC!J362,Sim_PRICE!I362)</f>
        <v>25</v>
      </c>
      <c r="J373" s="338">
        <f ca="1">IF($E$18="SAC",Sim_SAC!K362,Sim_PRICE!J362)</f>
        <v>1026.0034590253617</v>
      </c>
      <c r="M373" s="335">
        <f t="shared" ca="1" si="16"/>
        <v>1026.0034590253617</v>
      </c>
      <c r="N373" s="336">
        <f t="shared" ca="1" si="17"/>
        <v>2.5123600484549296</v>
      </c>
    </row>
    <row r="374" spans="2:14" ht="22.2" customHeight="1" thickTop="1" thickBot="1">
      <c r="B374" s="332">
        <f>Sim_SAC!C363</f>
        <v>55137</v>
      </c>
      <c r="C374" s="333">
        <f t="shared" ca="1" si="15"/>
        <v>957.36321661099487</v>
      </c>
      <c r="D374" s="333">
        <f ca="1">IF($E$18="SAC",Sim_SAC!D363,Sim_PRICE!D363)</f>
        <v>842.74931039701278</v>
      </c>
      <c r="E374" s="333">
        <f ca="1">IF($E$18="SAC",Sim_SAC!E363,Sim_PRICE!E363)</f>
        <v>114.61390621398203</v>
      </c>
      <c r="F374" s="333">
        <f ca="1">IF($E$18="SAC",Sim_SAC!G363,Sim_PRICE!F363)</f>
        <v>16012.236897541523</v>
      </c>
      <c r="G374" s="333">
        <f ca="1">IF($E$18="SAC",Sim_SAC!H363,Sim_PRICE!G363)</f>
        <v>3.36256974848372</v>
      </c>
      <c r="H374" s="333">
        <f>IF($E$18="SAC",Sim_SAC!I363,Sim_PRICE!H363)</f>
        <v>34.369999999999997</v>
      </c>
      <c r="I374" s="333">
        <f>IF($E$18="SAC",Sim_SAC!J363,Sim_PRICE!I363)</f>
        <v>25</v>
      </c>
      <c r="J374" s="333">
        <f ca="1">IF($E$18="SAC",Sim_SAC!K363,Sim_PRICE!J363)</f>
        <v>1020.0957863594786</v>
      </c>
      <c r="M374" s="335">
        <f t="shared" ca="1" si="16"/>
        <v>1020.0957863594786</v>
      </c>
      <c r="N374" s="336">
        <f t="shared" ca="1" si="17"/>
        <v>2.4810558382307857</v>
      </c>
    </row>
    <row r="375" spans="2:14" ht="22.2" customHeight="1" thickTop="1" thickBot="1">
      <c r="B375" s="337">
        <f>Sim_SAC!C364</f>
        <v>55168</v>
      </c>
      <c r="C375" s="338">
        <f t="shared" ca="1" si="15"/>
        <v>951.63252130029514</v>
      </c>
      <c r="D375" s="338">
        <f ca="1">IF($E$18="SAC",Sim_SAC!D364,Sim_PRICE!D364)</f>
        <v>842.74931039701278</v>
      </c>
      <c r="E375" s="338">
        <f ca="1">IF($E$18="SAC",Sim_SAC!E364,Sim_PRICE!E364)</f>
        <v>108.88321090328235</v>
      </c>
      <c r="F375" s="338">
        <f ca="1">IF($E$18="SAC",Sim_SAC!G364,Sim_PRICE!F364)</f>
        <v>15169.487587144511</v>
      </c>
      <c r="G375" s="338">
        <f ca="1">IF($E$18="SAC",Sim_SAC!H364,Sim_PRICE!G364)</f>
        <v>3.1855923933003476</v>
      </c>
      <c r="H375" s="338">
        <f>IF($E$18="SAC",Sim_SAC!I364,Sim_PRICE!H364)</f>
        <v>34.369999999999997</v>
      </c>
      <c r="I375" s="338">
        <f>IF($E$18="SAC",Sim_SAC!J364,Sim_PRICE!I364)</f>
        <v>25</v>
      </c>
      <c r="J375" s="338">
        <f ca="1">IF($E$18="SAC",Sim_SAC!K364,Sim_PRICE!J364)</f>
        <v>1014.1881136935955</v>
      </c>
      <c r="M375" s="335">
        <f t="shared" ca="1" si="16"/>
        <v>1014.1881136935955</v>
      </c>
      <c r="N375" s="336">
        <f t="shared" ca="1" si="17"/>
        <v>2.449446021754897</v>
      </c>
    </row>
    <row r="376" spans="2:14" ht="22.2" customHeight="1" thickTop="1" thickBot="1">
      <c r="B376" s="332">
        <f>Sim_SAC!C365</f>
        <v>55199</v>
      </c>
      <c r="C376" s="333">
        <f t="shared" ca="1" si="15"/>
        <v>945.90182598959541</v>
      </c>
      <c r="D376" s="333">
        <f ca="1">IF($E$18="SAC",Sim_SAC!D365,Sim_PRICE!D365)</f>
        <v>842.74931039701278</v>
      </c>
      <c r="E376" s="333">
        <f ca="1">IF($E$18="SAC",Sim_SAC!E365,Sim_PRICE!E365)</f>
        <v>103.15251559258267</v>
      </c>
      <c r="F376" s="333">
        <f ca="1">IF($E$18="SAC",Sim_SAC!G365,Sim_PRICE!F365)</f>
        <v>14326.738276747499</v>
      </c>
      <c r="G376" s="333">
        <f ca="1">IF($E$18="SAC",Sim_SAC!H365,Sim_PRICE!G365)</f>
        <v>3.0086150381169752</v>
      </c>
      <c r="H376" s="333">
        <f>IF($E$18="SAC",Sim_SAC!I365,Sim_PRICE!H365)</f>
        <v>34.369999999999997</v>
      </c>
      <c r="I376" s="333">
        <f>IF($E$18="SAC",Sim_SAC!J365,Sim_PRICE!I365)</f>
        <v>25</v>
      </c>
      <c r="J376" s="333">
        <f ca="1">IF($E$18="SAC",Sim_SAC!K365,Sim_PRICE!J365)</f>
        <v>1008.2804410277124</v>
      </c>
      <c r="M376" s="335">
        <f t="shared" ca="1" si="16"/>
        <v>1008.2804410277124</v>
      </c>
      <c r="N376" s="336">
        <f t="shared" ca="1" si="17"/>
        <v>2.4181852278135136</v>
      </c>
    </row>
    <row r="377" spans="2:14" ht="22.2" customHeight="1" thickTop="1" thickBot="1">
      <c r="B377" s="337">
        <f>Sim_SAC!C366</f>
        <v>55227</v>
      </c>
      <c r="C377" s="338">
        <f t="shared" ca="1" si="15"/>
        <v>940.17113067889579</v>
      </c>
      <c r="D377" s="338">
        <f ca="1">IF($E$18="SAC",Sim_SAC!D366,Sim_PRICE!D366)</f>
        <v>842.74931039701278</v>
      </c>
      <c r="E377" s="338">
        <f ca="1">IF($E$18="SAC",Sim_SAC!E366,Sim_PRICE!E366)</f>
        <v>97.421820281882987</v>
      </c>
      <c r="F377" s="338">
        <f ca="1">IF($E$18="SAC",Sim_SAC!G366,Sim_PRICE!F366)</f>
        <v>13483.988966350487</v>
      </c>
      <c r="G377" s="338">
        <f ca="1">IF($E$18="SAC",Sim_SAC!H366,Sim_PRICE!G366)</f>
        <v>2.8316376829336023</v>
      </c>
      <c r="H377" s="338">
        <f>IF($E$18="SAC",Sim_SAC!I366,Sim_PRICE!H366)</f>
        <v>34.369999999999997</v>
      </c>
      <c r="I377" s="338">
        <f>IF($E$18="SAC",Sim_SAC!J366,Sim_PRICE!I366)</f>
        <v>25</v>
      </c>
      <c r="J377" s="338">
        <f ca="1">IF($E$18="SAC",Sim_SAC!K366,Sim_PRICE!J366)</f>
        <v>1002.3727683618293</v>
      </c>
      <c r="M377" s="335">
        <f t="shared" ca="1" si="16"/>
        <v>1002.3727683618293</v>
      </c>
      <c r="N377" s="336">
        <f t="shared" ca="1" si="17"/>
        <v>2.3891467751809836</v>
      </c>
    </row>
    <row r="378" spans="2:14" ht="22.2" customHeight="1" thickTop="1" thickBot="1">
      <c r="B378" s="332">
        <f>Sim_SAC!C367</f>
        <v>55258</v>
      </c>
      <c r="C378" s="333">
        <f t="shared" ca="1" si="15"/>
        <v>934.44043536819606</v>
      </c>
      <c r="D378" s="333">
        <f ca="1">IF($E$18="SAC",Sim_SAC!D367,Sim_PRICE!D367)</f>
        <v>842.74931039701278</v>
      </c>
      <c r="E378" s="333">
        <f ca="1">IF($E$18="SAC",Sim_SAC!E367,Sim_PRICE!E367)</f>
        <v>91.691124971183314</v>
      </c>
      <c r="F378" s="333">
        <f ca="1">IF($E$18="SAC",Sim_SAC!G367,Sim_PRICE!F367)</f>
        <v>12641.239655953475</v>
      </c>
      <c r="G378" s="333">
        <f ca="1">IF($E$18="SAC",Sim_SAC!H367,Sim_PRICE!G367)</f>
        <v>2.6546603277502299</v>
      </c>
      <c r="H378" s="333">
        <f>IF($E$18="SAC",Sim_SAC!I367,Sim_PRICE!H367)</f>
        <v>34.369999999999997</v>
      </c>
      <c r="I378" s="333">
        <f>IF($E$18="SAC",Sim_SAC!J367,Sim_PRICE!I367)</f>
        <v>25</v>
      </c>
      <c r="J378" s="333">
        <f ca="1">IF($E$18="SAC",Sim_SAC!K367,Sim_PRICE!J367)</f>
        <v>996.46509569594627</v>
      </c>
      <c r="M378" s="335">
        <f t="shared" ca="1" si="16"/>
        <v>996.46509569594627</v>
      </c>
      <c r="N378" s="336">
        <f t="shared" ca="1" si="17"/>
        <v>2.3585492901062537</v>
      </c>
    </row>
    <row r="379" spans="2:14" ht="22.2" customHeight="1" thickTop="1" thickBot="1">
      <c r="B379" s="337">
        <f>Sim_SAC!C368</f>
        <v>55288</v>
      </c>
      <c r="C379" s="338">
        <f t="shared" ca="1" si="15"/>
        <v>928.70974005749645</v>
      </c>
      <c r="D379" s="338">
        <f ca="1">IF($E$18="SAC",Sim_SAC!D368,Sim_PRICE!D368)</f>
        <v>842.74931039701278</v>
      </c>
      <c r="E379" s="338">
        <f ca="1">IF($E$18="SAC",Sim_SAC!E368,Sim_PRICE!E368)</f>
        <v>85.960429660483626</v>
      </c>
      <c r="F379" s="338">
        <f ca="1">IF($E$18="SAC",Sim_SAC!G368,Sim_PRICE!F368)</f>
        <v>11798.490345556464</v>
      </c>
      <c r="G379" s="338">
        <f ca="1">IF($E$18="SAC",Sim_SAC!H368,Sim_PRICE!G368)</f>
        <v>2.4776829725668574</v>
      </c>
      <c r="H379" s="338">
        <f>IF($E$18="SAC",Sim_SAC!I368,Sim_PRICE!H368)</f>
        <v>34.369999999999997</v>
      </c>
      <c r="I379" s="338">
        <f>IF($E$18="SAC",Sim_SAC!J368,Sim_PRICE!I368)</f>
        <v>25</v>
      </c>
      <c r="J379" s="338">
        <f ca="1">IF($E$18="SAC",Sim_SAC!K368,Sim_PRICE!J368)</f>
        <v>990.55742303006332</v>
      </c>
      <c r="M379" s="335">
        <f t="shared" ca="1" si="16"/>
        <v>990.55742303006332</v>
      </c>
      <c r="N379" s="336">
        <f t="shared" ca="1" si="17"/>
        <v>2.3289004800224262</v>
      </c>
    </row>
    <row r="380" spans="2:14" ht="22.2" customHeight="1" thickTop="1" thickBot="1">
      <c r="B380" s="332">
        <f>Sim_SAC!C369</f>
        <v>55319</v>
      </c>
      <c r="C380" s="333">
        <f t="shared" ca="1" si="15"/>
        <v>922.97904474679672</v>
      </c>
      <c r="D380" s="333">
        <f ca="1">IF($E$18="SAC",Sim_SAC!D369,Sim_PRICE!D369)</f>
        <v>842.74931039701278</v>
      </c>
      <c r="E380" s="333">
        <f ca="1">IF($E$18="SAC",Sim_SAC!E369,Sim_PRICE!E369)</f>
        <v>80.229734349783953</v>
      </c>
      <c r="F380" s="333">
        <f ca="1">IF($E$18="SAC",Sim_SAC!G369,Sim_PRICE!F369)</f>
        <v>10955.741035159452</v>
      </c>
      <c r="G380" s="333">
        <f ca="1">IF($E$18="SAC",Sim_SAC!H369,Sim_PRICE!G369)</f>
        <v>2.300705617383485</v>
      </c>
      <c r="H380" s="333">
        <f>IF($E$18="SAC",Sim_SAC!I369,Sim_PRICE!H369)</f>
        <v>34.369999999999997</v>
      </c>
      <c r="I380" s="333">
        <f>IF($E$18="SAC",Sim_SAC!J369,Sim_PRICE!I369)</f>
        <v>25</v>
      </c>
      <c r="J380" s="333">
        <f ca="1">IF($E$18="SAC",Sim_SAC!K369,Sim_PRICE!J369)</f>
        <v>984.64975036418025</v>
      </c>
      <c r="M380" s="335">
        <f t="shared" ca="1" si="16"/>
        <v>984.64975036418025</v>
      </c>
      <c r="N380" s="336">
        <f t="shared" ca="1" si="17"/>
        <v>2.2989689969114648</v>
      </c>
    </row>
    <row r="381" spans="2:14" ht="22.2" customHeight="1" thickTop="1" thickBot="1">
      <c r="B381" s="337">
        <f>Sim_SAC!C370</f>
        <v>55349</v>
      </c>
      <c r="C381" s="338">
        <f t="shared" ca="1" si="15"/>
        <v>917.24834943609699</v>
      </c>
      <c r="D381" s="338">
        <f ca="1">IF($E$18="SAC",Sim_SAC!D370,Sim_PRICE!D370)</f>
        <v>842.74931039701278</v>
      </c>
      <c r="E381" s="338">
        <f ca="1">IF($E$18="SAC",Sim_SAC!E370,Sim_PRICE!E370)</f>
        <v>74.499039039084266</v>
      </c>
      <c r="F381" s="338">
        <f ca="1">IF($E$18="SAC",Sim_SAC!G370,Sim_PRICE!F370)</f>
        <v>10112.99172476244</v>
      </c>
      <c r="G381" s="338">
        <f ca="1">IF($E$18="SAC",Sim_SAC!H370,Sim_PRICE!G370)</f>
        <v>2.1237282622001126</v>
      </c>
      <c r="H381" s="338">
        <f>IF($E$18="SAC",Sim_SAC!I370,Sim_PRICE!H370)</f>
        <v>34.369999999999997</v>
      </c>
      <c r="I381" s="338">
        <f>IF($E$18="SAC",Sim_SAC!J370,Sim_PRICE!I370)</f>
        <v>25</v>
      </c>
      <c r="J381" s="338">
        <f ca="1">IF($E$18="SAC",Sim_SAC!K370,Sim_PRICE!J370)</f>
        <v>978.74207769829707</v>
      </c>
      <c r="M381" s="335">
        <f t="shared" ca="1" si="16"/>
        <v>978.74207769829707</v>
      </c>
      <c r="N381" s="336">
        <f t="shared" ca="1" si="17"/>
        <v>2.2699639191399679</v>
      </c>
    </row>
    <row r="382" spans="2:14" ht="22.2" customHeight="1" thickTop="1" thickBot="1">
      <c r="B382" s="332">
        <f>Sim_SAC!C371</f>
        <v>55380</v>
      </c>
      <c r="C382" s="333">
        <f t="shared" ca="1" si="15"/>
        <v>911.51765412539737</v>
      </c>
      <c r="D382" s="333">
        <f ca="1">IF($E$18="SAC",Sim_SAC!D371,Sim_PRICE!D371)</f>
        <v>842.74931039701278</v>
      </c>
      <c r="E382" s="333">
        <f ca="1">IF($E$18="SAC",Sim_SAC!E371,Sim_PRICE!E371)</f>
        <v>68.768343728384593</v>
      </c>
      <c r="F382" s="333">
        <f ca="1">IF($E$18="SAC",Sim_SAC!G371,Sim_PRICE!F371)</f>
        <v>9270.242414365428</v>
      </c>
      <c r="G382" s="333">
        <f ca="1">IF($E$18="SAC",Sim_SAC!H371,Sim_PRICE!G371)</f>
        <v>1.9467509070167399</v>
      </c>
      <c r="H382" s="333">
        <f>IF($E$18="SAC",Sim_SAC!I371,Sim_PRICE!H371)</f>
        <v>34.369999999999997</v>
      </c>
      <c r="I382" s="333">
        <f>IF($E$18="SAC",Sim_SAC!J371,Sim_PRICE!I371)</f>
        <v>25</v>
      </c>
      <c r="J382" s="333">
        <f ca="1">IF($E$18="SAC",Sim_SAC!K371,Sim_PRICE!J371)</f>
        <v>972.83440503241411</v>
      </c>
      <c r="M382" s="335">
        <f t="shared" ca="1" si="16"/>
        <v>972.83440503241411</v>
      </c>
      <c r="N382" s="336">
        <f t="shared" ca="1" si="17"/>
        <v>2.2406850114221362</v>
      </c>
    </row>
    <row r="383" spans="2:14" ht="22.2" customHeight="1" thickTop="1" thickBot="1">
      <c r="B383" s="337">
        <f>Sim_SAC!C372</f>
        <v>55411</v>
      </c>
      <c r="C383" s="338">
        <f t="shared" ca="1" si="15"/>
        <v>905.78695881469764</v>
      </c>
      <c r="D383" s="338">
        <f ca="1">IF($E$18="SAC",Sim_SAC!D372,Sim_PRICE!D372)</f>
        <v>842.74931039701278</v>
      </c>
      <c r="E383" s="338">
        <f ca="1">IF($E$18="SAC",Sim_SAC!E372,Sim_PRICE!E372)</f>
        <v>63.037648417684906</v>
      </c>
      <c r="F383" s="338">
        <f ca="1">IF($E$18="SAC",Sim_SAC!G372,Sim_PRICE!F372)</f>
        <v>8427.4931039684161</v>
      </c>
      <c r="G383" s="338">
        <f ca="1">IF($E$18="SAC",Sim_SAC!H372,Sim_PRICE!G372)</f>
        <v>1.7697735518333675</v>
      </c>
      <c r="H383" s="338">
        <f>IF($E$18="SAC",Sim_SAC!I372,Sim_PRICE!H372)</f>
        <v>34.369999999999997</v>
      </c>
      <c r="I383" s="338">
        <f>IF($E$18="SAC",Sim_SAC!J372,Sim_PRICE!I372)</f>
        <v>25</v>
      </c>
      <c r="J383" s="338">
        <f ca="1">IF($E$18="SAC",Sim_SAC!K372,Sim_PRICE!J372)</f>
        <v>966.92673236653104</v>
      </c>
      <c r="M383" s="335">
        <f t="shared" ca="1" si="16"/>
        <v>966.92673236653104</v>
      </c>
      <c r="N383" s="336">
        <f t="shared" ca="1" si="17"/>
        <v>2.2117312300717602</v>
      </c>
    </row>
    <row r="384" spans="2:14" ht="22.2" customHeight="1" thickTop="1" thickBot="1">
      <c r="B384" s="332">
        <f>Sim_SAC!C373</f>
        <v>55441</v>
      </c>
      <c r="C384" s="333">
        <f t="shared" ca="1" si="15"/>
        <v>900.05626350399803</v>
      </c>
      <c r="D384" s="333">
        <f ca="1">IF($E$18="SAC",Sim_SAC!D373,Sim_PRICE!D373)</f>
        <v>842.74931039701278</v>
      </c>
      <c r="E384" s="333">
        <f ca="1">IF($E$18="SAC",Sim_SAC!E373,Sim_PRICE!E373)</f>
        <v>57.306953106985226</v>
      </c>
      <c r="F384" s="333">
        <f ca="1">IF($E$18="SAC",Sim_SAC!G373,Sim_PRICE!F373)</f>
        <v>7584.7437935714033</v>
      </c>
      <c r="G384" s="333">
        <f ca="1">IF($E$18="SAC",Sim_SAC!H373,Sim_PRICE!G373)</f>
        <v>1.5927961966499948</v>
      </c>
      <c r="H384" s="333">
        <f>IF($E$18="SAC",Sim_SAC!I373,Sim_PRICE!H373)</f>
        <v>34.369999999999997</v>
      </c>
      <c r="I384" s="333">
        <f>IF($E$18="SAC",Sim_SAC!J373,Sim_PRICE!I373)</f>
        <v>25</v>
      </c>
      <c r="J384" s="333">
        <f ca="1">IF($E$18="SAC",Sim_SAC!K373,Sim_PRICE!J373)</f>
        <v>961.01905970064797</v>
      </c>
      <c r="M384" s="335">
        <f t="shared" ca="1" si="16"/>
        <v>961.01905970064797</v>
      </c>
      <c r="N384" s="336">
        <f t="shared" ca="1" si="17"/>
        <v>2.1836712064846071</v>
      </c>
    </row>
    <row r="385" spans="2:14" ht="22.2" customHeight="1" thickTop="1" thickBot="1">
      <c r="B385" s="337">
        <f>Sim_SAC!C374</f>
        <v>55472</v>
      </c>
      <c r="C385" s="338">
        <f t="shared" ref="C385:C392" ca="1" si="18">D385+E385</f>
        <v>894.3255681932983</v>
      </c>
      <c r="D385" s="338">
        <f ca="1">IF($E$18="SAC",Sim_SAC!D374,Sim_PRICE!D374)</f>
        <v>842.74931039701278</v>
      </c>
      <c r="E385" s="338">
        <f ca="1">IF($E$18="SAC",Sim_SAC!E374,Sim_PRICE!E374)</f>
        <v>51.576257796285539</v>
      </c>
      <c r="F385" s="338">
        <f ca="1">IF($E$18="SAC",Sim_SAC!G374,Sim_PRICE!F374)</f>
        <v>6741.9944831743906</v>
      </c>
      <c r="G385" s="338">
        <f ca="1">IF($E$18="SAC",Sim_SAC!H374,Sim_PRICE!G374)</f>
        <v>1.4158188414666222</v>
      </c>
      <c r="H385" s="338">
        <f>IF($E$18="SAC",Sim_SAC!I374,Sim_PRICE!H374)</f>
        <v>34.369999999999997</v>
      </c>
      <c r="I385" s="338">
        <f>IF($E$18="SAC",Sim_SAC!J374,Sim_PRICE!I374)</f>
        <v>25</v>
      </c>
      <c r="J385" s="338">
        <f ca="1">IF($E$18="SAC",Sim_SAC!K374,Sim_PRICE!J374)</f>
        <v>955.1113870347649</v>
      </c>
      <c r="M385" s="335">
        <f t="shared" ref="M385:M393" ca="1" si="19">J385</f>
        <v>955.1113870347649</v>
      </c>
      <c r="N385" s="336">
        <f t="shared" ref="N385:N393" ca="1" si="20">IFERROR((G385+H385)/((1.008)^(12*(B385-$B$32)/365)),"")</f>
        <v>2.1553502606254398</v>
      </c>
    </row>
    <row r="386" spans="2:14" ht="22.2" customHeight="1" thickTop="1" thickBot="1">
      <c r="B386" s="332">
        <f>Sim_SAC!C375</f>
        <v>55502</v>
      </c>
      <c r="C386" s="333">
        <f t="shared" ca="1" si="18"/>
        <v>888.59487288259868</v>
      </c>
      <c r="D386" s="333">
        <f ca="1">IF($E$18="SAC",Sim_SAC!D375,Sim_PRICE!D375)</f>
        <v>842.74931039701278</v>
      </c>
      <c r="E386" s="333">
        <f ca="1">IF($E$18="SAC",Sim_SAC!E375,Sim_PRICE!E375)</f>
        <v>45.845562485585852</v>
      </c>
      <c r="F386" s="333">
        <f ca="1">IF($E$18="SAC",Sim_SAC!G375,Sim_PRICE!F375)</f>
        <v>5899.2451727773778</v>
      </c>
      <c r="G386" s="333">
        <f ca="1">IF($E$18="SAC",Sim_SAC!H375,Sim_PRICE!G375)</f>
        <v>1.2388414862832493</v>
      </c>
      <c r="H386" s="333">
        <f>IF($E$18="SAC",Sim_SAC!I375,Sim_PRICE!H375)</f>
        <v>34.369999999999997</v>
      </c>
      <c r="I386" s="333">
        <f>IF($E$18="SAC",Sim_SAC!J375,Sim_PRICE!I375)</f>
        <v>25</v>
      </c>
      <c r="J386" s="333">
        <f ca="1">IF($E$18="SAC",Sim_SAC!K375,Sim_PRICE!J375)</f>
        <v>949.20371436888195</v>
      </c>
      <c r="M386" s="335">
        <f t="shared" ca="1" si="19"/>
        <v>949.20371436888195</v>
      </c>
      <c r="N386" s="336">
        <f t="shared" ca="1" si="20"/>
        <v>2.1279019575477731</v>
      </c>
    </row>
    <row r="387" spans="2:14" ht="22.2" customHeight="1" thickTop="1" thickBot="1">
      <c r="B387" s="337">
        <f>Sim_SAC!C376</f>
        <v>55533</v>
      </c>
      <c r="C387" s="338">
        <f t="shared" ca="1" si="18"/>
        <v>882.86417757189895</v>
      </c>
      <c r="D387" s="338">
        <f ca="1">IF($E$18="SAC",Sim_SAC!D376,Sim_PRICE!D376)</f>
        <v>842.74931039701278</v>
      </c>
      <c r="E387" s="338">
        <f ca="1">IF($E$18="SAC",Sim_SAC!E376,Sim_PRICE!E376)</f>
        <v>40.114867174886164</v>
      </c>
      <c r="F387" s="338">
        <f ca="1">IF($E$18="SAC",Sim_SAC!G376,Sim_PRICE!F376)</f>
        <v>5056.495862380365</v>
      </c>
      <c r="G387" s="338">
        <f ca="1">IF($E$18="SAC",Sim_SAC!H376,Sim_PRICE!G376)</f>
        <v>1.0618641310998767</v>
      </c>
      <c r="H387" s="338">
        <f>IF($E$18="SAC",Sim_SAC!I376,Sim_PRICE!H376)</f>
        <v>34.369999999999997</v>
      </c>
      <c r="I387" s="338">
        <f>IF($E$18="SAC",Sim_SAC!J376,Sim_PRICE!I376)</f>
        <v>25</v>
      </c>
      <c r="J387" s="338">
        <f ca="1">IF($E$18="SAC",Sim_SAC!K376,Sim_PRICE!J376)</f>
        <v>943.29604170299888</v>
      </c>
      <c r="M387" s="335">
        <f t="shared" ca="1" si="19"/>
        <v>943.29604170299888</v>
      </c>
      <c r="N387" s="336">
        <f t="shared" ca="1" si="20"/>
        <v>2.100201059093632</v>
      </c>
    </row>
    <row r="388" spans="2:14" ht="22.2" customHeight="1" thickTop="1" thickBot="1">
      <c r="B388" s="332">
        <f>Sim_SAC!C377</f>
        <v>55564</v>
      </c>
      <c r="C388" s="333">
        <f t="shared" ca="1" si="18"/>
        <v>877.13348226119922</v>
      </c>
      <c r="D388" s="333">
        <f ca="1">IF($E$18="SAC",Sim_SAC!D377,Sim_PRICE!D377)</f>
        <v>842.74931039701278</v>
      </c>
      <c r="E388" s="333">
        <f ca="1">IF($E$18="SAC",Sim_SAC!E377,Sim_PRICE!E377)</f>
        <v>34.384171864186477</v>
      </c>
      <c r="F388" s="333">
        <f ca="1">IF($E$18="SAC",Sim_SAC!G377,Sim_PRICE!F377)</f>
        <v>4213.7465519833522</v>
      </c>
      <c r="G388" s="333">
        <f ca="1">IF($E$18="SAC",Sim_SAC!H377,Sim_PRICE!G377)</f>
        <v>0.884886775916504</v>
      </c>
      <c r="H388" s="333">
        <f>IF($E$18="SAC",Sim_SAC!I377,Sim_PRICE!H377)</f>
        <v>34.369999999999997</v>
      </c>
      <c r="I388" s="333">
        <f>IF($E$18="SAC",Sim_SAC!J377,Sim_PRICE!I377)</f>
        <v>25</v>
      </c>
      <c r="J388" s="333">
        <f ca="1">IF($E$18="SAC",Sim_SAC!K377,Sim_PRICE!J377)</f>
        <v>937.38836903711569</v>
      </c>
      <c r="M388" s="335">
        <f t="shared" ca="1" si="19"/>
        <v>937.38836903711569</v>
      </c>
      <c r="N388" s="336">
        <f t="shared" ca="1" si="20"/>
        <v>2.0728090541341357</v>
      </c>
    </row>
    <row r="389" spans="2:14" ht="22.2" customHeight="1" thickTop="1" thickBot="1">
      <c r="B389" s="337">
        <f>Sim_SAC!C378</f>
        <v>55593</v>
      </c>
      <c r="C389" s="338">
        <f t="shared" ca="1" si="18"/>
        <v>871.4027869504996</v>
      </c>
      <c r="D389" s="338">
        <f ca="1">IF($E$18="SAC",Sim_SAC!D378,Sim_PRICE!D378)</f>
        <v>842.74931039701278</v>
      </c>
      <c r="E389" s="338">
        <f ca="1">IF($E$18="SAC",Sim_SAC!E378,Sim_PRICE!E378)</f>
        <v>28.653476553486794</v>
      </c>
      <c r="F389" s="338">
        <f ca="1">IF($E$18="SAC",Sim_SAC!G378,Sim_PRICE!F378)</f>
        <v>3370.9972415863394</v>
      </c>
      <c r="G389" s="338">
        <f ca="1">IF($E$18="SAC",Sim_SAC!H378,Sim_PRICE!G378)</f>
        <v>0.70790942073313134</v>
      </c>
      <c r="H389" s="338">
        <f>IF($E$18="SAC",Sim_SAC!I378,Sim_PRICE!H378)</f>
        <v>34.369999999999997</v>
      </c>
      <c r="I389" s="338">
        <f>IF($E$18="SAC",Sim_SAC!J378,Sim_PRICE!I378)</f>
        <v>25</v>
      </c>
      <c r="J389" s="338">
        <f ca="1">IF($E$18="SAC",Sim_SAC!K378,Sim_PRICE!J378)</f>
        <v>931.48069637123274</v>
      </c>
      <c r="M389" s="335">
        <f t="shared" ca="1" si="19"/>
        <v>931.48069637123274</v>
      </c>
      <c r="N389" s="336">
        <f t="shared" ca="1" si="20"/>
        <v>2.0467948635115034</v>
      </c>
    </row>
    <row r="390" spans="2:14" ht="22.2" customHeight="1" thickTop="1" thickBot="1">
      <c r="B390" s="332">
        <f>Sim_SAC!C379</f>
        <v>55624</v>
      </c>
      <c r="C390" s="333">
        <f t="shared" ca="1" si="18"/>
        <v>865.67209163979987</v>
      </c>
      <c r="D390" s="333">
        <f ca="1">IF($E$18="SAC",Sim_SAC!D379,Sim_PRICE!D379)</f>
        <v>842.74931039701278</v>
      </c>
      <c r="E390" s="333">
        <f ca="1">IF($E$18="SAC",Sim_SAC!E379,Sim_PRICE!E379)</f>
        <v>22.922781242787106</v>
      </c>
      <c r="F390" s="333">
        <f ca="1">IF($E$18="SAC",Sim_SAC!G379,Sim_PRICE!F379)</f>
        <v>2528.2479311893267</v>
      </c>
      <c r="G390" s="333">
        <f ca="1">IF($E$18="SAC",Sim_SAC!H379,Sim_PRICE!G379)</f>
        <v>0.53093206554975858</v>
      </c>
      <c r="H390" s="333">
        <f>IF($E$18="SAC",Sim_SAC!I379,Sim_PRICE!H379)</f>
        <v>34.369999999999997</v>
      </c>
      <c r="I390" s="333">
        <f>IF($E$18="SAC",Sim_SAC!J379,Sim_PRICE!I379)</f>
        <v>25</v>
      </c>
      <c r="J390" s="333">
        <f ca="1">IF($E$18="SAC",Sim_SAC!K379,Sim_PRICE!J379)</f>
        <v>925.57302370534967</v>
      </c>
      <c r="M390" s="335">
        <f t="shared" ca="1" si="19"/>
        <v>925.57302370534967</v>
      </c>
      <c r="N390" s="336">
        <f t="shared" ca="1" si="20"/>
        <v>2.0199970864394921</v>
      </c>
    </row>
    <row r="391" spans="2:14" ht="22.2" customHeight="1" thickTop="1" thickBot="1">
      <c r="B391" s="337">
        <f>Sim_SAC!C380</f>
        <v>55654</v>
      </c>
      <c r="C391" s="338">
        <f t="shared" ca="1" si="18"/>
        <v>859.94139632910014</v>
      </c>
      <c r="D391" s="338">
        <f ca="1">IF($E$18="SAC",Sim_SAC!D380,Sim_PRICE!D380)</f>
        <v>842.74931039701278</v>
      </c>
      <c r="E391" s="338">
        <f ca="1">IF($E$18="SAC",Sim_SAC!E380,Sim_PRICE!E380)</f>
        <v>17.192085932087419</v>
      </c>
      <c r="F391" s="338">
        <f ca="1">IF($E$18="SAC",Sim_SAC!G380,Sim_PRICE!F380)</f>
        <v>1685.4986207923139</v>
      </c>
      <c r="G391" s="338">
        <f ca="1">IF($E$18="SAC",Sim_SAC!H380,Sim_PRICE!G380)</f>
        <v>0.35395471036638593</v>
      </c>
      <c r="H391" s="338">
        <f>IF($E$18="SAC",Sim_SAC!I380,Sim_PRICE!H380)</f>
        <v>34.369999999999997</v>
      </c>
      <c r="I391" s="338">
        <f>IF($E$18="SAC",Sim_SAC!J380,Sim_PRICE!I380)</f>
        <v>25</v>
      </c>
      <c r="J391" s="338">
        <f ca="1">IF($E$18="SAC",Sim_SAC!K380,Sim_PRICE!J380)</f>
        <v>919.66535103946649</v>
      </c>
      <c r="M391" s="335">
        <f t="shared" ca="1" si="19"/>
        <v>919.66535103946649</v>
      </c>
      <c r="N391" s="336">
        <f t="shared" ca="1" si="20"/>
        <v>1.9940211993804366</v>
      </c>
    </row>
    <row r="392" spans="2:14" ht="22.2" customHeight="1" thickTop="1" thickBot="1">
      <c r="B392" s="332">
        <f>Sim_SAC!C381</f>
        <v>55685</v>
      </c>
      <c r="C392" s="333">
        <f t="shared" ca="1" si="18"/>
        <v>854.21070101840053</v>
      </c>
      <c r="D392" s="333">
        <f ca="1">IF($E$18="SAC",Sim_SAC!D381,Sim_PRICE!D381)</f>
        <v>842.74931039701278</v>
      </c>
      <c r="E392" s="333">
        <f ca="1">IF($E$18="SAC",Sim_SAC!E381,Sim_PRICE!E381)</f>
        <v>11.461390621387734</v>
      </c>
      <c r="F392" s="333">
        <f ca="1">IF($E$18="SAC",Sim_SAC!G381,Sim_PRICE!F381)</f>
        <v>842.74931039530111</v>
      </c>
      <c r="G392" s="333">
        <f ca="1">IF($E$18="SAC",Sim_SAC!H381,Sim_PRICE!G381)</f>
        <v>0.17697735518301325</v>
      </c>
      <c r="H392" s="333">
        <f>IF($E$18="SAC",Sim_SAC!I381,Sim_PRICE!H381)</f>
        <v>34.369999999999997</v>
      </c>
      <c r="I392" s="333">
        <f>IF($E$18="SAC",Sim_SAC!J381,Sim_PRICE!I381)</f>
        <v>25</v>
      </c>
      <c r="J392" s="333">
        <f ca="1">IF($E$18="SAC",Sim_SAC!K381,Sim_PRICE!J381)</f>
        <v>913.75767837358353</v>
      </c>
      <c r="M392" s="335">
        <f t="shared" ca="1" si="19"/>
        <v>913.75767837358353</v>
      </c>
      <c r="N392" s="336">
        <f t="shared" ca="1" si="20"/>
        <v>1.967812644705585</v>
      </c>
    </row>
    <row r="393" spans="2:14" ht="22.2" customHeight="1" thickTop="1" thickBot="1">
      <c r="B393" s="337">
        <f>Sim_SAC!C382</f>
        <v>55715</v>
      </c>
      <c r="C393" s="338">
        <f ca="1">D393+E393</f>
        <v>848.4800057077008</v>
      </c>
      <c r="D393" s="338">
        <f ca="1">IF($E$18="SAC",Sim_SAC!D382,Sim_PRICE!D382)</f>
        <v>842.74931039701278</v>
      </c>
      <c r="E393" s="338">
        <f ca="1">IF($E$18="SAC",Sim_SAC!E382,Sim_PRICE!E382)</f>
        <v>5.7306953106880476</v>
      </c>
      <c r="F393" s="338">
        <f ca="1">IF($E$18="SAC",Sim_SAC!G382,Sim_PRICE!F382)</f>
        <v>-1.7116690287366509E-9</v>
      </c>
      <c r="G393" s="338">
        <f ca="1">IF($E$18="SAC",Sim_SAC!H382,Sim_PRICE!G382)</f>
        <v>-3.5945049603469671E-13</v>
      </c>
      <c r="H393" s="338">
        <f>IF($E$18="SAC",Sim_SAC!I382,Sim_PRICE!H382)</f>
        <v>34.369999999999997</v>
      </c>
      <c r="I393" s="338">
        <f>IF($E$18="SAC",Sim_SAC!J382,Sim_PRICE!I382)</f>
        <v>25</v>
      </c>
      <c r="J393" s="338">
        <f ca="1">IF($E$18="SAC",Sim_SAC!K382,Sim_PRICE!J382)</f>
        <v>907.85000570770046</v>
      </c>
      <c r="M393" s="335">
        <f t="shared" ca="1" si="19"/>
        <v>907.85000570770046</v>
      </c>
      <c r="N393" s="336">
        <f t="shared" ca="1" si="20"/>
        <v>1.9424063813594141</v>
      </c>
    </row>
    <row r="394" spans="2:14" ht="18" customHeight="1" thickTop="1">
      <c r="C394" s="340"/>
    </row>
    <row r="395" spans="2:14" ht="22.2" customHeight="1">
      <c r="B395" s="703" t="s">
        <v>580</v>
      </c>
      <c r="C395" s="704"/>
      <c r="D395" s="704"/>
      <c r="E395" s="704"/>
      <c r="F395" s="704"/>
      <c r="G395" s="704"/>
      <c r="H395" s="704"/>
      <c r="I395" s="704"/>
      <c r="J395" s="705"/>
      <c r="K395" s="370"/>
    </row>
    <row r="396" spans="2:14" ht="23.55" customHeight="1">
      <c r="B396" s="706"/>
      <c r="C396" s="707"/>
      <c r="D396" s="707"/>
      <c r="E396" s="707"/>
      <c r="F396" s="707"/>
      <c r="G396" s="707"/>
      <c r="H396" s="707"/>
      <c r="I396" s="707"/>
      <c r="J396" s="708"/>
      <c r="K396" s="370"/>
    </row>
    <row r="398" spans="2:14" ht="22.2" customHeight="1" thickBot="1">
      <c r="B398" s="341"/>
      <c r="C398" s="341"/>
      <c r="D398" s="341"/>
      <c r="E398" s="341"/>
      <c r="G398" s="341"/>
      <c r="H398" s="341"/>
      <c r="I398" s="341"/>
      <c r="J398" s="341"/>
    </row>
    <row r="399" spans="2:14" ht="22.2" customHeight="1" thickTop="1">
      <c r="B399" s="316" t="s">
        <v>411</v>
      </c>
      <c r="G399" s="316" t="s">
        <v>412</v>
      </c>
    </row>
  </sheetData>
  <mergeCells count="4">
    <mergeCell ref="B1:C2"/>
    <mergeCell ref="G1:J1"/>
    <mergeCell ref="G2:J2"/>
    <mergeCell ref="B395:J396"/>
  </mergeCells>
  <dataValidations count="1">
    <dataValidation type="list" errorStyle="warning" allowBlank="1" showInputMessage="1" showErrorMessage="1" errorTitle="Erro!" error="Escolher uma das opções da lista!" sqref="E18" xr:uid="{00000000-0002-0000-0200-000000000000}">
      <formula1>"Tabela Price, SAC"</formula1>
    </dataValidation>
  </dataValidations>
  <pageMargins left="0.70866141732283472" right="0.70866141732283472" top="0.74803149606299213" bottom="0.74803149606299213" header="0.31496062992125984" footer="0.31496062992125984"/>
  <pageSetup paperSize="9" scale="60" orientation="portrait" horizontalDpi="200" verticalDpi="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R101"/>
  <sheetViews>
    <sheetView showGridLines="0" zoomScale="90" zoomScaleNormal="90" workbookViewId="0">
      <selection activeCell="C19" sqref="C19"/>
    </sheetView>
  </sheetViews>
  <sheetFormatPr defaultColWidth="8.77734375" defaultRowHeight="15" customHeight="1"/>
  <cols>
    <col min="1" max="1" width="11.44140625" style="122" bestFit="1" customWidth="1"/>
    <col min="2" max="2" width="30.44140625" style="122" bestFit="1" customWidth="1"/>
    <col min="3" max="3" width="29.77734375" style="122" customWidth="1"/>
    <col min="4" max="4" width="3.77734375" style="125" customWidth="1"/>
    <col min="5" max="5" width="26" style="125" customWidth="1"/>
    <col min="6" max="6" width="20" style="125" customWidth="1"/>
    <col min="7" max="7" width="3.77734375" style="125" customWidth="1"/>
    <col min="8" max="8" width="31.77734375" style="122" customWidth="1"/>
    <col min="9" max="9" width="19.21875" style="122" customWidth="1"/>
    <col min="10" max="10" width="15.21875" style="122" customWidth="1"/>
    <col min="11" max="11" width="10.77734375" style="122" bestFit="1" customWidth="1"/>
    <col min="12" max="12" width="12.21875" style="122" bestFit="1" customWidth="1"/>
    <col min="13" max="13" width="18.77734375" style="122" bestFit="1" customWidth="1"/>
    <col min="14" max="14" width="15.44140625" style="122" bestFit="1" customWidth="1"/>
    <col min="15" max="15" width="13.44140625" style="122" bestFit="1" customWidth="1"/>
    <col min="16" max="16" width="14.77734375" style="122" bestFit="1" customWidth="1"/>
    <col min="17" max="17" width="10.77734375" style="122" bestFit="1" customWidth="1"/>
    <col min="18" max="19" width="27.44140625" style="122" bestFit="1" customWidth="1"/>
    <col min="20" max="48" width="10.77734375" style="122" bestFit="1" customWidth="1"/>
    <col min="49" max="103" width="8.77734375" style="122"/>
    <col min="104" max="104" width="12.44140625" style="122" bestFit="1" customWidth="1"/>
    <col min="105" max="199" width="8.77734375" style="122"/>
    <col min="200" max="200" width="16.77734375" style="122" bestFit="1" customWidth="1"/>
    <col min="201" max="16384" width="8.77734375" style="122"/>
  </cols>
  <sheetData>
    <row r="1" spans="1:15" ht="15" customHeight="1">
      <c r="E1" s="374"/>
    </row>
    <row r="2" spans="1:15" ht="15" customHeight="1">
      <c r="B2" s="144" t="s">
        <v>7</v>
      </c>
      <c r="C2" s="145">
        <f ca="1">TODAY()</f>
        <v>44736</v>
      </c>
      <c r="D2" s="123"/>
      <c r="E2" s="709" t="s">
        <v>548</v>
      </c>
      <c r="F2" s="709"/>
      <c r="G2" s="123"/>
    </row>
    <row r="3" spans="1:15" ht="15" customHeight="1">
      <c r="A3" s="124"/>
      <c r="B3" s="124"/>
      <c r="C3" s="124"/>
    </row>
    <row r="4" spans="1:15" ht="15" customHeight="1">
      <c r="A4" s="124"/>
      <c r="B4" s="126" t="s">
        <v>246</v>
      </c>
      <c r="C4" s="127"/>
      <c r="E4" s="126" t="s">
        <v>257</v>
      </c>
      <c r="F4" s="127"/>
      <c r="H4" s="126" t="s">
        <v>257</v>
      </c>
      <c r="I4" s="127"/>
      <c r="J4" s="127"/>
    </row>
    <row r="5" spans="1:15" ht="15" customHeight="1">
      <c r="A5" s="124"/>
      <c r="B5" s="124"/>
      <c r="C5" s="124"/>
    </row>
    <row r="6" spans="1:15" ht="15" customHeight="1">
      <c r="A6" s="124"/>
      <c r="B6" s="43" t="s">
        <v>70</v>
      </c>
      <c r="C6" s="219" t="s">
        <v>10</v>
      </c>
      <c r="D6" s="96"/>
      <c r="E6" s="44" t="s">
        <v>142</v>
      </c>
      <c r="F6" s="118">
        <f ca="1">SUM(F7:F10)</f>
        <v>299726</v>
      </c>
      <c r="G6" s="96"/>
      <c r="H6" s="142" t="s">
        <v>245</v>
      </c>
      <c r="I6" s="218">
        <f>SUM(I23,I33,(I43*0.33),I53,I63)</f>
        <v>102844.76999999999</v>
      </c>
      <c r="J6" s="122" t="str">
        <f>IF(((Resumo!J23+Resumo!J33+Resumo!J43+Resumo!J53+Resumo!J63+Resumo!K23+Resumo!K33+Resumo!K43+Resumo!K53+Resumo!K63)/C12)&lt;15%,"","Fora da Politica")</f>
        <v/>
      </c>
      <c r="O6" s="122" t="s">
        <v>395</v>
      </c>
    </row>
    <row r="7" spans="1:15" ht="15" customHeight="1">
      <c r="A7" s="124"/>
      <c r="B7" s="43" t="s">
        <v>394</v>
      </c>
      <c r="C7" s="219" t="s">
        <v>396</v>
      </c>
      <c r="D7" s="96"/>
      <c r="E7" s="44" t="s">
        <v>143</v>
      </c>
      <c r="F7" s="118">
        <f ca="1">MIN(C11,C49,C48)</f>
        <v>270000</v>
      </c>
      <c r="G7" s="96"/>
      <c r="H7" s="142" t="s">
        <v>244</v>
      </c>
      <c r="I7" s="218">
        <f ca="1">C46</f>
        <v>726186.79759337043</v>
      </c>
      <c r="O7" s="122" t="s">
        <v>396</v>
      </c>
    </row>
    <row r="8" spans="1:15" ht="15" customHeight="1">
      <c r="A8" s="124"/>
      <c r="B8" s="43" t="s">
        <v>4</v>
      </c>
      <c r="C8" s="219">
        <v>360</v>
      </c>
      <c r="D8" s="97"/>
      <c r="E8" s="44" t="s">
        <v>771</v>
      </c>
      <c r="F8" s="118">
        <f ca="1">MAX(F7*3.5%,3000)</f>
        <v>9450</v>
      </c>
      <c r="G8" s="97"/>
      <c r="H8" s="142" t="s">
        <v>267</v>
      </c>
      <c r="I8" s="218">
        <f ca="1">I7-I6</f>
        <v>623342.02759337041</v>
      </c>
      <c r="O8" s="128"/>
    </row>
    <row r="9" spans="1:15" ht="15" customHeight="1">
      <c r="A9" s="124"/>
      <c r="B9" s="43" t="s">
        <v>5</v>
      </c>
      <c r="C9" s="201" t="str">
        <f>Sim_SAC!D17</f>
        <v>Nenhum</v>
      </c>
      <c r="D9" s="99"/>
      <c r="E9" s="44" t="s">
        <v>14</v>
      </c>
      <c r="F9" s="118">
        <f>IF(C15="PJ",IF(C6="SAC",Sim_SAC!T18,Sim_PRICE!S18),0)</f>
        <v>0</v>
      </c>
      <c r="G9" s="99"/>
      <c r="H9" s="142" t="s">
        <v>398</v>
      </c>
      <c r="I9" s="218">
        <f ca="1">F6</f>
        <v>299726</v>
      </c>
    </row>
    <row r="10" spans="1:15" ht="15" customHeight="1">
      <c r="A10" s="124"/>
      <c r="B10" s="43" t="s">
        <v>375</v>
      </c>
      <c r="C10" s="194">
        <v>1</v>
      </c>
      <c r="D10" s="99"/>
      <c r="E10" s="44" t="s">
        <v>15</v>
      </c>
      <c r="F10" s="118">
        <f>IF(C14="Sim",C13*5%,0)+C35*138</f>
        <v>20276</v>
      </c>
      <c r="G10" s="99"/>
      <c r="H10" s="142" t="s">
        <v>399</v>
      </c>
      <c r="I10" s="218">
        <f ca="1">I6+I9</f>
        <v>402570.77</v>
      </c>
      <c r="J10" s="143"/>
    </row>
    <row r="11" spans="1:15" ht="15" customHeight="1">
      <c r="B11" s="43" t="s">
        <v>393</v>
      </c>
      <c r="C11" s="249">
        <v>270000</v>
      </c>
      <c r="D11" s="99"/>
      <c r="E11" s="44" t="s">
        <v>16</v>
      </c>
      <c r="F11" s="118">
        <v>25</v>
      </c>
      <c r="G11" s="99"/>
      <c r="H11" s="142" t="s">
        <v>268</v>
      </c>
      <c r="I11" s="212" t="str">
        <f ca="1">IF(I7&lt;I6,"Endividado","N/A")</f>
        <v>N/A</v>
      </c>
      <c r="J11" s="143" t="s">
        <v>269</v>
      </c>
    </row>
    <row r="12" spans="1:15" ht="15" customHeight="1">
      <c r="B12" s="43" t="s">
        <v>281</v>
      </c>
      <c r="C12" s="45">
        <v>491000</v>
      </c>
      <c r="D12" s="99"/>
      <c r="E12" s="44" t="s">
        <v>17</v>
      </c>
      <c r="F12" s="133">
        <v>2.1000000000000001E-4</v>
      </c>
      <c r="G12" s="99"/>
      <c r="H12" s="142" t="s">
        <v>430</v>
      </c>
      <c r="I12" s="218">
        <f ca="1">I8-I9</f>
        <v>323616.02759337041</v>
      </c>
      <c r="J12" s="143" t="s">
        <v>400</v>
      </c>
    </row>
    <row r="13" spans="1:15" ht="15" customHeight="1">
      <c r="B13" s="43" t="s">
        <v>408</v>
      </c>
      <c r="C13" s="149">
        <v>400000</v>
      </c>
      <c r="D13" s="99"/>
      <c r="E13" s="44" t="s">
        <v>18</v>
      </c>
      <c r="F13" s="134">
        <v>6.9999999999999994E-5</v>
      </c>
      <c r="G13" s="99"/>
    </row>
    <row r="14" spans="1:15" ht="15" customHeight="1">
      <c r="B14" s="43" t="s">
        <v>403</v>
      </c>
      <c r="C14" s="149" t="s">
        <v>26</v>
      </c>
      <c r="D14" s="99"/>
      <c r="E14" s="44" t="s">
        <v>4</v>
      </c>
      <c r="F14" s="117">
        <f ca="1">IF(MIN(C8,(80-C40)*12)&gt;=60,MIN(C8,(80-C40)*12),"ERRO")</f>
        <v>360</v>
      </c>
      <c r="G14" s="99"/>
      <c r="H14" s="122">
        <v>915</v>
      </c>
      <c r="I14" s="235"/>
      <c r="J14" s="235"/>
      <c r="K14" s="235"/>
      <c r="L14" s="235"/>
      <c r="M14" s="235"/>
      <c r="N14" s="235"/>
      <c r="O14" s="235"/>
    </row>
    <row r="15" spans="1:15" ht="15" customHeight="1" thickBot="1">
      <c r="B15" s="43" t="s">
        <v>404</v>
      </c>
      <c r="C15" s="149" t="s">
        <v>405</v>
      </c>
      <c r="D15" s="99"/>
      <c r="E15" s="121" t="s">
        <v>139</v>
      </c>
      <c r="F15" s="118">
        <f ca="1">IF(C6="SAC",MAX(Sim_SAC!K23:K28),MAX(Sim_PRICE!J23:J28))</f>
        <v>3022.7968200938481</v>
      </c>
      <c r="G15" s="99"/>
      <c r="H15" s="372" t="str">
        <f>C19</f>
        <v>Romilton Cioletti</v>
      </c>
      <c r="I15" s="232" t="s">
        <v>264</v>
      </c>
      <c r="J15" s="233" t="s">
        <v>227</v>
      </c>
      <c r="K15" s="233" t="s">
        <v>418</v>
      </c>
      <c r="L15" s="233" t="s">
        <v>419</v>
      </c>
      <c r="M15" s="233" t="s">
        <v>420</v>
      </c>
      <c r="N15" s="234" t="s">
        <v>192</v>
      </c>
      <c r="O15" s="233" t="s">
        <v>424</v>
      </c>
    </row>
    <row r="16" spans="1:15" ht="15" customHeight="1" thickBot="1">
      <c r="B16" s="253" t="s">
        <v>552</v>
      </c>
      <c r="C16" s="149" t="s">
        <v>29</v>
      </c>
      <c r="D16" s="99"/>
      <c r="E16" s="116" t="s">
        <v>140</v>
      </c>
      <c r="F16" s="118" t="str">
        <f>C42</f>
        <v>IPCA</v>
      </c>
      <c r="G16" s="98"/>
      <c r="H16" s="65" t="s">
        <v>193</v>
      </c>
      <c r="I16" s="112">
        <f t="shared" ref="I16:I21" si="0">SUM(J16:L16)</f>
        <v>39.67</v>
      </c>
      <c r="J16" s="112">
        <v>0</v>
      </c>
      <c r="K16" s="112">
        <v>0</v>
      </c>
      <c r="L16" s="112">
        <v>39.67</v>
      </c>
      <c r="M16" s="112">
        <f t="shared" ref="M16:M21" si="1">IF(N16="Sim",(L16+K16+J16),K16+J16)</f>
        <v>0</v>
      </c>
      <c r="N16" s="66" t="s">
        <v>25</v>
      </c>
      <c r="O16" s="236">
        <v>32076.51</v>
      </c>
    </row>
    <row r="17" spans="2:19" ht="15" customHeight="1" thickBot="1">
      <c r="B17" s="253" t="s">
        <v>46</v>
      </c>
      <c r="C17" s="149" t="s">
        <v>751</v>
      </c>
      <c r="D17" s="99"/>
      <c r="E17" s="116" t="s">
        <v>9</v>
      </c>
      <c r="F17" s="119" t="s">
        <v>10</v>
      </c>
      <c r="G17" s="98"/>
      <c r="H17" s="65" t="s">
        <v>265</v>
      </c>
      <c r="I17" s="112">
        <f t="shared" si="0"/>
        <v>18507</v>
      </c>
      <c r="J17" s="112">
        <v>0</v>
      </c>
      <c r="K17" s="112">
        <v>0</v>
      </c>
      <c r="L17" s="112">
        <f>4696+13811</f>
        <v>18507</v>
      </c>
      <c r="M17" s="112">
        <f t="shared" si="1"/>
        <v>0</v>
      </c>
      <c r="N17" s="66" t="s">
        <v>25</v>
      </c>
    </row>
    <row r="18" spans="2:19" ht="15" customHeight="1" thickBot="1">
      <c r="B18" s="253" t="s">
        <v>39</v>
      </c>
      <c r="C18" s="149" t="s">
        <v>752</v>
      </c>
      <c r="D18" s="99"/>
      <c r="E18" s="44" t="s">
        <v>247</v>
      </c>
      <c r="F18" s="312">
        <f>C44</f>
        <v>6.7999999999999996E-3</v>
      </c>
      <c r="G18" s="98"/>
      <c r="H18" s="65" t="s">
        <v>234</v>
      </c>
      <c r="I18" s="112">
        <f t="shared" si="0"/>
        <v>2351.8599999999997</v>
      </c>
      <c r="J18" s="112">
        <v>0</v>
      </c>
      <c r="K18" s="112">
        <v>0</v>
      </c>
      <c r="L18" s="112">
        <f>2347.45+4.41</f>
        <v>2351.8599999999997</v>
      </c>
      <c r="M18" s="112">
        <f t="shared" si="1"/>
        <v>0</v>
      </c>
      <c r="N18" s="66" t="s">
        <v>25</v>
      </c>
    </row>
    <row r="19" spans="2:19" ht="15" customHeight="1" thickBot="1">
      <c r="B19" s="43" t="s">
        <v>254</v>
      </c>
      <c r="C19" s="251" t="s">
        <v>744</v>
      </c>
      <c r="D19" s="98"/>
      <c r="E19" s="44" t="s">
        <v>141</v>
      </c>
      <c r="F19" s="312">
        <f>(1+F18)^(12)-1</f>
        <v>8.4722085025153548E-2</v>
      </c>
      <c r="H19" s="65" t="s">
        <v>195</v>
      </c>
      <c r="I19" s="112">
        <f t="shared" si="0"/>
        <v>64060.590000000004</v>
      </c>
      <c r="J19" s="112">
        <v>0</v>
      </c>
      <c r="K19" s="112">
        <v>0</v>
      </c>
      <c r="L19" s="112">
        <f>25100.55+29089.01+429+4719.44+4719.44+3.15</f>
        <v>64060.590000000004</v>
      </c>
      <c r="M19" s="112">
        <f t="shared" si="1"/>
        <v>0</v>
      </c>
      <c r="N19" s="66" t="s">
        <v>25</v>
      </c>
      <c r="R19" s="296" t="s">
        <v>562</v>
      </c>
      <c r="S19" s="297" t="s">
        <v>563</v>
      </c>
    </row>
    <row r="20" spans="2:19" ht="15" customHeight="1" thickBot="1">
      <c r="B20" s="43" t="s">
        <v>256</v>
      </c>
      <c r="C20" s="251" t="s">
        <v>747</v>
      </c>
      <c r="D20" s="98"/>
      <c r="E20" s="44" t="s">
        <v>259</v>
      </c>
      <c r="F20" s="312">
        <f ca="1">(1+F21)^(1/12)-1</f>
        <v>8.5173617215938968E-3</v>
      </c>
      <c r="H20" s="65" t="s">
        <v>266</v>
      </c>
      <c r="I20" s="112">
        <f t="shared" si="0"/>
        <v>0</v>
      </c>
      <c r="J20" s="112">
        <v>0</v>
      </c>
      <c r="K20" s="112">
        <v>0</v>
      </c>
      <c r="L20" s="112">
        <v>0</v>
      </c>
      <c r="M20" s="112">
        <f t="shared" si="1"/>
        <v>0</v>
      </c>
      <c r="N20" s="66" t="s">
        <v>25</v>
      </c>
      <c r="R20" s="298" t="s">
        <v>564</v>
      </c>
      <c r="S20" s="299" t="str">
        <f>J6</f>
        <v/>
      </c>
    </row>
    <row r="21" spans="2:19" ht="15" customHeight="1" thickBot="1">
      <c r="B21" s="43" t="s">
        <v>255</v>
      </c>
      <c r="C21" s="251" t="s">
        <v>754</v>
      </c>
      <c r="D21" s="98"/>
      <c r="E21" s="44" t="s">
        <v>260</v>
      </c>
      <c r="F21" s="312">
        <f ca="1">IF(C6="SAC",Sim_SAC!D18,Sim_PRICE!D18)</f>
        <v>0.10713491845514467</v>
      </c>
      <c r="G21" s="100"/>
      <c r="H21" s="65" t="s">
        <v>196</v>
      </c>
      <c r="I21" s="112">
        <f t="shared" si="0"/>
        <v>0</v>
      </c>
      <c r="J21" s="112">
        <v>0</v>
      </c>
      <c r="K21" s="112">
        <v>0</v>
      </c>
      <c r="L21" s="112">
        <v>0</v>
      </c>
      <c r="M21" s="112">
        <f t="shared" si="1"/>
        <v>0</v>
      </c>
      <c r="N21" s="66" t="s">
        <v>25</v>
      </c>
      <c r="R21" s="298" t="s">
        <v>565</v>
      </c>
      <c r="S21" s="300"/>
    </row>
    <row r="22" spans="2:19" ht="15" customHeight="1" thickBot="1">
      <c r="B22" s="43" t="s">
        <v>436</v>
      </c>
      <c r="C22" s="694"/>
      <c r="E22" s="44" t="s">
        <v>15</v>
      </c>
      <c r="F22" s="118">
        <f>LOOKUP(C11,Registros!B:D)</f>
        <v>2295.88</v>
      </c>
      <c r="G22" s="101"/>
      <c r="H22" s="65" t="s">
        <v>194</v>
      </c>
      <c r="I22" s="112">
        <f>SUM(J22:L22)</f>
        <v>0</v>
      </c>
      <c r="J22" s="112">
        <v>0</v>
      </c>
      <c r="K22" s="112">
        <v>0</v>
      </c>
      <c r="L22" s="112">
        <v>0</v>
      </c>
      <c r="M22" s="112">
        <f>IF(N22="Sim",(L22+K22+J22),K22+J22)</f>
        <v>0</v>
      </c>
      <c r="N22" s="66" t="s">
        <v>25</v>
      </c>
      <c r="R22" s="298" t="s">
        <v>566</v>
      </c>
      <c r="S22" s="301" t="str">
        <f ca="1">IF(F25&lt;35.1%,"","Fora da Política")</f>
        <v/>
      </c>
    </row>
    <row r="23" spans="2:19" ht="15" customHeight="1" thickBot="1">
      <c r="B23" s="43" t="s">
        <v>437</v>
      </c>
      <c r="C23" s="251"/>
      <c r="E23" s="122"/>
      <c r="F23" s="122"/>
      <c r="G23" s="101"/>
      <c r="H23" s="139" t="s">
        <v>0</v>
      </c>
      <c r="I23" s="140">
        <f>SUM(I16:I22)</f>
        <v>84959.12</v>
      </c>
      <c r="J23" s="140">
        <f>SUM(J16:J22)</f>
        <v>0</v>
      </c>
      <c r="K23" s="140">
        <f>SUM(K16:K22)</f>
        <v>0</v>
      </c>
      <c r="L23" s="140">
        <f>SUM(L16:L22)</f>
        <v>84959.12</v>
      </c>
      <c r="M23" s="140">
        <f>SUM(M16:M22)</f>
        <v>0</v>
      </c>
      <c r="N23" s="141">
        <f>SUMIFS(I16:I21,N16:N21,AND("Todos","Vencido e Prejuizo"))</f>
        <v>0</v>
      </c>
      <c r="R23" s="298" t="s">
        <v>1</v>
      </c>
      <c r="S23" s="301" t="str">
        <f ca="1">IF(AND(C7="Residencial",F24&lt;=80%),"",IF(AND(C7="Comercial",F24&lt;=70%),"Fora da Política"))</f>
        <v/>
      </c>
    </row>
    <row r="24" spans="2:19" ht="15" customHeight="1" thickBot="1">
      <c r="B24" s="43" t="s">
        <v>251</v>
      </c>
      <c r="C24" s="252">
        <v>28811</v>
      </c>
      <c r="D24" s="100"/>
      <c r="E24" s="44" t="s">
        <v>261</v>
      </c>
      <c r="F24" s="120">
        <f ca="1">F6/C13</f>
        <v>0.74931499999999995</v>
      </c>
      <c r="G24" s="102"/>
      <c r="H24" s="122">
        <v>375</v>
      </c>
      <c r="I24" s="252" t="s">
        <v>745</v>
      </c>
      <c r="R24" s="302" t="s">
        <v>46</v>
      </c>
      <c r="S24" s="303"/>
    </row>
    <row r="25" spans="2:19" ht="15" customHeight="1" thickBot="1">
      <c r="B25" s="43" t="s">
        <v>252</v>
      </c>
      <c r="C25" s="252">
        <v>29726</v>
      </c>
      <c r="D25" s="101"/>
      <c r="E25" s="44" t="s">
        <v>397</v>
      </c>
      <c r="F25" s="120">
        <f ca="1">F15/C41</f>
        <v>0.14761552045385656</v>
      </c>
      <c r="G25" s="103"/>
      <c r="H25" s="373" t="str">
        <f>C20</f>
        <v>Ana Carolina Resende Gomes Cioletti</v>
      </c>
      <c r="I25" s="111" t="s">
        <v>264</v>
      </c>
      <c r="J25" s="224" t="s">
        <v>227</v>
      </c>
      <c r="K25" s="224" t="s">
        <v>418</v>
      </c>
      <c r="L25" s="224" t="s">
        <v>419</v>
      </c>
      <c r="M25" s="224" t="s">
        <v>420</v>
      </c>
      <c r="N25" s="113" t="s">
        <v>192</v>
      </c>
      <c r="O25" s="224" t="s">
        <v>424</v>
      </c>
    </row>
    <row r="26" spans="2:19" ht="15" customHeight="1" thickBot="1">
      <c r="B26" s="43" t="s">
        <v>253</v>
      </c>
      <c r="C26" s="252"/>
      <c r="D26" s="101"/>
      <c r="E26" s="122"/>
      <c r="F26" s="122"/>
      <c r="G26" s="103"/>
      <c r="H26" s="65" t="s">
        <v>568</v>
      </c>
      <c r="I26" s="112">
        <f t="shared" ref="I26:I30" si="2">SUM(J26:L26)</f>
        <v>0</v>
      </c>
      <c r="J26" s="112">
        <v>0</v>
      </c>
      <c r="K26" s="112">
        <v>0</v>
      </c>
      <c r="L26" s="112">
        <v>0</v>
      </c>
      <c r="M26" s="112">
        <f t="shared" ref="M26:M31" si="3">IF(N26="Sim",(L26+K26+J26),K26+J26)</f>
        <v>0</v>
      </c>
      <c r="N26" s="66" t="s">
        <v>25</v>
      </c>
      <c r="O26" s="236">
        <v>135.62</v>
      </c>
    </row>
    <row r="27" spans="2:19" ht="15" customHeight="1" thickBot="1">
      <c r="B27" s="43" t="s">
        <v>438</v>
      </c>
      <c r="C27" s="252"/>
      <c r="D27" s="102"/>
      <c r="E27" s="122"/>
      <c r="F27" s="122"/>
      <c r="H27" s="65" t="s">
        <v>265</v>
      </c>
      <c r="I27" s="112">
        <f t="shared" si="2"/>
        <v>1472.95</v>
      </c>
      <c r="J27" s="112">
        <v>0</v>
      </c>
      <c r="K27" s="112">
        <v>0</v>
      </c>
      <c r="L27" s="112">
        <f>368.71+1104.24</f>
        <v>1472.95</v>
      </c>
      <c r="M27" s="112">
        <v>493.56</v>
      </c>
      <c r="N27" s="66" t="s">
        <v>25</v>
      </c>
    </row>
    <row r="28" spans="2:19" ht="15" customHeight="1" thickBot="1">
      <c r="B28" s="43" t="s">
        <v>439</v>
      </c>
      <c r="C28" s="252"/>
      <c r="D28" s="103"/>
      <c r="E28" s="126" t="s">
        <v>262</v>
      </c>
      <c r="F28" s="211"/>
      <c r="G28" s="97"/>
      <c r="H28" s="65" t="s">
        <v>278</v>
      </c>
      <c r="I28" s="112">
        <f t="shared" si="2"/>
        <v>454.51</v>
      </c>
      <c r="J28" s="112">
        <v>125.91</v>
      </c>
      <c r="K28" s="112">
        <v>0</v>
      </c>
      <c r="L28" s="112">
        <v>328.6</v>
      </c>
      <c r="M28" s="112">
        <v>116.11</v>
      </c>
      <c r="N28" s="66" t="s">
        <v>25</v>
      </c>
    </row>
    <row r="29" spans="2:19" ht="15" customHeight="1" thickBot="1">
      <c r="B29" s="253" t="s">
        <v>440</v>
      </c>
      <c r="C29" s="691" t="s">
        <v>746</v>
      </c>
      <c r="D29" s="103"/>
      <c r="E29" s="214">
        <f>C8</f>
        <v>360</v>
      </c>
      <c r="F29" s="213">
        <f ca="1">F15</f>
        <v>3022.7968200938481</v>
      </c>
      <c r="G29" s="97"/>
      <c r="H29" s="65" t="s">
        <v>195</v>
      </c>
      <c r="I29" s="112">
        <f t="shared" si="2"/>
        <v>9666.44</v>
      </c>
      <c r="J29" s="112">
        <v>6317.09</v>
      </c>
      <c r="K29" s="112">
        <v>0</v>
      </c>
      <c r="L29" s="112">
        <f>1189.44+412.11+1290.41+345.88+111.51</f>
        <v>3349.3500000000004</v>
      </c>
      <c r="M29" s="112">
        <f t="shared" si="3"/>
        <v>6317.09</v>
      </c>
      <c r="N29" s="66" t="s">
        <v>25</v>
      </c>
      <c r="Q29" s="250"/>
    </row>
    <row r="30" spans="2:19" ht="15" customHeight="1" thickBot="1">
      <c r="B30" s="253" t="s">
        <v>441</v>
      </c>
      <c r="C30" s="252" t="s">
        <v>745</v>
      </c>
      <c r="E30" s="150">
        <f ca="1">IF((80-C40)*12&gt;=60,60, "")</f>
        <v>60</v>
      </c>
      <c r="F30" s="215">
        <f t="dataTable" ref="F30:F37" dt2D="0" dtr="0" r1="C8" ca="1"/>
        <v>7307.0629203065409</v>
      </c>
      <c r="G30" s="97"/>
      <c r="H30" s="65" t="s">
        <v>567</v>
      </c>
      <c r="I30" s="112">
        <f t="shared" si="2"/>
        <v>0</v>
      </c>
      <c r="J30" s="112">
        <v>0</v>
      </c>
      <c r="K30" s="112">
        <v>0</v>
      </c>
      <c r="L30" s="112">
        <v>0</v>
      </c>
      <c r="M30" s="112">
        <f t="shared" si="3"/>
        <v>0</v>
      </c>
      <c r="N30" s="66" t="s">
        <v>25</v>
      </c>
    </row>
    <row r="31" spans="2:19" ht="15" customHeight="1" thickBot="1">
      <c r="B31" s="253" t="s">
        <v>442</v>
      </c>
      <c r="C31" s="252" t="s">
        <v>748</v>
      </c>
      <c r="D31" s="97"/>
      <c r="E31" s="3">
        <f ca="1">IF((80-C40)*12&gt;=90,90, "")</f>
        <v>90</v>
      </c>
      <c r="F31" s="215">
        <v>5578.9151338162519</v>
      </c>
      <c r="G31" s="99"/>
      <c r="H31" s="65" t="s">
        <v>196</v>
      </c>
      <c r="I31" s="112">
        <v>0</v>
      </c>
      <c r="J31" s="112">
        <v>0</v>
      </c>
      <c r="K31" s="112">
        <v>0</v>
      </c>
      <c r="L31" s="112">
        <v>0</v>
      </c>
      <c r="M31" s="112">
        <f t="shared" si="3"/>
        <v>0</v>
      </c>
      <c r="N31" s="66" t="s">
        <v>25</v>
      </c>
    </row>
    <row r="32" spans="2:19" ht="15" customHeight="1" thickBot="1">
      <c r="B32" s="253" t="s">
        <v>443</v>
      </c>
      <c r="C32" s="693" t="s">
        <v>753</v>
      </c>
      <c r="D32" s="97"/>
      <c r="E32" s="3">
        <f ca="1">IF((80-C40)*12&gt;=120,120, "")</f>
        <v>120</v>
      </c>
      <c r="F32" s="215">
        <v>4722.1023657244277</v>
      </c>
      <c r="G32" s="104"/>
      <c r="H32" s="65" t="s">
        <v>194</v>
      </c>
      <c r="I32" s="112">
        <f>SUM(J32:L32)</f>
        <v>4275.5</v>
      </c>
      <c r="J32" s="112">
        <v>2882</v>
      </c>
      <c r="K32" s="112">
        <v>0</v>
      </c>
      <c r="L32" s="112">
        <v>1393.5</v>
      </c>
      <c r="M32" s="112">
        <f>IF(N32="Sim",(L32+K32+J32),K32+J32)</f>
        <v>2882</v>
      </c>
      <c r="N32" s="66" t="s">
        <v>25</v>
      </c>
    </row>
    <row r="33" spans="2:17" ht="15" customHeight="1" thickBot="1">
      <c r="B33" s="253" t="s">
        <v>444</v>
      </c>
      <c r="C33" s="252"/>
      <c r="D33" s="97"/>
      <c r="E33" s="3">
        <f ca="1">IF((80-C40)*12&gt;=150,150, "")</f>
        <v>150</v>
      </c>
      <c r="F33" s="215">
        <v>4210.3148733742782</v>
      </c>
      <c r="G33" s="97"/>
      <c r="H33" s="139" t="s">
        <v>0</v>
      </c>
      <c r="I33" s="140">
        <f>SUM(I26:I32)</f>
        <v>15869.400000000001</v>
      </c>
      <c r="J33" s="140">
        <f>SUM(J26:J32)</f>
        <v>9325</v>
      </c>
      <c r="K33" s="140">
        <f>SUM(K26:K32)</f>
        <v>0</v>
      </c>
      <c r="L33" s="140">
        <f>SUM(L26:L32)</f>
        <v>6544.4000000000005</v>
      </c>
      <c r="M33" s="140">
        <f>SUM(M26:M32)</f>
        <v>9808.76</v>
      </c>
      <c r="N33" s="141">
        <f>SUMIFS(I26:I31,N26:N31,AND("Todos","Vencido e Prejuizo"))</f>
        <v>0</v>
      </c>
      <c r="P33" s="138"/>
      <c r="Q33" s="138"/>
    </row>
    <row r="34" spans="2:17" ht="15" customHeight="1" thickBot="1">
      <c r="B34" s="253" t="s">
        <v>445</v>
      </c>
      <c r="C34" s="252"/>
      <c r="D34" s="99"/>
      <c r="E34" s="3">
        <f ca="1">IF((80-C40)*12&gt;=180,180, "")</f>
        <v>180</v>
      </c>
      <c r="F34" s="215">
        <v>3870.076261141498</v>
      </c>
      <c r="G34" s="99"/>
      <c r="I34" s="252" t="s">
        <v>748</v>
      </c>
    </row>
    <row r="35" spans="2:17" ht="15" customHeight="1" thickBot="1">
      <c r="B35" s="43" t="s">
        <v>446</v>
      </c>
      <c r="C35" s="371">
        <v>2</v>
      </c>
      <c r="D35" s="104"/>
      <c r="E35" s="3">
        <f ca="1">IF((80-$C$40)*12&gt;=240,240, "")</f>
        <v>240</v>
      </c>
      <c r="F35" s="215">
        <v>3445.8456902403727</v>
      </c>
      <c r="G35" s="97"/>
      <c r="H35" s="373" t="str">
        <f>C21</f>
        <v>Casa Pleno Imoveis Ltda ME</v>
      </c>
      <c r="I35" s="111" t="s">
        <v>264</v>
      </c>
      <c r="J35" s="224" t="s">
        <v>227</v>
      </c>
      <c r="K35" s="224" t="s">
        <v>418</v>
      </c>
      <c r="L35" s="224" t="s">
        <v>419</v>
      </c>
      <c r="M35" s="224" t="s">
        <v>420</v>
      </c>
      <c r="N35" s="113" t="s">
        <v>192</v>
      </c>
      <c r="O35" s="224" t="s">
        <v>424</v>
      </c>
    </row>
    <row r="36" spans="2:17" ht="15" customHeight="1" thickBot="1">
      <c r="D36" s="97"/>
      <c r="E36" s="3">
        <f ca="1">IF((80-$C$40)*12&gt;=300,300, "")</f>
        <v>300</v>
      </c>
      <c r="F36" s="215">
        <v>3191.874880236021</v>
      </c>
      <c r="G36" s="99"/>
      <c r="H36" s="65" t="s">
        <v>422</v>
      </c>
      <c r="I36" s="112">
        <f t="shared" ref="I36:I41" si="4">SUM(J36:L36)</f>
        <v>352903.54</v>
      </c>
      <c r="J36" s="112">
        <v>0</v>
      </c>
      <c r="K36" s="112">
        <v>0</v>
      </c>
      <c r="L36" s="112">
        <f>20288.91+168425.02+164189.61</f>
        <v>352903.54</v>
      </c>
      <c r="M36" s="112">
        <f t="shared" ref="M36:M41" si="5">IF(N36="Sim",(L36+K36+J36),K36+J36)</f>
        <v>0</v>
      </c>
      <c r="N36" s="66" t="s">
        <v>406</v>
      </c>
      <c r="O36" s="236">
        <v>56146.53</v>
      </c>
    </row>
    <row r="37" spans="2:17" ht="15" customHeight="1" thickBot="1">
      <c r="B37" s="44" t="s">
        <v>248</v>
      </c>
      <c r="C37" s="118">
        <f>C53</f>
        <v>20477.5</v>
      </c>
      <c r="D37" s="99"/>
      <c r="E37" s="3">
        <f ca="1">IF((80-$C$40)*12&gt;=360,360, "")</f>
        <v>360</v>
      </c>
      <c r="F37" s="215">
        <v>3022.7968200938481</v>
      </c>
      <c r="G37" s="105"/>
      <c r="H37" s="65" t="s">
        <v>265</v>
      </c>
      <c r="I37" s="112">
        <f t="shared" si="4"/>
        <v>0</v>
      </c>
      <c r="J37" s="112">
        <v>0</v>
      </c>
      <c r="K37" s="112">
        <v>0</v>
      </c>
      <c r="L37" s="112">
        <v>0</v>
      </c>
      <c r="M37" s="112">
        <f t="shared" si="5"/>
        <v>0</v>
      </c>
      <c r="N37" s="66" t="s">
        <v>25</v>
      </c>
    </row>
    <row r="38" spans="2:17" ht="15" customHeight="1" thickBot="1">
      <c r="B38" s="44" t="s">
        <v>249</v>
      </c>
      <c r="C38" s="118">
        <f>C63</f>
        <v>0</v>
      </c>
      <c r="D38" s="97"/>
      <c r="E38" s="114"/>
      <c r="F38" s="114"/>
      <c r="G38" s="106"/>
      <c r="H38" s="65" t="s">
        <v>234</v>
      </c>
      <c r="I38" s="112">
        <f t="shared" si="4"/>
        <v>19366.060000000001</v>
      </c>
      <c r="J38" s="112">
        <v>0</v>
      </c>
      <c r="K38" s="112">
        <v>0</v>
      </c>
      <c r="L38" s="112">
        <f>4.02+19362.04</f>
        <v>19366.060000000001</v>
      </c>
      <c r="M38" s="112">
        <f t="shared" si="5"/>
        <v>0</v>
      </c>
      <c r="N38" s="66" t="s">
        <v>25</v>
      </c>
    </row>
    <row r="39" spans="2:17" ht="15" customHeight="1" thickBot="1">
      <c r="B39" s="44" t="s">
        <v>250</v>
      </c>
      <c r="C39" s="118">
        <f>C73</f>
        <v>0</v>
      </c>
      <c r="D39" s="99"/>
      <c r="G39" s="97"/>
      <c r="H39" s="65" t="s">
        <v>195</v>
      </c>
      <c r="I39" s="112">
        <f t="shared" si="4"/>
        <v>872.23</v>
      </c>
      <c r="J39" s="112">
        <v>0</v>
      </c>
      <c r="K39" s="112">
        <v>0</v>
      </c>
      <c r="L39" s="112">
        <f>872.23</f>
        <v>872.23</v>
      </c>
      <c r="M39" s="112">
        <f t="shared" si="5"/>
        <v>0</v>
      </c>
      <c r="N39" s="66" t="s">
        <v>25</v>
      </c>
    </row>
    <row r="40" spans="2:17" ht="15" customHeight="1" thickBot="1">
      <c r="B40" s="44" t="s">
        <v>138</v>
      </c>
      <c r="C40" s="117">
        <f ca="1">MAX(IF(C24="",0,ROUNDDOWN((TODAY()-$C$24)/365,0)),IF(C25="",0,ROUNDDOWN((TODAY()-$C$25)/365,0)),IF(C26="",0,ROUNDDOWN((TODAY()-$C$26)/365,0)))</f>
        <v>43</v>
      </c>
      <c r="D40" s="105"/>
      <c r="E40" s="97"/>
      <c r="F40" s="97"/>
      <c r="G40" s="114"/>
      <c r="H40" s="65" t="s">
        <v>266</v>
      </c>
      <c r="I40" s="112">
        <f t="shared" si="4"/>
        <v>0</v>
      </c>
      <c r="J40" s="112">
        <v>0</v>
      </c>
      <c r="K40" s="112">
        <v>0</v>
      </c>
      <c r="L40" s="112">
        <v>0</v>
      </c>
      <c r="M40" s="112">
        <f t="shared" si="5"/>
        <v>0</v>
      </c>
      <c r="N40" s="66" t="s">
        <v>25</v>
      </c>
    </row>
    <row r="41" spans="2:17" ht="15" customHeight="1" thickBot="1">
      <c r="B41" s="44" t="s">
        <v>82</v>
      </c>
      <c r="C41" s="118">
        <f>SUM(C37:C39)</f>
        <v>20477.5</v>
      </c>
      <c r="D41" s="106"/>
      <c r="H41" s="65" t="s">
        <v>423</v>
      </c>
      <c r="I41" s="112">
        <f t="shared" si="4"/>
        <v>0</v>
      </c>
      <c r="J41" s="112">
        <v>0</v>
      </c>
      <c r="K41" s="112">
        <v>0</v>
      </c>
      <c r="L41" s="112">
        <v>0</v>
      </c>
      <c r="M41" s="112">
        <f t="shared" si="5"/>
        <v>0</v>
      </c>
      <c r="N41" s="66" t="s">
        <v>406</v>
      </c>
    </row>
    <row r="42" spans="2:17" ht="15" customHeight="1" thickBot="1">
      <c r="B42" s="116" t="s">
        <v>140</v>
      </c>
      <c r="C42" s="118" t="s">
        <v>426</v>
      </c>
      <c r="D42" s="97"/>
      <c r="E42" s="104"/>
      <c r="F42" s="104"/>
      <c r="G42" s="97"/>
      <c r="H42" s="65" t="s">
        <v>569</v>
      </c>
      <c r="I42" s="112">
        <f>SUM(J42:L42)</f>
        <v>0</v>
      </c>
      <c r="J42" s="112">
        <v>0</v>
      </c>
      <c r="K42" s="112">
        <v>0</v>
      </c>
      <c r="L42" s="112">
        <v>0</v>
      </c>
      <c r="M42" s="112">
        <f>IF(N42="Sim",(L42+K42+J42),K42+J42)</f>
        <v>0</v>
      </c>
      <c r="N42" s="66" t="s">
        <v>25</v>
      </c>
    </row>
    <row r="43" spans="2:17" ht="15" customHeight="1" thickBot="1">
      <c r="B43" s="116" t="s">
        <v>9</v>
      </c>
      <c r="C43" s="119" t="s">
        <v>10</v>
      </c>
      <c r="D43" s="114"/>
      <c r="E43" s="97"/>
      <c r="F43" s="97"/>
      <c r="H43" s="139" t="s">
        <v>0</v>
      </c>
      <c r="I43" s="140">
        <v>0</v>
      </c>
      <c r="J43" s="140">
        <f>SUM(J36:J42)</f>
        <v>0</v>
      </c>
      <c r="K43" s="140">
        <f>SUM(K36:K42)</f>
        <v>0</v>
      </c>
      <c r="L43" s="698">
        <f>SUM(L36:L42)</f>
        <v>373141.82999999996</v>
      </c>
      <c r="M43" s="140">
        <f>SUM(M36:M42)</f>
        <v>0</v>
      </c>
      <c r="N43" s="141">
        <f>SUMIFS(I36:I41,N36:N41,AND("Todos","Vencido e Prejuizo"))</f>
        <v>0</v>
      </c>
    </row>
    <row r="44" spans="2:17" ht="15" customHeight="1" thickBot="1">
      <c r="B44" s="44" t="s">
        <v>247</v>
      </c>
      <c r="C44" s="120">
        <f>Rating!B7</f>
        <v>6.7999999999999996E-3</v>
      </c>
      <c r="E44" s="99"/>
      <c r="F44" s="99"/>
      <c r="G44" s="104"/>
    </row>
    <row r="45" spans="2:17" ht="15" customHeight="1" thickBot="1">
      <c r="B45" s="44" t="s">
        <v>141</v>
      </c>
      <c r="C45" s="120">
        <f>(1+C44)^(12)-1</f>
        <v>8.4722085025153548E-2</v>
      </c>
      <c r="D45" s="97"/>
      <c r="E45" s="97"/>
      <c r="F45" s="97"/>
      <c r="G45" s="97"/>
      <c r="H45" s="373">
        <f>C22</f>
        <v>0</v>
      </c>
      <c r="I45" s="111" t="s">
        <v>264</v>
      </c>
      <c r="J45" s="224" t="s">
        <v>227</v>
      </c>
      <c r="K45" s="224" t="s">
        <v>418</v>
      </c>
      <c r="L45" s="224" t="s">
        <v>419</v>
      </c>
      <c r="M45" s="224" t="s">
        <v>420</v>
      </c>
      <c r="N45" s="113" t="s">
        <v>192</v>
      </c>
      <c r="O45" s="224" t="s">
        <v>424</v>
      </c>
    </row>
    <row r="46" spans="2:17" ht="15" customHeight="1" thickBot="1">
      <c r="B46" s="44" t="s">
        <v>402</v>
      </c>
      <c r="C46" s="118">
        <f ca="1">((C41*0.35-F11-F13*C12)/(1+F14*(C44+F12))*F14)</f>
        <v>726186.79759337043</v>
      </c>
      <c r="E46" s="99"/>
      <c r="F46" s="99"/>
      <c r="G46" s="99"/>
      <c r="H46" s="65" t="s">
        <v>193</v>
      </c>
      <c r="I46" s="112">
        <f t="shared" ref="I46:I51" si="6">SUM(J46:L46)</f>
        <v>0</v>
      </c>
      <c r="J46" s="112">
        <v>0</v>
      </c>
      <c r="K46" s="112">
        <v>0</v>
      </c>
      <c r="L46" s="112">
        <v>0</v>
      </c>
      <c r="M46" s="112">
        <f t="shared" ref="M46:M51" si="7">IF(N46="Sim",(L46+K46+J46),K46+J46)</f>
        <v>0</v>
      </c>
      <c r="N46" s="66" t="s">
        <v>25</v>
      </c>
      <c r="O46" s="236">
        <v>4983.75</v>
      </c>
    </row>
    <row r="47" spans="2:17" ht="15" customHeight="1" thickBot="1">
      <c r="B47" s="44" t="s">
        <v>401</v>
      </c>
      <c r="C47" s="118">
        <f ca="1">C49+F8+F9+F10</f>
        <v>349726</v>
      </c>
      <c r="D47" s="104"/>
      <c r="E47" s="105"/>
      <c r="F47" s="105"/>
      <c r="G47" s="97"/>
      <c r="H47" s="65" t="s">
        <v>265</v>
      </c>
      <c r="I47" s="112">
        <f t="shared" si="6"/>
        <v>0</v>
      </c>
      <c r="J47" s="112">
        <v>0</v>
      </c>
      <c r="K47" s="112">
        <v>0</v>
      </c>
      <c r="L47" s="112">
        <v>0</v>
      </c>
      <c r="M47" s="112">
        <f t="shared" si="7"/>
        <v>0</v>
      </c>
      <c r="N47" s="66" t="s">
        <v>25</v>
      </c>
    </row>
    <row r="48" spans="2:17" ht="15" customHeight="1" thickBot="1">
      <c r="B48" s="44" t="s">
        <v>11</v>
      </c>
      <c r="C48" s="118">
        <f ca="1">C46</f>
        <v>726186.79759337043</v>
      </c>
      <c r="D48" s="97"/>
      <c r="E48" s="106"/>
      <c r="F48" s="106"/>
      <c r="G48" s="99"/>
      <c r="H48" s="65" t="s">
        <v>278</v>
      </c>
      <c r="I48" s="112">
        <f t="shared" si="6"/>
        <v>0</v>
      </c>
      <c r="J48" s="112">
        <v>0</v>
      </c>
      <c r="K48" s="112">
        <v>0</v>
      </c>
      <c r="L48" s="112">
        <v>0</v>
      </c>
      <c r="M48" s="112">
        <f t="shared" si="7"/>
        <v>0</v>
      </c>
      <c r="N48" s="66" t="s">
        <v>25</v>
      </c>
    </row>
    <row r="49" spans="2:15" ht="15" customHeight="1" thickBot="1">
      <c r="B49" s="44" t="s">
        <v>12</v>
      </c>
      <c r="C49" s="118">
        <f>IF(C7=O7,MIN(C12,C13)*0.8,IF(C7=O6,MIN(C12,C13)*0.7,"ERRO"))</f>
        <v>320000</v>
      </c>
      <c r="D49" s="99"/>
      <c r="E49" s="107"/>
      <c r="F49" s="107"/>
      <c r="G49" s="105"/>
      <c r="H49" s="65" t="s">
        <v>195</v>
      </c>
      <c r="I49" s="112">
        <f t="shared" si="6"/>
        <v>2016.25</v>
      </c>
      <c r="J49" s="112">
        <v>0</v>
      </c>
      <c r="K49" s="112">
        <v>0</v>
      </c>
      <c r="L49" s="112">
        <v>2016.25</v>
      </c>
      <c r="M49" s="112">
        <f t="shared" si="7"/>
        <v>0</v>
      </c>
      <c r="N49" s="66" t="s">
        <v>25</v>
      </c>
    </row>
    <row r="50" spans="2:15" ht="15" customHeight="1" thickBot="1">
      <c r="B50" s="44" t="s">
        <v>258</v>
      </c>
      <c r="C50" s="132">
        <f ca="1">C46/C12</f>
        <v>1.478995514446783</v>
      </c>
      <c r="D50" s="97"/>
      <c r="E50" s="104"/>
      <c r="F50" s="104"/>
      <c r="G50" s="106"/>
      <c r="H50" s="65" t="s">
        <v>266</v>
      </c>
      <c r="I50" s="112">
        <f t="shared" si="6"/>
        <v>0</v>
      </c>
      <c r="J50" s="112">
        <v>0</v>
      </c>
      <c r="K50" s="112">
        <v>0</v>
      </c>
      <c r="L50" s="112">
        <v>0</v>
      </c>
      <c r="M50" s="112">
        <f t="shared" si="7"/>
        <v>0</v>
      </c>
      <c r="N50" s="66" t="s">
        <v>25</v>
      </c>
    </row>
    <row r="51" spans="2:15" ht="15" customHeight="1" thickBot="1">
      <c r="D51" s="99"/>
      <c r="E51" s="96"/>
      <c r="F51" s="96"/>
      <c r="G51" s="107"/>
      <c r="H51" s="65" t="s">
        <v>196</v>
      </c>
      <c r="I51" s="112">
        <f t="shared" si="6"/>
        <v>0</v>
      </c>
      <c r="J51" s="112">
        <v>0</v>
      </c>
      <c r="K51" s="112">
        <v>0</v>
      </c>
      <c r="L51" s="112">
        <v>0</v>
      </c>
      <c r="M51" s="112">
        <f t="shared" si="7"/>
        <v>0</v>
      </c>
      <c r="N51" s="66" t="s">
        <v>25</v>
      </c>
    </row>
    <row r="52" spans="2:15" ht="15" customHeight="1" thickBot="1">
      <c r="D52" s="105"/>
      <c r="E52" s="105"/>
      <c r="F52" s="105"/>
      <c r="G52" s="104"/>
      <c r="H52" s="65" t="s">
        <v>421</v>
      </c>
      <c r="I52" s="112">
        <f>SUM(J52:L52)</f>
        <v>0</v>
      </c>
      <c r="J52" s="112">
        <v>0</v>
      </c>
      <c r="K52" s="112">
        <v>0</v>
      </c>
      <c r="L52" s="112">
        <v>0</v>
      </c>
      <c r="M52" s="112">
        <f>IF(N52="Sim",(L52+K52+J52),K52+J52)</f>
        <v>0</v>
      </c>
      <c r="N52" s="66" t="s">
        <v>25</v>
      </c>
    </row>
    <row r="53" spans="2:15" ht="15" customHeight="1" thickBot="1">
      <c r="B53" s="142" t="s">
        <v>279</v>
      </c>
      <c r="C53" s="118">
        <f>C55+C54</f>
        <v>20477.5</v>
      </c>
      <c r="D53" s="106"/>
      <c r="E53" s="115"/>
      <c r="F53" s="115"/>
      <c r="G53" s="96"/>
      <c r="H53" s="139" t="s">
        <v>0</v>
      </c>
      <c r="I53" s="140">
        <f>SUM(I46:I52)</f>
        <v>2016.25</v>
      </c>
      <c r="J53" s="140">
        <f>SUM(J46:J52)</f>
        <v>0</v>
      </c>
      <c r="K53" s="140">
        <f>SUM(K46:K52)</f>
        <v>0</v>
      </c>
      <c r="L53" s="140">
        <f>SUM(L46:L52)</f>
        <v>2016.25</v>
      </c>
      <c r="M53" s="140">
        <f>SUM(M46:M52)</f>
        <v>0</v>
      </c>
      <c r="N53" s="141">
        <f>SUMIFS(I46:I51,N46:N51,AND("Todos","Vencido e Prejuizo"))</f>
        <v>0</v>
      </c>
    </row>
    <row r="54" spans="2:15" ht="15" customHeight="1" thickBot="1">
      <c r="B54" s="147" t="s">
        <v>270</v>
      </c>
      <c r="C54" s="45">
        <f>RENDA!K16</f>
        <v>10477.5</v>
      </c>
      <c r="D54" s="107"/>
      <c r="E54" s="129"/>
      <c r="F54" s="129"/>
      <c r="G54" s="105"/>
    </row>
    <row r="55" spans="2:15" ht="15" customHeight="1" thickBot="1">
      <c r="B55" s="142" t="s">
        <v>277</v>
      </c>
      <c r="C55" s="118">
        <f>AVERAGE(C56:C61)</f>
        <v>10000</v>
      </c>
      <c r="D55" s="104"/>
      <c r="G55" s="115"/>
      <c r="H55" s="373">
        <f>Resumo!C23</f>
        <v>0</v>
      </c>
      <c r="I55" s="111" t="s">
        <v>264</v>
      </c>
      <c r="J55" s="224" t="s">
        <v>227</v>
      </c>
      <c r="K55" s="224" t="s">
        <v>418</v>
      </c>
      <c r="L55" s="224" t="s">
        <v>419</v>
      </c>
      <c r="M55" s="224" t="s">
        <v>420</v>
      </c>
      <c r="N55" s="113" t="s">
        <v>192</v>
      </c>
      <c r="O55" s="224" t="s">
        <v>424</v>
      </c>
    </row>
    <row r="56" spans="2:15" ht="15" customHeight="1" thickBot="1">
      <c r="B56" s="147" t="s">
        <v>271</v>
      </c>
      <c r="C56" s="45">
        <f>RENDA!D50</f>
        <v>10000</v>
      </c>
      <c r="D56" s="96"/>
      <c r="E56" s="108"/>
      <c r="F56" s="108"/>
      <c r="G56" s="129"/>
      <c r="H56" s="65" t="s">
        <v>193</v>
      </c>
      <c r="I56" s="112">
        <f t="shared" ref="I56:I61" si="8">SUM(J56:L56)</f>
        <v>0</v>
      </c>
      <c r="J56" s="112">
        <v>0</v>
      </c>
      <c r="K56" s="112">
        <v>0</v>
      </c>
      <c r="L56" s="112">
        <v>0</v>
      </c>
      <c r="M56" s="112">
        <f t="shared" ref="M56:M61" si="9">IF(N56="Sim",(L56+K56+J56),K56+J56)</f>
        <v>0</v>
      </c>
      <c r="N56" s="66" t="s">
        <v>25</v>
      </c>
      <c r="O56" s="236">
        <v>0</v>
      </c>
    </row>
    <row r="57" spans="2:15" ht="15" customHeight="1" thickBot="1">
      <c r="B57" s="147" t="s">
        <v>272</v>
      </c>
      <c r="C57" s="45">
        <f>RENDA!E50</f>
        <v>10000</v>
      </c>
      <c r="D57" s="105"/>
      <c r="E57" s="109"/>
      <c r="F57" s="109"/>
      <c r="H57" s="65" t="s">
        <v>265</v>
      </c>
      <c r="I57" s="112">
        <f t="shared" si="8"/>
        <v>0</v>
      </c>
      <c r="J57" s="112">
        <v>0</v>
      </c>
      <c r="K57" s="112">
        <v>0</v>
      </c>
      <c r="L57" s="112">
        <v>0</v>
      </c>
      <c r="M57" s="112">
        <f t="shared" si="9"/>
        <v>0</v>
      </c>
      <c r="N57" s="66" t="s">
        <v>25</v>
      </c>
    </row>
    <row r="58" spans="2:15" ht="15" customHeight="1" thickBot="1">
      <c r="B58" s="147" t="s">
        <v>273</v>
      </c>
      <c r="C58" s="45">
        <f>RENDA!F50</f>
        <v>10000</v>
      </c>
      <c r="D58" s="115"/>
      <c r="E58" s="109"/>
      <c r="F58" s="109"/>
      <c r="H58" s="65" t="s">
        <v>278</v>
      </c>
      <c r="I58" s="112">
        <f t="shared" si="8"/>
        <v>0</v>
      </c>
      <c r="J58" s="112">
        <v>0</v>
      </c>
      <c r="K58" s="112">
        <v>0</v>
      </c>
      <c r="L58" s="112">
        <v>0</v>
      </c>
      <c r="M58" s="112">
        <f t="shared" si="9"/>
        <v>0</v>
      </c>
      <c r="N58" s="66" t="s">
        <v>25</v>
      </c>
    </row>
    <row r="59" spans="2:15" ht="15" customHeight="1" thickBot="1">
      <c r="B59" s="147" t="s">
        <v>274</v>
      </c>
      <c r="C59" s="45">
        <f>RENDA!G50</f>
        <v>10000</v>
      </c>
      <c r="D59" s="129"/>
      <c r="E59" s="109"/>
      <c r="F59" s="109"/>
      <c r="H59" s="65" t="s">
        <v>195</v>
      </c>
      <c r="I59" s="112">
        <f t="shared" si="8"/>
        <v>0</v>
      </c>
      <c r="J59" s="112">
        <v>0</v>
      </c>
      <c r="K59" s="112">
        <v>0</v>
      </c>
      <c r="L59" s="112">
        <v>0</v>
      </c>
      <c r="M59" s="112">
        <f t="shared" si="9"/>
        <v>0</v>
      </c>
      <c r="N59" s="66" t="s">
        <v>25</v>
      </c>
    </row>
    <row r="60" spans="2:15" ht="15" customHeight="1" thickBot="1">
      <c r="B60" s="147" t="s">
        <v>275</v>
      </c>
      <c r="C60" s="45">
        <f>RENDA!H50</f>
        <v>10000</v>
      </c>
      <c r="E60" s="109"/>
      <c r="F60" s="109"/>
      <c r="H60" s="65" t="s">
        <v>266</v>
      </c>
      <c r="I60" s="112">
        <f t="shared" si="8"/>
        <v>0</v>
      </c>
      <c r="J60" s="112">
        <v>0</v>
      </c>
      <c r="K60" s="112">
        <v>0</v>
      </c>
      <c r="L60" s="112">
        <v>0</v>
      </c>
      <c r="M60" s="112">
        <f t="shared" si="9"/>
        <v>0</v>
      </c>
      <c r="N60" s="66" t="s">
        <v>25</v>
      </c>
    </row>
    <row r="61" spans="2:15" ht="15" customHeight="1" thickBot="1">
      <c r="B61" s="147" t="s">
        <v>276</v>
      </c>
      <c r="C61" s="45">
        <f>RENDA!I50</f>
        <v>10000</v>
      </c>
      <c r="E61" s="109"/>
      <c r="F61" s="109"/>
      <c r="H61" s="65" t="s">
        <v>196</v>
      </c>
      <c r="I61" s="112">
        <f t="shared" si="8"/>
        <v>0</v>
      </c>
      <c r="J61" s="112">
        <v>0</v>
      </c>
      <c r="K61" s="112">
        <v>0</v>
      </c>
      <c r="L61" s="112">
        <v>0</v>
      </c>
      <c r="M61" s="112">
        <f t="shared" si="9"/>
        <v>0</v>
      </c>
      <c r="N61" s="66" t="s">
        <v>25</v>
      </c>
    </row>
    <row r="62" spans="2:15" ht="15" customHeight="1" thickBot="1">
      <c r="H62" s="65" t="s">
        <v>421</v>
      </c>
      <c r="I62" s="112">
        <f>SUM(J62:L62)</f>
        <v>0</v>
      </c>
      <c r="J62" s="112">
        <v>0</v>
      </c>
      <c r="K62" s="112">
        <v>0</v>
      </c>
      <c r="L62" s="112">
        <v>0</v>
      </c>
      <c r="M62" s="112">
        <f>IF(N62="Sim",(L62+K62+J62),K62+J62)</f>
        <v>0</v>
      </c>
      <c r="N62" s="66" t="s">
        <v>25</v>
      </c>
    </row>
    <row r="63" spans="2:15" ht="15" customHeight="1" thickBot="1">
      <c r="B63" s="142" t="s">
        <v>249</v>
      </c>
      <c r="C63" s="118">
        <f>C64+C65</f>
        <v>0</v>
      </c>
      <c r="H63" s="139" t="s">
        <v>0</v>
      </c>
      <c r="I63" s="140">
        <f>SUM(I56:I62)</f>
        <v>0</v>
      </c>
      <c r="J63" s="140">
        <f>SUM(J56:J62)</f>
        <v>0</v>
      </c>
      <c r="K63" s="140">
        <f>SUM(K56:K62)</f>
        <v>0</v>
      </c>
      <c r="L63" s="140">
        <f>SUM(L56:L62)</f>
        <v>0</v>
      </c>
      <c r="M63" s="140">
        <f>SUM(M56:M62)</f>
        <v>0</v>
      </c>
      <c r="N63" s="141">
        <f>SUMIFS(I56:I61,N56:N61,AND("Todos","Vencido e Prejuizo"))</f>
        <v>0</v>
      </c>
    </row>
    <row r="64" spans="2:15" ht="15" customHeight="1">
      <c r="B64" s="147" t="s">
        <v>270</v>
      </c>
      <c r="C64" s="45">
        <v>0</v>
      </c>
      <c r="E64" s="108"/>
      <c r="F64" s="108"/>
    </row>
    <row r="65" spans="2:7" ht="15" customHeight="1">
      <c r="B65" s="142" t="s">
        <v>277</v>
      </c>
      <c r="C65" s="118">
        <f>AVERAGE(C66:C71)</f>
        <v>0</v>
      </c>
      <c r="E65" s="109"/>
      <c r="F65" s="109"/>
    </row>
    <row r="66" spans="2:7" ht="15" customHeight="1">
      <c r="B66" s="147" t="s">
        <v>271</v>
      </c>
      <c r="C66" s="45">
        <f>RENDA!O50</f>
        <v>0</v>
      </c>
      <c r="E66" s="109"/>
      <c r="F66" s="109"/>
    </row>
    <row r="67" spans="2:7" ht="15" customHeight="1">
      <c r="B67" s="147" t="s">
        <v>272</v>
      </c>
      <c r="C67" s="45">
        <f>RENDA!P50</f>
        <v>0</v>
      </c>
      <c r="E67" s="109"/>
      <c r="F67" s="109"/>
    </row>
    <row r="68" spans="2:7" ht="15" customHeight="1">
      <c r="B68" s="147" t="s">
        <v>273</v>
      </c>
      <c r="C68" s="45">
        <f>RENDA!Q50</f>
        <v>0</v>
      </c>
      <c r="E68" s="110"/>
      <c r="F68" s="110"/>
    </row>
    <row r="69" spans="2:7" ht="15" customHeight="1">
      <c r="B69" s="147" t="s">
        <v>274</v>
      </c>
      <c r="C69" s="45">
        <f>RENDA!R50</f>
        <v>0</v>
      </c>
    </row>
    <row r="70" spans="2:7" ht="15" customHeight="1">
      <c r="B70" s="147" t="s">
        <v>275</v>
      </c>
      <c r="C70" s="45">
        <f>RENDA!S50</f>
        <v>0</v>
      </c>
      <c r="E70" s="130"/>
      <c r="F70" s="130"/>
    </row>
    <row r="71" spans="2:7" ht="15" customHeight="1">
      <c r="B71" s="147" t="s">
        <v>276</v>
      </c>
      <c r="C71" s="45">
        <f>RENDA!T50</f>
        <v>0</v>
      </c>
      <c r="E71" s="131"/>
      <c r="F71" s="131"/>
    </row>
    <row r="72" spans="2:7" ht="15" customHeight="1">
      <c r="E72" s="131"/>
      <c r="F72" s="131"/>
    </row>
    <row r="73" spans="2:7" ht="15" customHeight="1">
      <c r="B73" s="142" t="s">
        <v>250</v>
      </c>
      <c r="C73" s="118">
        <f>C74+C75</f>
        <v>0</v>
      </c>
      <c r="E73" s="131"/>
      <c r="F73" s="131"/>
    </row>
    <row r="74" spans="2:7" ht="15" customHeight="1">
      <c r="B74" s="147" t="s">
        <v>270</v>
      </c>
      <c r="C74" s="45">
        <v>0</v>
      </c>
      <c r="E74" s="131"/>
      <c r="F74" s="131"/>
    </row>
    <row r="75" spans="2:7" ht="15" customHeight="1">
      <c r="B75" s="142" t="s">
        <v>277</v>
      </c>
      <c r="C75" s="118">
        <f>AVERAGE(C76:C81)</f>
        <v>0</v>
      </c>
    </row>
    <row r="76" spans="2:7" ht="15" customHeight="1">
      <c r="B76" s="147" t="s">
        <v>271</v>
      </c>
      <c r="C76" s="45">
        <f>RENDA!Z50</f>
        <v>0</v>
      </c>
      <c r="G76" s="131"/>
    </row>
    <row r="77" spans="2:7" ht="15" customHeight="1">
      <c r="B77" s="147" t="s">
        <v>272</v>
      </c>
      <c r="C77" s="45">
        <f>RENDA!AA50</f>
        <v>0</v>
      </c>
    </row>
    <row r="78" spans="2:7" ht="15" customHeight="1">
      <c r="B78" s="147" t="s">
        <v>273</v>
      </c>
      <c r="C78" s="45">
        <f>RENDA!AB50</f>
        <v>0</v>
      </c>
    </row>
    <row r="79" spans="2:7" ht="15" customHeight="1">
      <c r="B79" s="147" t="s">
        <v>274</v>
      </c>
      <c r="C79" s="45">
        <f>RENDA!AC50</f>
        <v>0</v>
      </c>
      <c r="D79" s="131"/>
    </row>
    <row r="80" spans="2:7" ht="15" customHeight="1">
      <c r="B80" s="147" t="s">
        <v>275</v>
      </c>
      <c r="C80" s="45">
        <f>RENDA!AD50</f>
        <v>0</v>
      </c>
    </row>
    <row r="81" spans="2:3" ht="15" customHeight="1">
      <c r="B81" s="147" t="s">
        <v>276</v>
      </c>
      <c r="C81" s="45">
        <f>RENDA!AE50</f>
        <v>0</v>
      </c>
    </row>
    <row r="99" spans="1:200" ht="15" customHeight="1">
      <c r="A99" s="122">
        <v>1</v>
      </c>
      <c r="B99" s="122">
        <v>2</v>
      </c>
      <c r="C99" s="122">
        <v>3</v>
      </c>
      <c r="D99" s="122">
        <v>4</v>
      </c>
      <c r="E99" s="122">
        <v>5</v>
      </c>
      <c r="F99" s="122">
        <v>6</v>
      </c>
      <c r="G99" s="122">
        <v>7</v>
      </c>
      <c r="H99" s="122">
        <v>8</v>
      </c>
      <c r="I99" s="122">
        <v>9</v>
      </c>
      <c r="J99" s="122">
        <v>10</v>
      </c>
      <c r="K99" s="122">
        <v>11</v>
      </c>
      <c r="L99" s="122">
        <v>12</v>
      </c>
      <c r="M99" s="122">
        <v>13</v>
      </c>
      <c r="N99" s="122">
        <v>14</v>
      </c>
      <c r="O99" s="122">
        <v>15</v>
      </c>
      <c r="P99" s="122">
        <v>16</v>
      </c>
      <c r="Q99" s="122">
        <v>17</v>
      </c>
      <c r="R99" s="122">
        <v>18</v>
      </c>
      <c r="S99" s="122">
        <v>19</v>
      </c>
      <c r="T99" s="122">
        <v>20</v>
      </c>
      <c r="U99" s="122">
        <v>21</v>
      </c>
      <c r="V99" s="122">
        <v>22</v>
      </c>
      <c r="W99" s="122">
        <v>23</v>
      </c>
      <c r="X99" s="122">
        <v>24</v>
      </c>
      <c r="Y99" s="122">
        <v>25</v>
      </c>
      <c r="Z99" s="122">
        <v>26</v>
      </c>
      <c r="AA99" s="122">
        <v>27</v>
      </c>
      <c r="AB99" s="122">
        <v>28</v>
      </c>
      <c r="AC99" s="122">
        <v>29</v>
      </c>
      <c r="AD99" s="122">
        <v>30</v>
      </c>
      <c r="AE99" s="122">
        <v>31</v>
      </c>
      <c r="AF99" s="122">
        <v>32</v>
      </c>
      <c r="AG99" s="122">
        <v>33</v>
      </c>
      <c r="AH99" s="122">
        <v>34</v>
      </c>
      <c r="AI99" s="122">
        <v>35</v>
      </c>
      <c r="AJ99" s="122">
        <v>36</v>
      </c>
      <c r="AK99" s="122">
        <v>37</v>
      </c>
      <c r="AL99" s="122">
        <v>38</v>
      </c>
      <c r="AM99" s="122">
        <v>39</v>
      </c>
      <c r="AN99" s="122">
        <v>40</v>
      </c>
      <c r="AO99" s="122">
        <v>41</v>
      </c>
      <c r="AP99" s="122">
        <v>42</v>
      </c>
      <c r="AQ99" s="122">
        <v>43</v>
      </c>
      <c r="AR99" s="122">
        <v>44</v>
      </c>
      <c r="AS99" s="122">
        <v>45</v>
      </c>
      <c r="AT99" s="122">
        <v>46</v>
      </c>
      <c r="AU99" s="122">
        <v>47</v>
      </c>
      <c r="AV99" s="122">
        <v>48</v>
      </c>
      <c r="AW99" s="122">
        <v>49</v>
      </c>
      <c r="AX99" s="122">
        <v>50</v>
      </c>
      <c r="AY99" s="122">
        <v>51</v>
      </c>
      <c r="AZ99" s="122">
        <v>52</v>
      </c>
      <c r="BA99" s="122">
        <v>53</v>
      </c>
      <c r="BB99" s="122">
        <v>54</v>
      </c>
      <c r="BC99" s="122">
        <v>55</v>
      </c>
      <c r="BD99" s="122">
        <v>56</v>
      </c>
      <c r="BE99" s="122">
        <v>57</v>
      </c>
      <c r="BF99" s="122">
        <v>58</v>
      </c>
      <c r="BG99" s="122">
        <v>59</v>
      </c>
      <c r="BH99" s="122">
        <v>60</v>
      </c>
      <c r="BI99" s="122">
        <v>61</v>
      </c>
      <c r="BJ99" s="122">
        <v>62</v>
      </c>
      <c r="BK99" s="122">
        <v>63</v>
      </c>
      <c r="BL99" s="122">
        <v>64</v>
      </c>
      <c r="BM99" s="122">
        <v>65</v>
      </c>
      <c r="BN99" s="122">
        <v>66</v>
      </c>
      <c r="BO99" s="122">
        <v>67</v>
      </c>
      <c r="BP99" s="122">
        <v>68</v>
      </c>
      <c r="BQ99" s="122">
        <v>69</v>
      </c>
      <c r="BR99" s="122">
        <v>70</v>
      </c>
      <c r="BS99" s="122">
        <v>71</v>
      </c>
      <c r="BT99" s="122">
        <v>72</v>
      </c>
      <c r="BU99" s="122">
        <v>73</v>
      </c>
      <c r="BV99" s="122">
        <v>74</v>
      </c>
      <c r="BW99" s="122">
        <v>75</v>
      </c>
      <c r="BX99" s="122">
        <v>76</v>
      </c>
      <c r="BY99" s="122">
        <v>77</v>
      </c>
      <c r="BZ99" s="122">
        <v>78</v>
      </c>
      <c r="CA99" s="122">
        <v>79</v>
      </c>
      <c r="CB99" s="122">
        <v>80</v>
      </c>
      <c r="CC99" s="122">
        <v>81</v>
      </c>
      <c r="CD99" s="122">
        <v>82</v>
      </c>
      <c r="CE99" s="122">
        <v>83</v>
      </c>
      <c r="CF99" s="122">
        <v>84</v>
      </c>
      <c r="CG99" s="122">
        <v>85</v>
      </c>
      <c r="CH99" s="122">
        <v>86</v>
      </c>
      <c r="CI99" s="122">
        <v>87</v>
      </c>
      <c r="CJ99" s="122">
        <v>88</v>
      </c>
      <c r="CK99" s="122">
        <v>89</v>
      </c>
      <c r="CL99" s="122">
        <v>90</v>
      </c>
      <c r="CM99" s="122">
        <v>91</v>
      </c>
      <c r="CN99" s="122">
        <v>92</v>
      </c>
      <c r="CO99" s="122">
        <v>93</v>
      </c>
      <c r="CP99" s="122">
        <v>94</v>
      </c>
      <c r="CQ99" s="122">
        <v>95</v>
      </c>
      <c r="CR99" s="122">
        <v>96</v>
      </c>
      <c r="CS99" s="122">
        <v>97</v>
      </c>
      <c r="CT99" s="122">
        <v>98</v>
      </c>
      <c r="CU99" s="122">
        <v>99</v>
      </c>
      <c r="CV99" s="122">
        <v>100</v>
      </c>
      <c r="CW99" s="122">
        <v>101</v>
      </c>
      <c r="CX99" s="122">
        <v>102</v>
      </c>
      <c r="CY99" s="122">
        <v>103</v>
      </c>
      <c r="CZ99" s="122">
        <v>104</v>
      </c>
      <c r="DA99" s="122">
        <v>105</v>
      </c>
      <c r="DB99" s="122">
        <v>106</v>
      </c>
      <c r="DC99" s="122">
        <v>107</v>
      </c>
      <c r="DD99" s="122">
        <v>108</v>
      </c>
      <c r="DE99" s="122">
        <v>109</v>
      </c>
      <c r="DF99" s="122">
        <v>110</v>
      </c>
      <c r="DG99" s="122">
        <v>111</v>
      </c>
      <c r="DH99" s="122">
        <v>112</v>
      </c>
      <c r="DI99" s="122">
        <v>113</v>
      </c>
      <c r="DJ99" s="122">
        <v>114</v>
      </c>
      <c r="DK99" s="122">
        <v>115</v>
      </c>
      <c r="DL99" s="122">
        <v>116</v>
      </c>
      <c r="DM99" s="122">
        <v>117</v>
      </c>
      <c r="DN99" s="122">
        <v>118</v>
      </c>
      <c r="DO99" s="122">
        <v>119</v>
      </c>
      <c r="DP99" s="122">
        <v>120</v>
      </c>
      <c r="DQ99" s="122">
        <v>121</v>
      </c>
      <c r="DR99" s="122">
        <v>122</v>
      </c>
      <c r="DS99" s="122">
        <v>123</v>
      </c>
      <c r="DT99" s="122">
        <v>124</v>
      </c>
      <c r="DU99" s="122">
        <v>125</v>
      </c>
      <c r="DV99" s="122">
        <v>126</v>
      </c>
      <c r="DW99" s="122">
        <v>127</v>
      </c>
      <c r="DX99" s="122">
        <v>128</v>
      </c>
      <c r="DY99" s="122">
        <v>129</v>
      </c>
      <c r="DZ99" s="122">
        <v>130</v>
      </c>
      <c r="EA99" s="122">
        <v>131</v>
      </c>
      <c r="EB99" s="122">
        <v>132</v>
      </c>
      <c r="EC99" s="122">
        <v>133</v>
      </c>
      <c r="ED99" s="122">
        <v>134</v>
      </c>
      <c r="EE99" s="122">
        <v>135</v>
      </c>
      <c r="EF99" s="122">
        <v>136</v>
      </c>
      <c r="EG99" s="122">
        <v>137</v>
      </c>
      <c r="EH99" s="122">
        <v>138</v>
      </c>
      <c r="EI99" s="122">
        <v>139</v>
      </c>
      <c r="EJ99" s="122">
        <v>140</v>
      </c>
      <c r="EK99" s="122">
        <v>141</v>
      </c>
      <c r="EL99" s="122">
        <v>142</v>
      </c>
      <c r="EM99" s="122">
        <v>143</v>
      </c>
      <c r="EN99" s="122">
        <v>144</v>
      </c>
      <c r="EO99" s="122">
        <v>145</v>
      </c>
      <c r="EP99" s="122">
        <v>146</v>
      </c>
      <c r="EQ99" s="122">
        <v>147</v>
      </c>
      <c r="ER99" s="122">
        <v>148</v>
      </c>
      <c r="ES99" s="122">
        <v>149</v>
      </c>
      <c r="ET99" s="122">
        <v>150</v>
      </c>
      <c r="EU99" s="122">
        <v>151</v>
      </c>
      <c r="EV99" s="122">
        <v>152</v>
      </c>
      <c r="EW99" s="122">
        <v>153</v>
      </c>
      <c r="EX99" s="122">
        <v>154</v>
      </c>
      <c r="EY99" s="122">
        <v>155</v>
      </c>
      <c r="EZ99" s="122">
        <v>156</v>
      </c>
      <c r="FA99" s="122">
        <v>157</v>
      </c>
      <c r="FB99" s="122">
        <v>158</v>
      </c>
      <c r="FC99" s="122">
        <v>159</v>
      </c>
      <c r="FD99" s="122">
        <v>160</v>
      </c>
      <c r="FE99" s="122">
        <v>161</v>
      </c>
      <c r="FF99" s="122">
        <v>162</v>
      </c>
      <c r="FG99" s="122">
        <v>163</v>
      </c>
      <c r="FH99" s="122">
        <v>164</v>
      </c>
      <c r="FI99" s="122">
        <v>165</v>
      </c>
      <c r="FJ99" s="122">
        <v>166</v>
      </c>
      <c r="FK99" s="122">
        <v>167</v>
      </c>
      <c r="FL99" s="122">
        <v>168</v>
      </c>
      <c r="FM99" s="122">
        <v>169</v>
      </c>
      <c r="FN99" s="122">
        <v>170</v>
      </c>
      <c r="FO99" s="122">
        <v>171</v>
      </c>
      <c r="FP99" s="122">
        <v>172</v>
      </c>
      <c r="FQ99" s="122">
        <v>173</v>
      </c>
      <c r="FR99" s="122">
        <v>174</v>
      </c>
      <c r="FS99" s="122">
        <v>175</v>
      </c>
      <c r="FT99" s="122">
        <v>176</v>
      </c>
      <c r="FU99" s="122">
        <v>177</v>
      </c>
      <c r="FV99" s="122">
        <v>178</v>
      </c>
      <c r="FW99" s="122">
        <v>179</v>
      </c>
      <c r="FX99" s="122">
        <v>180</v>
      </c>
      <c r="FY99" s="122">
        <v>181</v>
      </c>
      <c r="FZ99" s="122">
        <v>182</v>
      </c>
      <c r="GA99" s="122">
        <v>183</v>
      </c>
      <c r="GB99" s="122">
        <v>184</v>
      </c>
      <c r="GC99" s="122">
        <v>185</v>
      </c>
      <c r="GD99" s="122">
        <v>186</v>
      </c>
      <c r="GE99" s="122">
        <v>187</v>
      </c>
      <c r="GF99" s="122">
        <v>188</v>
      </c>
      <c r="GG99" s="122">
        <v>189</v>
      </c>
      <c r="GH99" s="122">
        <v>190</v>
      </c>
      <c r="GI99" s="122">
        <v>191</v>
      </c>
      <c r="GJ99" s="122">
        <v>192</v>
      </c>
      <c r="GK99" s="122">
        <v>193</v>
      </c>
    </row>
    <row r="100" spans="1:200" ht="15" customHeight="1">
      <c r="A100" s="254" t="s">
        <v>440</v>
      </c>
      <c r="B100" s="254" t="s">
        <v>70</v>
      </c>
      <c r="C100" s="254" t="s">
        <v>4</v>
      </c>
      <c r="D100" s="254" t="s">
        <v>5</v>
      </c>
      <c r="E100" s="254" t="s">
        <v>375</v>
      </c>
      <c r="F100" s="254" t="s">
        <v>447</v>
      </c>
      <c r="G100" s="254" t="s">
        <v>448</v>
      </c>
      <c r="H100" s="254" t="s">
        <v>449</v>
      </c>
      <c r="I100" s="254" t="s">
        <v>545</v>
      </c>
      <c r="J100" s="254" t="s">
        <v>546</v>
      </c>
      <c r="K100" s="254" t="s">
        <v>450</v>
      </c>
      <c r="L100" s="254" t="s">
        <v>254</v>
      </c>
      <c r="M100" s="254" t="s">
        <v>256</v>
      </c>
      <c r="N100" s="254" t="s">
        <v>255</v>
      </c>
      <c r="O100" s="254" t="s">
        <v>436</v>
      </c>
      <c r="P100" s="254" t="s">
        <v>437</v>
      </c>
      <c r="Q100" s="254" t="s">
        <v>251</v>
      </c>
      <c r="R100" s="254" t="s">
        <v>252</v>
      </c>
      <c r="S100" s="254" t="s">
        <v>253</v>
      </c>
      <c r="T100" s="254" t="s">
        <v>438</v>
      </c>
      <c r="U100" s="254" t="s">
        <v>439</v>
      </c>
      <c r="V100" s="254" t="s">
        <v>441</v>
      </c>
      <c r="W100" s="254" t="s">
        <v>442</v>
      </c>
      <c r="X100" s="254" t="s">
        <v>443</v>
      </c>
      <c r="Y100" s="254" t="s">
        <v>444</v>
      </c>
      <c r="Z100" s="254" t="s">
        <v>445</v>
      </c>
      <c r="AA100" s="254" t="s">
        <v>446</v>
      </c>
      <c r="AB100" s="254" t="s">
        <v>248</v>
      </c>
      <c r="AC100" s="254" t="s">
        <v>249</v>
      </c>
      <c r="AD100" s="254" t="s">
        <v>250</v>
      </c>
      <c r="AE100" s="254" t="s">
        <v>138</v>
      </c>
      <c r="AF100" s="254" t="s">
        <v>82</v>
      </c>
      <c r="AG100" s="255" t="s">
        <v>140</v>
      </c>
      <c r="AH100" s="256" t="s">
        <v>248</v>
      </c>
      <c r="AI100" s="257" t="s">
        <v>451</v>
      </c>
      <c r="AJ100" s="256" t="s">
        <v>452</v>
      </c>
      <c r="AK100" s="257" t="s">
        <v>453</v>
      </c>
      <c r="AL100" s="257" t="s">
        <v>454</v>
      </c>
      <c r="AM100" s="257" t="s">
        <v>455</v>
      </c>
      <c r="AN100" s="257" t="s">
        <v>456</v>
      </c>
      <c r="AO100" s="257" t="s">
        <v>457</v>
      </c>
      <c r="AP100" s="257" t="s">
        <v>458</v>
      </c>
      <c r="AQ100" s="256" t="s">
        <v>249</v>
      </c>
      <c r="AR100" s="257" t="s">
        <v>459</v>
      </c>
      <c r="AS100" s="256" t="s">
        <v>460</v>
      </c>
      <c r="AT100" s="257" t="s">
        <v>461</v>
      </c>
      <c r="AU100" s="257" t="s">
        <v>462</v>
      </c>
      <c r="AV100" s="257" t="s">
        <v>463</v>
      </c>
      <c r="AW100" s="257" t="s">
        <v>464</v>
      </c>
      <c r="AX100" s="257" t="s">
        <v>465</v>
      </c>
      <c r="AY100" s="257" t="s">
        <v>466</v>
      </c>
      <c r="AZ100" s="256" t="s">
        <v>249</v>
      </c>
      <c r="BA100" s="257" t="s">
        <v>459</v>
      </c>
      <c r="BB100" s="256" t="s">
        <v>460</v>
      </c>
      <c r="BC100" s="257" t="s">
        <v>461</v>
      </c>
      <c r="BD100" s="257" t="s">
        <v>462</v>
      </c>
      <c r="BE100" s="257" t="s">
        <v>463</v>
      </c>
      <c r="BF100" s="257" t="s">
        <v>464</v>
      </c>
      <c r="BG100" s="257" t="s">
        <v>465</v>
      </c>
      <c r="BH100" s="257" t="s">
        <v>466</v>
      </c>
      <c r="BI100" s="254" t="s">
        <v>142</v>
      </c>
      <c r="BJ100" s="254" t="s">
        <v>143</v>
      </c>
      <c r="BK100" s="254" t="s">
        <v>13</v>
      </c>
      <c r="BL100" s="254" t="s">
        <v>14</v>
      </c>
      <c r="BM100" s="254" t="s">
        <v>15</v>
      </c>
      <c r="BN100" s="254" t="s">
        <v>16</v>
      </c>
      <c r="BO100" s="254" t="s">
        <v>17</v>
      </c>
      <c r="BP100" s="254" t="s">
        <v>18</v>
      </c>
      <c r="BQ100" s="254" t="s">
        <v>4</v>
      </c>
      <c r="BR100" s="254" t="s">
        <v>139</v>
      </c>
      <c r="BS100" s="254" t="s">
        <v>247</v>
      </c>
      <c r="BT100" s="254" t="s">
        <v>141</v>
      </c>
      <c r="BU100" s="254" t="s">
        <v>259</v>
      </c>
      <c r="BV100" s="254" t="s">
        <v>260</v>
      </c>
      <c r="BW100" s="254" t="s">
        <v>467</v>
      </c>
      <c r="BX100" s="254" t="s">
        <v>468</v>
      </c>
      <c r="BY100" s="258" t="s">
        <v>469</v>
      </c>
      <c r="BZ100" s="258" t="s">
        <v>470</v>
      </c>
      <c r="CA100" s="258" t="s">
        <v>375</v>
      </c>
      <c r="CB100" s="258" t="s">
        <v>471</v>
      </c>
      <c r="CC100" s="259" t="s">
        <v>8</v>
      </c>
      <c r="CD100" s="260" t="s">
        <v>27</v>
      </c>
      <c r="CE100" s="261" t="s">
        <v>472</v>
      </c>
      <c r="CF100" s="261" t="s">
        <v>37</v>
      </c>
      <c r="CG100" s="258" t="s">
        <v>54</v>
      </c>
      <c r="CH100" s="261" t="s">
        <v>473</v>
      </c>
      <c r="CI100" s="258" t="s">
        <v>44</v>
      </c>
      <c r="CJ100" s="258" t="s">
        <v>474</v>
      </c>
      <c r="CK100" s="258" t="s">
        <v>475</v>
      </c>
      <c r="CL100" s="258" t="s">
        <v>476</v>
      </c>
      <c r="CM100" s="262" t="s">
        <v>57</v>
      </c>
      <c r="CN100" s="258" t="s">
        <v>53</v>
      </c>
      <c r="CO100" s="258" t="s">
        <v>55</v>
      </c>
      <c r="CP100" s="258" t="s">
        <v>227</v>
      </c>
      <c r="CQ100" s="258" t="s">
        <v>477</v>
      </c>
      <c r="CR100" s="258" t="s">
        <v>205</v>
      </c>
      <c r="CS100" s="258" t="s">
        <v>207</v>
      </c>
      <c r="CT100" s="258" t="s">
        <v>478</v>
      </c>
      <c r="CU100" s="258" t="s">
        <v>39</v>
      </c>
      <c r="CV100" s="258" t="s">
        <v>479</v>
      </c>
      <c r="CW100" s="258" t="s">
        <v>547</v>
      </c>
      <c r="CX100" s="258" t="s">
        <v>549</v>
      </c>
      <c r="CY100" s="258" t="s">
        <v>65</v>
      </c>
      <c r="CZ100" s="258" t="s">
        <v>1</v>
      </c>
      <c r="DA100" s="258" t="s">
        <v>20</v>
      </c>
      <c r="DB100" s="258" t="s">
        <v>480</v>
      </c>
      <c r="DC100" s="258" t="s">
        <v>481</v>
      </c>
      <c r="DD100" s="258" t="s">
        <v>550</v>
      </c>
      <c r="DE100" s="258" t="s">
        <v>551</v>
      </c>
      <c r="DF100" s="258" t="s">
        <v>482</v>
      </c>
      <c r="DG100" s="263" t="s">
        <v>483</v>
      </c>
      <c r="DH100" s="263" t="s">
        <v>484</v>
      </c>
      <c r="DI100" s="263" t="s">
        <v>485</v>
      </c>
      <c r="DJ100" s="263" t="s">
        <v>486</v>
      </c>
      <c r="DK100" s="263" t="s">
        <v>487</v>
      </c>
      <c r="DL100" s="263" t="s">
        <v>486</v>
      </c>
      <c r="DM100" s="263" t="s">
        <v>488</v>
      </c>
      <c r="DN100" s="263" t="s">
        <v>486</v>
      </c>
      <c r="DO100" s="263" t="s">
        <v>489</v>
      </c>
      <c r="DP100" s="263" t="s">
        <v>486</v>
      </c>
      <c r="DQ100" s="263" t="s">
        <v>490</v>
      </c>
      <c r="DR100" s="263" t="s">
        <v>486</v>
      </c>
      <c r="DS100" s="263" t="s">
        <v>491</v>
      </c>
      <c r="DT100" s="263" t="s">
        <v>486</v>
      </c>
      <c r="DU100" s="264" t="s">
        <v>492</v>
      </c>
      <c r="DV100" s="264" t="s">
        <v>493</v>
      </c>
      <c r="DW100" s="264" t="s">
        <v>494</v>
      </c>
      <c r="DX100" s="263" t="s">
        <v>495</v>
      </c>
      <c r="DY100" s="263" t="s">
        <v>496</v>
      </c>
      <c r="DZ100" s="263" t="s">
        <v>497</v>
      </c>
      <c r="EA100" s="263" t="s">
        <v>498</v>
      </c>
      <c r="EB100" s="263" t="s">
        <v>499</v>
      </c>
      <c r="EC100" s="263" t="s">
        <v>498</v>
      </c>
      <c r="ED100" s="263" t="s">
        <v>500</v>
      </c>
      <c r="EE100" s="263" t="s">
        <v>498</v>
      </c>
      <c r="EF100" s="263" t="s">
        <v>501</v>
      </c>
      <c r="EG100" s="263" t="s">
        <v>498</v>
      </c>
      <c r="EH100" s="263" t="s">
        <v>502</v>
      </c>
      <c r="EI100" s="263" t="s">
        <v>498</v>
      </c>
      <c r="EJ100" s="263" t="s">
        <v>503</v>
      </c>
      <c r="EK100" s="263" t="s">
        <v>498</v>
      </c>
      <c r="EL100" s="264" t="s">
        <v>504</v>
      </c>
      <c r="EM100" s="264" t="s">
        <v>505</v>
      </c>
      <c r="EN100" s="264" t="s">
        <v>506</v>
      </c>
      <c r="EO100" s="263" t="s">
        <v>507</v>
      </c>
      <c r="EP100" s="263" t="s">
        <v>508</v>
      </c>
      <c r="EQ100" s="263" t="s">
        <v>509</v>
      </c>
      <c r="ER100" s="263" t="s">
        <v>510</v>
      </c>
      <c r="ES100" s="263" t="s">
        <v>511</v>
      </c>
      <c r="ET100" s="263" t="s">
        <v>510</v>
      </c>
      <c r="EU100" s="263" t="s">
        <v>512</v>
      </c>
      <c r="EV100" s="263" t="s">
        <v>510</v>
      </c>
      <c r="EW100" s="263" t="s">
        <v>513</v>
      </c>
      <c r="EX100" s="263" t="s">
        <v>510</v>
      </c>
      <c r="EY100" s="263" t="s">
        <v>514</v>
      </c>
      <c r="EZ100" s="263" t="s">
        <v>510</v>
      </c>
      <c r="FA100" s="263" t="s">
        <v>515</v>
      </c>
      <c r="FB100" s="263" t="s">
        <v>510</v>
      </c>
      <c r="FC100" s="264" t="s">
        <v>516</v>
      </c>
      <c r="FD100" s="264" t="s">
        <v>517</v>
      </c>
      <c r="FE100" s="264" t="s">
        <v>518</v>
      </c>
      <c r="FF100" s="263" t="s">
        <v>519</v>
      </c>
      <c r="FG100" s="263" t="s">
        <v>520</v>
      </c>
      <c r="FH100" s="263" t="s">
        <v>521</v>
      </c>
      <c r="FI100" s="263" t="s">
        <v>522</v>
      </c>
      <c r="FJ100" s="263" t="s">
        <v>523</v>
      </c>
      <c r="FK100" s="263" t="s">
        <v>522</v>
      </c>
      <c r="FL100" s="263" t="s">
        <v>524</v>
      </c>
      <c r="FM100" s="263" t="s">
        <v>522</v>
      </c>
      <c r="FN100" s="263" t="s">
        <v>525</v>
      </c>
      <c r="FO100" s="263" t="s">
        <v>522</v>
      </c>
      <c r="FP100" s="263" t="s">
        <v>526</v>
      </c>
      <c r="FQ100" s="263" t="s">
        <v>522</v>
      </c>
      <c r="FR100" s="263" t="s">
        <v>527</v>
      </c>
      <c r="FS100" s="263" t="s">
        <v>522</v>
      </c>
      <c r="FT100" s="264" t="s">
        <v>528</v>
      </c>
      <c r="FU100" s="264" t="s">
        <v>529</v>
      </c>
      <c r="FV100" s="264" t="s">
        <v>530</v>
      </c>
      <c r="FW100" s="263" t="s">
        <v>531</v>
      </c>
      <c r="FX100" s="263" t="s">
        <v>532</v>
      </c>
      <c r="FY100" s="263" t="s">
        <v>533</v>
      </c>
      <c r="FZ100" s="263" t="s">
        <v>534</v>
      </c>
      <c r="GA100" s="263" t="s">
        <v>535</v>
      </c>
      <c r="GB100" s="263" t="s">
        <v>534</v>
      </c>
      <c r="GC100" s="263" t="s">
        <v>536</v>
      </c>
      <c r="GD100" s="263" t="s">
        <v>534</v>
      </c>
      <c r="GE100" s="263" t="s">
        <v>537</v>
      </c>
      <c r="GF100" s="263" t="s">
        <v>534</v>
      </c>
      <c r="GG100" s="263" t="s">
        <v>538</v>
      </c>
      <c r="GH100" s="263" t="s">
        <v>534</v>
      </c>
      <c r="GI100" s="263" t="s">
        <v>539</v>
      </c>
      <c r="GJ100" s="263" t="s">
        <v>534</v>
      </c>
      <c r="GK100" s="264" t="s">
        <v>540</v>
      </c>
      <c r="GL100" s="264" t="s">
        <v>541</v>
      </c>
      <c r="GM100" s="264" t="s">
        <v>542</v>
      </c>
      <c r="GN100" s="264" t="s">
        <v>543</v>
      </c>
      <c r="GO100" s="258" t="s">
        <v>544</v>
      </c>
      <c r="GP100" s="122" t="s">
        <v>578</v>
      </c>
      <c r="GQ100" s="122" t="s">
        <v>579</v>
      </c>
    </row>
    <row r="101" spans="1:200" ht="15" customHeight="1">
      <c r="A101" s="282" t="str">
        <f>C29</f>
        <v>https://app.pipefy.com/open-cards/456804238</v>
      </c>
      <c r="B101" s="266" t="str">
        <f>C6</f>
        <v>SAC</v>
      </c>
      <c r="C101" s="266">
        <f>C8</f>
        <v>360</v>
      </c>
      <c r="D101" s="267" t="str">
        <f>C9</f>
        <v>Nenhum</v>
      </c>
      <c r="E101" s="268">
        <f>C10</f>
        <v>1</v>
      </c>
      <c r="F101" s="269">
        <f>C11</f>
        <v>270000</v>
      </c>
      <c r="G101" s="269">
        <f>C12</f>
        <v>491000</v>
      </c>
      <c r="H101" s="266" t="str">
        <f>C7</f>
        <v>Residencial</v>
      </c>
      <c r="I101" s="266" t="s">
        <v>25</v>
      </c>
      <c r="J101" s="269">
        <f>C13</f>
        <v>400000</v>
      </c>
      <c r="K101" s="269" t="str">
        <f>C15</f>
        <v>PF</v>
      </c>
      <c r="L101" s="266" t="str">
        <f>C19</f>
        <v>Romilton Cioletti</v>
      </c>
      <c r="M101" s="270" t="str">
        <f>C20</f>
        <v>Ana Carolina Resende Gomes Cioletti</v>
      </c>
      <c r="N101" s="270" t="str">
        <f>C21</f>
        <v>Casa Pleno Imoveis Ltda ME</v>
      </c>
      <c r="O101" s="270">
        <f>C22</f>
        <v>0</v>
      </c>
      <c r="P101" s="270">
        <f>C23</f>
        <v>0</v>
      </c>
      <c r="Q101" s="265">
        <f>C24</f>
        <v>28811</v>
      </c>
      <c r="R101" s="265">
        <f>C25</f>
        <v>29726</v>
      </c>
      <c r="S101" s="265">
        <f>C26</f>
        <v>0</v>
      </c>
      <c r="T101" s="265">
        <f>C27</f>
        <v>0</v>
      </c>
      <c r="U101" s="265">
        <f>C28</f>
        <v>0</v>
      </c>
      <c r="V101" s="265" t="str">
        <f>C30</f>
        <v>001.950.786-08</v>
      </c>
      <c r="W101" s="265" t="str">
        <f>C31</f>
        <v>012.902.766-92</v>
      </c>
      <c r="X101" s="265" t="str">
        <f>C32</f>
        <v>29.480.249/0001-23</v>
      </c>
      <c r="Y101" s="265">
        <f>C33</f>
        <v>0</v>
      </c>
      <c r="Z101" s="265">
        <f>C34</f>
        <v>0</v>
      </c>
      <c r="AA101" s="265">
        <f>C35</f>
        <v>2</v>
      </c>
      <c r="AB101" s="269">
        <f>C37</f>
        <v>20477.5</v>
      </c>
      <c r="AC101" s="269">
        <f>C38</f>
        <v>0</v>
      </c>
      <c r="AD101" s="269">
        <f>C39</f>
        <v>0</v>
      </c>
      <c r="AE101" s="271">
        <f ca="1">C40</f>
        <v>43</v>
      </c>
      <c r="AF101" s="269">
        <f>C41</f>
        <v>20477.5</v>
      </c>
      <c r="AG101" s="269" t="str">
        <f>C42</f>
        <v>IPCA</v>
      </c>
      <c r="AH101" s="269">
        <f>C53</f>
        <v>20477.5</v>
      </c>
      <c r="AI101" s="269">
        <f>C54</f>
        <v>10477.5</v>
      </c>
      <c r="AJ101" s="269">
        <f>C55</f>
        <v>10000</v>
      </c>
      <c r="AK101" s="269">
        <f>C56</f>
        <v>10000</v>
      </c>
      <c r="AL101" s="269">
        <f>C57</f>
        <v>10000</v>
      </c>
      <c r="AM101" s="269">
        <f>C58</f>
        <v>10000</v>
      </c>
      <c r="AN101" s="269">
        <f>C59</f>
        <v>10000</v>
      </c>
      <c r="AO101" s="269">
        <f>C60</f>
        <v>10000</v>
      </c>
      <c r="AP101" s="269">
        <f>C61</f>
        <v>10000</v>
      </c>
      <c r="AQ101" s="269">
        <f>C63</f>
        <v>0</v>
      </c>
      <c r="AR101" s="269">
        <f>C64</f>
        <v>0</v>
      </c>
      <c r="AS101" s="269">
        <f>C65</f>
        <v>0</v>
      </c>
      <c r="AT101" s="269">
        <f>C66</f>
        <v>0</v>
      </c>
      <c r="AU101" s="269">
        <f>C67</f>
        <v>0</v>
      </c>
      <c r="AV101" s="269">
        <f>C68</f>
        <v>0</v>
      </c>
      <c r="AW101" s="269">
        <f>C69</f>
        <v>0</v>
      </c>
      <c r="AX101" s="269">
        <f>C70</f>
        <v>0</v>
      </c>
      <c r="AY101" s="269">
        <f>C71</f>
        <v>0</v>
      </c>
      <c r="AZ101" s="269">
        <f>C73</f>
        <v>0</v>
      </c>
      <c r="BA101" s="269">
        <f>C74</f>
        <v>0</v>
      </c>
      <c r="BB101" s="269">
        <f>C75</f>
        <v>0</v>
      </c>
      <c r="BC101" s="269">
        <f>C76</f>
        <v>0</v>
      </c>
      <c r="BD101" s="269">
        <f>C77</f>
        <v>0</v>
      </c>
      <c r="BE101" s="269">
        <f>C78</f>
        <v>0</v>
      </c>
      <c r="BF101" s="269">
        <f>C79</f>
        <v>0</v>
      </c>
      <c r="BG101" s="269">
        <f>C80</f>
        <v>0</v>
      </c>
      <c r="BH101" s="269">
        <f>C81</f>
        <v>0</v>
      </c>
      <c r="BI101" s="269">
        <f ca="1">F6</f>
        <v>299726</v>
      </c>
      <c r="BJ101" s="269">
        <f ca="1">F7</f>
        <v>270000</v>
      </c>
      <c r="BK101" s="269">
        <f ca="1">F8</f>
        <v>9450</v>
      </c>
      <c r="BL101" s="269">
        <f>F9</f>
        <v>0</v>
      </c>
      <c r="BM101" s="269">
        <f>F10</f>
        <v>20276</v>
      </c>
      <c r="BN101" s="269">
        <f>F11</f>
        <v>25</v>
      </c>
      <c r="BO101" s="272">
        <f>F12</f>
        <v>2.1000000000000001E-4</v>
      </c>
      <c r="BP101" s="272">
        <f>F13</f>
        <v>6.9999999999999994E-5</v>
      </c>
      <c r="BQ101" s="271">
        <f ca="1">F14</f>
        <v>360</v>
      </c>
      <c r="BR101" s="269">
        <f ca="1">F15</f>
        <v>3022.7968200938481</v>
      </c>
      <c r="BS101" s="273">
        <f>F18</f>
        <v>6.7999999999999996E-3</v>
      </c>
      <c r="BT101" s="273">
        <f>F19</f>
        <v>8.4722085025153548E-2</v>
      </c>
      <c r="BU101" s="273">
        <f ca="1">F20</f>
        <v>8.5173617215938968E-3</v>
      </c>
      <c r="BV101" s="273">
        <f ca="1">F21</f>
        <v>0.10713491845514467</v>
      </c>
      <c r="BW101" s="273"/>
      <c r="BX101" s="273"/>
      <c r="BY101" s="274" t="str">
        <f>Rating!B6&amp;" "&amp;Rating!C6</f>
        <v>A -</v>
      </c>
      <c r="BZ101" s="275">
        <f>Rating!B7</f>
        <v>6.7999999999999996E-3</v>
      </c>
      <c r="CA101" s="276">
        <f>C10</f>
        <v>1</v>
      </c>
      <c r="CB101" s="274">
        <f>COUNT(C19:C23)</f>
        <v>0</v>
      </c>
      <c r="CC101" s="277">
        <f ca="1">Rating!B15</f>
        <v>43</v>
      </c>
      <c r="CD101" s="274" t="str">
        <f>Rating!B16</f>
        <v>Não</v>
      </c>
      <c r="CE101" s="274" t="str">
        <f>Rating!B17</f>
        <v xml:space="preserve">Casado </v>
      </c>
      <c r="CF101" s="274" t="str">
        <f>Rating!B18</f>
        <v>Superior</v>
      </c>
      <c r="CG101" s="274" t="str">
        <f>Rating!B19</f>
        <v>Liberal/Empresário</v>
      </c>
      <c r="CH101" s="277">
        <f>Rating!B22</f>
        <v>10</v>
      </c>
      <c r="CI101" s="274">
        <f>Rating!B21</f>
        <v>0</v>
      </c>
      <c r="CJ101" s="274">
        <f>Rating!B20</f>
        <v>0</v>
      </c>
      <c r="CK101" s="277" t="str">
        <f ca="1">Rating!C23</f>
        <v>A</v>
      </c>
      <c r="CL101" s="277">
        <f ca="1">SUM(Rating!C15:C22)+SUM(Rating!G15:G21)</f>
        <v>199.4408076358298</v>
      </c>
      <c r="CM101" s="275">
        <f ca="1">Rating!F15</f>
        <v>0.14761552045385656</v>
      </c>
      <c r="CN101" s="274">
        <f>Rating!F16</f>
        <v>915</v>
      </c>
      <c r="CO101" s="277" t="str">
        <f>Rating!F17</f>
        <v>Nada Consta</v>
      </c>
      <c r="CP101" s="275">
        <f>Rating!F19</f>
        <v>0.47578241350938427</v>
      </c>
      <c r="CQ101" s="275">
        <f>Rating!F19</f>
        <v>0.47578241350938427</v>
      </c>
      <c r="CR101" s="275">
        <f ca="1">Rating!F20</f>
        <v>0.31142580223270588</v>
      </c>
      <c r="CS101" s="275">
        <f>Rating!F21</f>
        <v>0</v>
      </c>
      <c r="CT101" s="275" t="str">
        <f>Rating!J16</f>
        <v>MG</v>
      </c>
      <c r="CU101" s="275" t="str">
        <f>Rating!J17</f>
        <v>Regular</v>
      </c>
      <c r="CV101" s="275" t="str">
        <f>Rating!J18</f>
        <v>Grande</v>
      </c>
      <c r="CW101" s="275"/>
      <c r="CX101" s="283" t="str">
        <f>C16</f>
        <v>Apartamento</v>
      </c>
      <c r="CY101" s="277">
        <f>Rating!K18</f>
        <v>10</v>
      </c>
      <c r="CZ101" s="275">
        <f ca="1">Rating!J20</f>
        <v>0.75636750608131897</v>
      </c>
      <c r="DA101" s="277">
        <f>Rating!J21</f>
        <v>141</v>
      </c>
      <c r="DB101" s="278">
        <f ca="1">Rating!J22</f>
        <v>97.413998783736218</v>
      </c>
      <c r="DC101" s="277" t="str">
        <f ca="1">Rating!K22</f>
        <v>A</v>
      </c>
      <c r="DD101" s="277" t="str">
        <f>C17</f>
        <v>Belo Horizonte</v>
      </c>
      <c r="DE101" s="277" t="str">
        <f>C18</f>
        <v>Santa Terezinha</v>
      </c>
      <c r="DF101" s="279">
        <f>C12</f>
        <v>491000</v>
      </c>
      <c r="DG101" s="269">
        <f>I16</f>
        <v>39.67</v>
      </c>
      <c r="DH101" s="269">
        <f>M16</f>
        <v>0</v>
      </c>
      <c r="DI101" s="269">
        <f>I17</f>
        <v>18507</v>
      </c>
      <c r="DJ101" s="269">
        <f>M17</f>
        <v>0</v>
      </c>
      <c r="DK101" s="269">
        <f>I18</f>
        <v>2351.8599999999997</v>
      </c>
      <c r="DL101" s="269">
        <f>M18</f>
        <v>0</v>
      </c>
      <c r="DM101" s="269">
        <f>I19</f>
        <v>64060.590000000004</v>
      </c>
      <c r="DN101" s="269">
        <f>M19</f>
        <v>0</v>
      </c>
      <c r="DO101" s="269">
        <f>I20</f>
        <v>0</v>
      </c>
      <c r="DP101" s="269">
        <f>M20</f>
        <v>0</v>
      </c>
      <c r="DQ101" s="269">
        <f>I21</f>
        <v>0</v>
      </c>
      <c r="DR101" s="269">
        <f>M21</f>
        <v>0</v>
      </c>
      <c r="DS101" s="280">
        <f>I22</f>
        <v>0</v>
      </c>
      <c r="DT101" s="280">
        <f>M22</f>
        <v>0</v>
      </c>
      <c r="DU101" s="280">
        <f>K23</f>
        <v>0</v>
      </c>
      <c r="DV101" s="280">
        <f>J23</f>
        <v>0</v>
      </c>
      <c r="DW101" s="280">
        <f>L23</f>
        <v>84959.12</v>
      </c>
      <c r="DX101" s="269">
        <f>I26</f>
        <v>0</v>
      </c>
      <c r="DY101" s="269">
        <f>M26</f>
        <v>0</v>
      </c>
      <c r="DZ101" s="269">
        <f>I27</f>
        <v>1472.95</v>
      </c>
      <c r="EA101" s="269">
        <f>M27</f>
        <v>493.56</v>
      </c>
      <c r="EB101" s="269">
        <f>I28</f>
        <v>454.51</v>
      </c>
      <c r="EC101" s="269">
        <f>M28</f>
        <v>116.11</v>
      </c>
      <c r="ED101" s="269">
        <f>I29</f>
        <v>9666.44</v>
      </c>
      <c r="EE101" s="269">
        <f>M29</f>
        <v>6317.09</v>
      </c>
      <c r="EF101" s="269">
        <f>I30</f>
        <v>0</v>
      </c>
      <c r="EG101" s="269">
        <f>M30</f>
        <v>0</v>
      </c>
      <c r="EH101" s="269">
        <f>I31</f>
        <v>0</v>
      </c>
      <c r="EI101" s="269">
        <f>M31</f>
        <v>0</v>
      </c>
      <c r="EJ101" s="280">
        <f>I32</f>
        <v>4275.5</v>
      </c>
      <c r="EK101" s="280">
        <f>M32</f>
        <v>2882</v>
      </c>
      <c r="EL101" s="280">
        <f>K33</f>
        <v>0</v>
      </c>
      <c r="EM101" s="280">
        <f>J33</f>
        <v>9325</v>
      </c>
      <c r="EN101" s="280">
        <f>L33</f>
        <v>6544.4000000000005</v>
      </c>
      <c r="EO101" s="269">
        <f>I36</f>
        <v>352903.54</v>
      </c>
      <c r="EP101" s="269">
        <f>M36</f>
        <v>0</v>
      </c>
      <c r="EQ101" s="269">
        <f>I37</f>
        <v>0</v>
      </c>
      <c r="ER101" s="269">
        <f>M37</f>
        <v>0</v>
      </c>
      <c r="ES101" s="269">
        <f>I38</f>
        <v>19366.060000000001</v>
      </c>
      <c r="ET101" s="269">
        <f>M38</f>
        <v>0</v>
      </c>
      <c r="EU101" s="269">
        <f>I39</f>
        <v>872.23</v>
      </c>
      <c r="EV101" s="269">
        <f>M39</f>
        <v>0</v>
      </c>
      <c r="EW101" s="269">
        <f>I40</f>
        <v>0</v>
      </c>
      <c r="EX101" s="269">
        <f>M40</f>
        <v>0</v>
      </c>
      <c r="EY101" s="269">
        <f>I41</f>
        <v>0</v>
      </c>
      <c r="EZ101" s="269">
        <f>M41</f>
        <v>0</v>
      </c>
      <c r="FA101" s="280">
        <f>I42</f>
        <v>0</v>
      </c>
      <c r="FB101" s="280">
        <f>M42</f>
        <v>0</v>
      </c>
      <c r="FC101" s="280">
        <f>K43</f>
        <v>0</v>
      </c>
      <c r="FD101" s="280">
        <f>J43</f>
        <v>0</v>
      </c>
      <c r="FE101" s="280">
        <f>L43</f>
        <v>373141.82999999996</v>
      </c>
      <c r="FF101" s="269">
        <f>I46</f>
        <v>0</v>
      </c>
      <c r="FG101" s="269">
        <f>M46</f>
        <v>0</v>
      </c>
      <c r="FH101" s="269">
        <f>I47</f>
        <v>0</v>
      </c>
      <c r="FI101" s="269">
        <f>M47</f>
        <v>0</v>
      </c>
      <c r="FJ101" s="269">
        <f>I48</f>
        <v>0</v>
      </c>
      <c r="FK101" s="269">
        <f>M48</f>
        <v>0</v>
      </c>
      <c r="FL101" s="269">
        <f>I49</f>
        <v>2016.25</v>
      </c>
      <c r="FM101" s="269">
        <f>M49</f>
        <v>0</v>
      </c>
      <c r="FN101" s="269">
        <f>I50</f>
        <v>0</v>
      </c>
      <c r="FO101" s="269">
        <f>M50</f>
        <v>0</v>
      </c>
      <c r="FP101" s="269">
        <f>I51</f>
        <v>0</v>
      </c>
      <c r="FQ101" s="269">
        <f>M51</f>
        <v>0</v>
      </c>
      <c r="FR101" s="280">
        <f>I52</f>
        <v>0</v>
      </c>
      <c r="FS101" s="280">
        <f>M52</f>
        <v>0</v>
      </c>
      <c r="FT101" s="280">
        <f>K53</f>
        <v>0</v>
      </c>
      <c r="FU101" s="280">
        <f>J53</f>
        <v>0</v>
      </c>
      <c r="FV101" s="280">
        <f>L53</f>
        <v>2016.25</v>
      </c>
      <c r="FW101" s="269">
        <f>I56</f>
        <v>0</v>
      </c>
      <c r="FX101" s="269">
        <f>M56</f>
        <v>0</v>
      </c>
      <c r="FY101" s="269">
        <f>I57</f>
        <v>0</v>
      </c>
      <c r="FZ101" s="269">
        <f>M57</f>
        <v>0</v>
      </c>
      <c r="GA101" s="269">
        <f>I58</f>
        <v>0</v>
      </c>
      <c r="GB101" s="269">
        <f>M58</f>
        <v>0</v>
      </c>
      <c r="GC101" s="269">
        <f>I59</f>
        <v>0</v>
      </c>
      <c r="GD101" s="269">
        <f>M59</f>
        <v>0</v>
      </c>
      <c r="GE101" s="269">
        <f>I60</f>
        <v>0</v>
      </c>
      <c r="GF101" s="269">
        <f>M60</f>
        <v>0</v>
      </c>
      <c r="GG101" s="269">
        <f>I61</f>
        <v>0</v>
      </c>
      <c r="GH101" s="269">
        <f>M61</f>
        <v>0</v>
      </c>
      <c r="GI101" s="280">
        <f>I62</f>
        <v>0</v>
      </c>
      <c r="GJ101" s="280">
        <f>M62</f>
        <v>0</v>
      </c>
      <c r="GK101" s="280">
        <f>K63</f>
        <v>0</v>
      </c>
      <c r="GL101" s="280">
        <f>J63</f>
        <v>0</v>
      </c>
      <c r="GM101" s="280">
        <f>L63</f>
        <v>0</v>
      </c>
      <c r="GN101" s="281">
        <f ca="1">NOW()</f>
        <v>44736.658149074072</v>
      </c>
      <c r="GO101" s="277" t="str">
        <f>"Financiamento"</f>
        <v>Financiamento</v>
      </c>
      <c r="GP101" s="367">
        <f ca="1">Sim_SAC!X19</f>
        <v>7.8667423098993661E-2</v>
      </c>
      <c r="GQ101" s="368">
        <f ca="1">Sim_PRICE!W19</f>
        <v>7.756884548764198E-2</v>
      </c>
      <c r="GR101" s="369">
        <f ca="1">SUM('Simulador PDF'!J32:J393)</f>
        <v>705551.10523137753</v>
      </c>
    </row>
  </sheetData>
  <mergeCells count="1">
    <mergeCell ref="E2:F2"/>
  </mergeCells>
  <phoneticPr fontId="32" type="noConversion"/>
  <conditionalFormatting sqref="I11">
    <cfRule type="cellIs" dxfId="23" priority="6" operator="equal">
      <formula>"N/A"</formula>
    </cfRule>
  </conditionalFormatting>
  <conditionalFormatting sqref="F14">
    <cfRule type="containsText" dxfId="22" priority="5" operator="containsText" text="ERRO">
      <formula>NOT(ISERROR(SEARCH("ERRO",F14)))</formula>
    </cfRule>
  </conditionalFormatting>
  <conditionalFormatting sqref="I10">
    <cfRule type="cellIs" dxfId="21" priority="4" operator="greaterThan">
      <formula>$I$7</formula>
    </cfRule>
  </conditionalFormatting>
  <conditionalFormatting sqref="I12">
    <cfRule type="cellIs" dxfId="20" priority="2" operator="lessThan">
      <formula>0</formula>
    </cfRule>
    <cfRule type="cellIs" dxfId="19" priority="3" operator="greaterThan">
      <formula>$I$7</formula>
    </cfRule>
  </conditionalFormatting>
  <conditionalFormatting sqref="S20:S24">
    <cfRule type="containsText" dxfId="18" priority="1" operator="containsText" text="Fora da Política">
      <formula>NOT(ISERROR(SEARCH("Fora da Política",S20)))</formula>
    </cfRule>
  </conditionalFormatting>
  <dataValidations disablePrompts="1" count="6">
    <dataValidation type="list" allowBlank="1" showInputMessage="1" showErrorMessage="1" sqref="C7" xr:uid="{D7E657B4-2D0F-4469-AFAE-1A5F378A7A7E}">
      <formula1>$O$6:$O$7</formula1>
    </dataValidation>
    <dataValidation type="list" allowBlank="1" showInputMessage="1" showErrorMessage="1" sqref="C14" xr:uid="{2F8B509C-1569-442E-9EFB-90A453FDFCA8}">
      <formula1>"Sim,Não"</formula1>
    </dataValidation>
    <dataValidation type="list" allowBlank="1" showInputMessage="1" showErrorMessage="1" sqref="C15" xr:uid="{E882720C-2607-4AB9-9F92-33F2BF1489FE}">
      <formula1>"PF,PJ"</formula1>
    </dataValidation>
    <dataValidation type="list" allowBlank="1" showInputMessage="1" showErrorMessage="1" sqref="C43" xr:uid="{0FDDBAF4-9455-483B-94E9-659456ADF8EB}">
      <formula1>"SAC,PRICE"</formula1>
    </dataValidation>
    <dataValidation type="list" allowBlank="1" showInputMessage="1" showErrorMessage="1" sqref="C9" xr:uid="{00000000-0002-0000-0500-000001000000}">
      <formula1>#REF!</formula1>
    </dataValidation>
    <dataValidation type="list" showInputMessage="1" showErrorMessage="1" sqref="C16" xr:uid="{73FB1E2E-014B-443C-BCE9-3F256C164899}">
      <mc:AlternateContent xmlns:x12ac="http://schemas.microsoft.com/office/spreadsheetml/2011/1/ac" xmlns:mc="http://schemas.openxmlformats.org/markup-compatibility/2006">
        <mc:Choice Requires="x12ac">
          <x12ac:list>Casa,Apartamento,""" """</x12ac:list>
        </mc:Choice>
        <mc:Fallback>
          <formula1>"Casa,Apartamento,"" """</formula1>
        </mc:Fallback>
      </mc:AlternateContent>
    </dataValidation>
  </dataValidations>
  <hyperlinks>
    <hyperlink ref="C29" r:id="rId1" xr:uid="{44485E83-CBB0-4DA4-B8EE-C80B89833D90}"/>
  </hyperlinks>
  <pageMargins left="0.7" right="0.7" top="0.75" bottom="0.75" header="0.3" footer="0.3"/>
  <pageSetup paperSize="9" orientation="portrait" horizontalDpi="4294967294" r:id="rId2"/>
  <drawing r:id="rId3"/>
  <legacyDrawing r:id="rId4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00000000-0002-0000-0500-000000000000}">
          <x14:formula1>
            <xm:f>'\Users\luizabastos\Library\Containers\com.microsoft.Excel\Data\Documents\Z:\8. MCRED I\2. Investments\3. Home Equity\1. Análises\Pontte\Financeiro\[Simulador_v3.xlsm]Sheet2'!#REF!</xm:f>
          </x14:formula1>
          <xm:sqref>G7 D7</xm:sqref>
        </x14:dataValidation>
        <x14:dataValidation type="list" allowBlank="1" showInputMessage="1" showErrorMessage="1" xr:uid="{C78BC34B-9052-4F10-BD0D-61065BCFB47B}">
          <x14:formula1>
            <xm:f>Sheet2!$A$1:$A$2</xm:f>
          </x14:formula1>
          <xm:sqref>C6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D958D-EFB6-4809-BE9A-2514A41780B6}">
  <sheetPr codeName="Planilha3"/>
  <dimension ref="B2:BC51"/>
  <sheetViews>
    <sheetView workbookViewId="0">
      <selection activeCell="A18" sqref="A18:XFD48"/>
    </sheetView>
  </sheetViews>
  <sheetFormatPr defaultColWidth="8.77734375" defaultRowHeight="14.4"/>
  <cols>
    <col min="1" max="4" width="8.77734375" style="216"/>
    <col min="5" max="5" width="10.44140625" style="216" bestFit="1" customWidth="1"/>
    <col min="6" max="16384" width="8.77734375" style="216"/>
  </cols>
  <sheetData>
    <row r="2" spans="2:55" ht="15.6">
      <c r="B2" s="284" t="s">
        <v>553</v>
      </c>
      <c r="C2" s="285"/>
      <c r="D2" s="285"/>
      <c r="E2" s="285"/>
      <c r="F2" s="285"/>
      <c r="G2" s="285"/>
      <c r="H2" s="285"/>
      <c r="I2" s="285"/>
      <c r="J2" s="285"/>
      <c r="K2" s="285"/>
      <c r="L2" s="286"/>
      <c r="M2" s="285"/>
      <c r="N2" s="285"/>
      <c r="O2" s="285"/>
      <c r="P2" s="285"/>
      <c r="Q2" s="285"/>
      <c r="R2" s="285"/>
      <c r="S2" s="285"/>
      <c r="T2" s="285"/>
      <c r="U2" s="285"/>
      <c r="V2" s="285"/>
      <c r="W2" s="286"/>
      <c r="X2" s="285"/>
      <c r="Y2" s="285"/>
      <c r="Z2" s="285"/>
      <c r="AA2" s="285"/>
      <c r="AB2" s="285"/>
      <c r="AC2" s="285"/>
      <c r="AD2" s="285"/>
      <c r="AE2" s="285"/>
      <c r="AF2" s="285"/>
      <c r="AG2" s="285"/>
      <c r="AH2" s="285"/>
      <c r="AI2" s="285"/>
      <c r="AJ2" s="285"/>
      <c r="AK2" s="285"/>
      <c r="AL2" s="285"/>
      <c r="AM2" s="285"/>
      <c r="AN2" s="285"/>
      <c r="AO2" s="285"/>
      <c r="AP2" s="285"/>
      <c r="AQ2" s="285"/>
      <c r="AR2" s="285"/>
      <c r="AS2" s="285"/>
      <c r="AT2" s="285"/>
      <c r="AU2" s="285"/>
      <c r="AV2" s="285"/>
      <c r="AW2" s="285"/>
      <c r="AX2" s="285"/>
      <c r="AY2" s="285"/>
      <c r="AZ2" s="285"/>
      <c r="BA2" s="285"/>
      <c r="BB2" s="285"/>
      <c r="BC2" s="285"/>
    </row>
    <row r="3" spans="2:55"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</row>
    <row r="4" spans="2:55" ht="15" thickBot="1">
      <c r="B4" s="287" t="s">
        <v>554</v>
      </c>
      <c r="C4" s="287"/>
      <c r="D4" s="287"/>
      <c r="E4" s="287"/>
      <c r="F4" s="287" t="s">
        <v>555</v>
      </c>
      <c r="G4" s="719" t="str">
        <f>Resumo!C19</f>
        <v>Romilton Cioletti</v>
      </c>
      <c r="H4" s="719"/>
      <c r="I4" s="719"/>
      <c r="J4" s="719"/>
      <c r="K4" s="719"/>
      <c r="L4" s="6"/>
      <c r="M4" s="287" t="s">
        <v>556</v>
      </c>
      <c r="N4" s="287"/>
      <c r="O4" s="287"/>
      <c r="P4" s="287"/>
      <c r="Q4" s="287" t="s">
        <v>555</v>
      </c>
      <c r="R4" s="719" t="str">
        <f>Resumo!C20</f>
        <v>Ana Carolina Resende Gomes Cioletti</v>
      </c>
      <c r="S4" s="719"/>
      <c r="T4" s="719"/>
      <c r="U4" s="719"/>
      <c r="V4" s="719"/>
      <c r="W4" s="6"/>
      <c r="X4" s="287" t="s">
        <v>557</v>
      </c>
      <c r="Y4" s="287"/>
      <c r="Z4" s="287"/>
      <c r="AA4" s="287"/>
      <c r="AB4" s="287" t="s">
        <v>555</v>
      </c>
      <c r="AC4" s="719" t="str">
        <f>Resumo!C21</f>
        <v>Casa Pleno Imoveis Ltda ME</v>
      </c>
      <c r="AD4" s="719"/>
      <c r="AE4" s="719"/>
      <c r="AF4" s="719"/>
      <c r="AG4" s="719"/>
      <c r="AI4" s="287" t="s">
        <v>558</v>
      </c>
      <c r="AJ4" s="287"/>
      <c r="AK4" s="287"/>
      <c r="AL4" s="287"/>
      <c r="AM4" s="287" t="s">
        <v>555</v>
      </c>
      <c r="AN4" s="719">
        <f>Resumo!C22</f>
        <v>0</v>
      </c>
      <c r="AO4" s="719"/>
      <c r="AP4" s="719"/>
      <c r="AQ4" s="719"/>
      <c r="AR4" s="719"/>
      <c r="AT4" s="287" t="s">
        <v>559</v>
      </c>
      <c r="AU4" s="287"/>
      <c r="AV4" s="287"/>
      <c r="AW4" s="287"/>
      <c r="AX4" s="287" t="s">
        <v>555</v>
      </c>
      <c r="AY4" s="719">
        <f>Resumo!C23</f>
        <v>0</v>
      </c>
      <c r="AZ4" s="719"/>
      <c r="BA4" s="719"/>
      <c r="BB4" s="719"/>
      <c r="BC4" s="719"/>
    </row>
    <row r="5" spans="2:55" ht="15" thickTop="1"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I5" s="6"/>
      <c r="AJ5" s="6"/>
      <c r="AK5" s="6"/>
      <c r="AL5" s="6"/>
      <c r="AM5" s="6"/>
      <c r="AN5" s="6"/>
      <c r="AO5" s="6"/>
      <c r="AP5" s="6"/>
      <c r="AQ5" s="6"/>
      <c r="AR5" s="6"/>
      <c r="AT5" s="6"/>
      <c r="AU5" s="6"/>
      <c r="AV5" s="6"/>
      <c r="AW5" s="6"/>
      <c r="AX5" s="6"/>
      <c r="AY5" s="6"/>
      <c r="AZ5" s="6"/>
      <c r="BA5" s="6"/>
      <c r="BB5" s="6"/>
      <c r="BC5" s="6"/>
    </row>
    <row r="6" spans="2:55" ht="15" thickBot="1">
      <c r="B6" s="288" t="s">
        <v>560</v>
      </c>
      <c r="C6" s="6"/>
      <c r="D6" s="6"/>
      <c r="E6" s="6"/>
      <c r="F6" s="6"/>
      <c r="G6" s="6"/>
      <c r="H6" s="6"/>
      <c r="I6" s="6"/>
      <c r="J6" s="6"/>
      <c r="K6" s="6"/>
      <c r="L6" s="6"/>
      <c r="M6" s="288" t="s">
        <v>560</v>
      </c>
      <c r="N6" s="6"/>
      <c r="O6" s="6"/>
      <c r="P6" s="6"/>
      <c r="Q6" s="6"/>
      <c r="R6" s="6"/>
      <c r="S6" s="6"/>
      <c r="T6" s="6"/>
      <c r="U6" s="6"/>
      <c r="V6" s="6"/>
      <c r="W6" s="6"/>
      <c r="X6" s="288" t="s">
        <v>560</v>
      </c>
      <c r="Y6" s="6"/>
      <c r="Z6" s="6"/>
      <c r="AA6" s="6"/>
      <c r="AB6" s="6"/>
      <c r="AC6" s="6"/>
      <c r="AD6" s="6"/>
      <c r="AE6" s="6"/>
      <c r="AF6" s="6"/>
      <c r="AG6" s="6"/>
      <c r="AI6" s="288" t="s">
        <v>560</v>
      </c>
      <c r="AJ6" s="6"/>
      <c r="AK6" s="6"/>
      <c r="AL6" s="6"/>
      <c r="AM6" s="6"/>
      <c r="AN6" s="6"/>
      <c r="AO6" s="6"/>
      <c r="AP6" s="6"/>
      <c r="AQ6" s="6"/>
      <c r="AR6" s="6"/>
      <c r="AT6" s="288" t="s">
        <v>560</v>
      </c>
      <c r="AU6" s="6"/>
      <c r="AV6" s="6"/>
      <c r="AW6" s="6"/>
      <c r="AX6" s="6"/>
      <c r="AY6" s="6"/>
      <c r="AZ6" s="6"/>
      <c r="BA6" s="6"/>
      <c r="BB6" s="6"/>
      <c r="BC6" s="6"/>
    </row>
    <row r="7" spans="2:55" ht="15" thickTop="1">
      <c r="B7" s="710" t="s">
        <v>755</v>
      </c>
      <c r="C7" s="711"/>
      <c r="D7" s="711"/>
      <c r="E7" s="711"/>
      <c r="F7" s="711"/>
      <c r="G7" s="711"/>
      <c r="H7" s="711"/>
      <c r="I7" s="711"/>
      <c r="J7" s="711"/>
      <c r="K7" s="712"/>
      <c r="L7" s="6"/>
      <c r="M7" s="710"/>
      <c r="N7" s="711"/>
      <c r="O7" s="711"/>
      <c r="P7" s="711"/>
      <c r="Q7" s="711"/>
      <c r="R7" s="711"/>
      <c r="S7" s="711"/>
      <c r="T7" s="711"/>
      <c r="U7" s="711"/>
      <c r="V7" s="712"/>
      <c r="W7" s="6"/>
      <c r="X7" s="710"/>
      <c r="Y7" s="711"/>
      <c r="Z7" s="711"/>
      <c r="AA7" s="711"/>
      <c r="AB7" s="711"/>
      <c r="AC7" s="711"/>
      <c r="AD7" s="711"/>
      <c r="AE7" s="711"/>
      <c r="AF7" s="711"/>
      <c r="AG7" s="712"/>
      <c r="AI7" s="710"/>
      <c r="AJ7" s="711"/>
      <c r="AK7" s="711"/>
      <c r="AL7" s="711"/>
      <c r="AM7" s="711"/>
      <c r="AN7" s="711"/>
      <c r="AO7" s="711"/>
      <c r="AP7" s="711"/>
      <c r="AQ7" s="711"/>
      <c r="AR7" s="712"/>
      <c r="AT7" s="710"/>
      <c r="AU7" s="711"/>
      <c r="AV7" s="711"/>
      <c r="AW7" s="711"/>
      <c r="AX7" s="711"/>
      <c r="AY7" s="711"/>
      <c r="AZ7" s="711"/>
      <c r="BA7" s="711"/>
      <c r="BB7" s="711"/>
      <c r="BC7" s="712"/>
    </row>
    <row r="8" spans="2:55">
      <c r="B8" s="713"/>
      <c r="C8" s="714"/>
      <c r="D8" s="714"/>
      <c r="E8" s="714"/>
      <c r="F8" s="714"/>
      <c r="G8" s="714"/>
      <c r="H8" s="714"/>
      <c r="I8" s="714"/>
      <c r="J8" s="714"/>
      <c r="K8" s="715"/>
      <c r="L8" s="6"/>
      <c r="M8" s="713"/>
      <c r="N8" s="714"/>
      <c r="O8" s="714"/>
      <c r="P8" s="714"/>
      <c r="Q8" s="714"/>
      <c r="R8" s="714"/>
      <c r="S8" s="714"/>
      <c r="T8" s="714"/>
      <c r="U8" s="714"/>
      <c r="V8" s="715"/>
      <c r="W8" s="6"/>
      <c r="X8" s="713"/>
      <c r="Y8" s="714"/>
      <c r="Z8" s="714"/>
      <c r="AA8" s="714"/>
      <c r="AB8" s="714"/>
      <c r="AC8" s="714"/>
      <c r="AD8" s="714"/>
      <c r="AE8" s="714"/>
      <c r="AF8" s="714"/>
      <c r="AG8" s="715"/>
      <c r="AI8" s="713"/>
      <c r="AJ8" s="714"/>
      <c r="AK8" s="714"/>
      <c r="AL8" s="714"/>
      <c r="AM8" s="714"/>
      <c r="AN8" s="714"/>
      <c r="AO8" s="714"/>
      <c r="AP8" s="714"/>
      <c r="AQ8" s="714"/>
      <c r="AR8" s="715"/>
      <c r="AT8" s="713"/>
      <c r="AU8" s="714"/>
      <c r="AV8" s="714"/>
      <c r="AW8" s="714"/>
      <c r="AX8" s="714"/>
      <c r="AY8" s="714"/>
      <c r="AZ8" s="714"/>
      <c r="BA8" s="714"/>
      <c r="BB8" s="714"/>
      <c r="BC8" s="715"/>
    </row>
    <row r="9" spans="2:55">
      <c r="B9" s="713"/>
      <c r="C9" s="714"/>
      <c r="D9" s="714"/>
      <c r="E9" s="714"/>
      <c r="F9" s="714"/>
      <c r="G9" s="714"/>
      <c r="H9" s="714"/>
      <c r="I9" s="714"/>
      <c r="J9" s="714"/>
      <c r="K9" s="715"/>
      <c r="L9" s="6"/>
      <c r="M9" s="713"/>
      <c r="N9" s="714"/>
      <c r="O9" s="714"/>
      <c r="P9" s="714"/>
      <c r="Q9" s="714"/>
      <c r="R9" s="714"/>
      <c r="S9" s="714"/>
      <c r="T9" s="714"/>
      <c r="U9" s="714"/>
      <c r="V9" s="715"/>
      <c r="W9" s="6"/>
      <c r="X9" s="713"/>
      <c r="Y9" s="714"/>
      <c r="Z9" s="714"/>
      <c r="AA9" s="714"/>
      <c r="AB9" s="714"/>
      <c r="AC9" s="714"/>
      <c r="AD9" s="714"/>
      <c r="AE9" s="714"/>
      <c r="AF9" s="714"/>
      <c r="AG9" s="715"/>
      <c r="AI9" s="713"/>
      <c r="AJ9" s="714"/>
      <c r="AK9" s="714"/>
      <c r="AL9" s="714"/>
      <c r="AM9" s="714"/>
      <c r="AN9" s="714"/>
      <c r="AO9" s="714"/>
      <c r="AP9" s="714"/>
      <c r="AQ9" s="714"/>
      <c r="AR9" s="715"/>
      <c r="AT9" s="713"/>
      <c r="AU9" s="714"/>
      <c r="AV9" s="714"/>
      <c r="AW9" s="714"/>
      <c r="AX9" s="714"/>
      <c r="AY9" s="714"/>
      <c r="AZ9" s="714"/>
      <c r="BA9" s="714"/>
      <c r="BB9" s="714"/>
      <c r="BC9" s="715"/>
    </row>
    <row r="10" spans="2:55">
      <c r="B10" s="713"/>
      <c r="C10" s="714"/>
      <c r="D10" s="714"/>
      <c r="E10" s="714"/>
      <c r="F10" s="714"/>
      <c r="G10" s="714"/>
      <c r="H10" s="714"/>
      <c r="I10" s="714"/>
      <c r="J10" s="714"/>
      <c r="K10" s="715"/>
      <c r="L10" s="6"/>
      <c r="M10" s="713"/>
      <c r="N10" s="714"/>
      <c r="O10" s="714"/>
      <c r="P10" s="714"/>
      <c r="Q10" s="714"/>
      <c r="R10" s="714"/>
      <c r="S10" s="714"/>
      <c r="T10" s="714"/>
      <c r="U10" s="714"/>
      <c r="V10" s="715"/>
      <c r="W10" s="6"/>
      <c r="X10" s="713"/>
      <c r="Y10" s="714"/>
      <c r="Z10" s="714"/>
      <c r="AA10" s="714"/>
      <c r="AB10" s="714"/>
      <c r="AC10" s="714"/>
      <c r="AD10" s="714"/>
      <c r="AE10" s="714"/>
      <c r="AF10" s="714"/>
      <c r="AG10" s="715"/>
      <c r="AI10" s="713"/>
      <c r="AJ10" s="714"/>
      <c r="AK10" s="714"/>
      <c r="AL10" s="714"/>
      <c r="AM10" s="714"/>
      <c r="AN10" s="714"/>
      <c r="AO10" s="714"/>
      <c r="AP10" s="714"/>
      <c r="AQ10" s="714"/>
      <c r="AR10" s="715"/>
      <c r="AT10" s="713"/>
      <c r="AU10" s="714"/>
      <c r="AV10" s="714"/>
      <c r="AW10" s="714"/>
      <c r="AX10" s="714"/>
      <c r="AY10" s="714"/>
      <c r="AZ10" s="714"/>
      <c r="BA10" s="714"/>
      <c r="BB10" s="714"/>
      <c r="BC10" s="715"/>
    </row>
    <row r="11" spans="2:55">
      <c r="B11" s="713"/>
      <c r="C11" s="714"/>
      <c r="D11" s="714"/>
      <c r="E11" s="714"/>
      <c r="F11" s="714"/>
      <c r="G11" s="714"/>
      <c r="H11" s="714"/>
      <c r="I11" s="714"/>
      <c r="J11" s="714"/>
      <c r="K11" s="715"/>
      <c r="L11" s="6"/>
      <c r="M11" s="713"/>
      <c r="N11" s="714"/>
      <c r="O11" s="714"/>
      <c r="P11" s="714"/>
      <c r="Q11" s="714"/>
      <c r="R11" s="714"/>
      <c r="S11" s="714"/>
      <c r="T11" s="714"/>
      <c r="U11" s="714"/>
      <c r="V11" s="715"/>
      <c r="W11" s="6"/>
      <c r="X11" s="713"/>
      <c r="Y11" s="714"/>
      <c r="Z11" s="714"/>
      <c r="AA11" s="714"/>
      <c r="AB11" s="714"/>
      <c r="AC11" s="714"/>
      <c r="AD11" s="714"/>
      <c r="AE11" s="714"/>
      <c r="AF11" s="714"/>
      <c r="AG11" s="715"/>
      <c r="AI11" s="713"/>
      <c r="AJ11" s="714"/>
      <c r="AK11" s="714"/>
      <c r="AL11" s="714"/>
      <c r="AM11" s="714"/>
      <c r="AN11" s="714"/>
      <c r="AO11" s="714"/>
      <c r="AP11" s="714"/>
      <c r="AQ11" s="714"/>
      <c r="AR11" s="715"/>
      <c r="AT11" s="713"/>
      <c r="AU11" s="714"/>
      <c r="AV11" s="714"/>
      <c r="AW11" s="714"/>
      <c r="AX11" s="714"/>
      <c r="AY11" s="714"/>
      <c r="AZ11" s="714"/>
      <c r="BA11" s="714"/>
      <c r="BB11" s="714"/>
      <c r="BC11" s="715"/>
    </row>
    <row r="12" spans="2:55">
      <c r="B12" s="713"/>
      <c r="C12" s="714"/>
      <c r="D12" s="714"/>
      <c r="E12" s="714"/>
      <c r="F12" s="714"/>
      <c r="G12" s="714"/>
      <c r="H12" s="714"/>
      <c r="I12" s="714"/>
      <c r="J12" s="714"/>
      <c r="K12" s="715"/>
      <c r="L12" s="6"/>
      <c r="M12" s="713"/>
      <c r="N12" s="714"/>
      <c r="O12" s="714"/>
      <c r="P12" s="714"/>
      <c r="Q12" s="714"/>
      <c r="R12" s="714"/>
      <c r="S12" s="714"/>
      <c r="T12" s="714"/>
      <c r="U12" s="714"/>
      <c r="V12" s="715"/>
      <c r="W12" s="6"/>
      <c r="X12" s="713"/>
      <c r="Y12" s="714"/>
      <c r="Z12" s="714"/>
      <c r="AA12" s="714"/>
      <c r="AB12" s="714"/>
      <c r="AC12" s="714"/>
      <c r="AD12" s="714"/>
      <c r="AE12" s="714"/>
      <c r="AF12" s="714"/>
      <c r="AG12" s="715"/>
      <c r="AI12" s="713"/>
      <c r="AJ12" s="714"/>
      <c r="AK12" s="714"/>
      <c r="AL12" s="714"/>
      <c r="AM12" s="714"/>
      <c r="AN12" s="714"/>
      <c r="AO12" s="714"/>
      <c r="AP12" s="714"/>
      <c r="AQ12" s="714"/>
      <c r="AR12" s="715"/>
      <c r="AT12" s="713"/>
      <c r="AU12" s="714"/>
      <c r="AV12" s="714"/>
      <c r="AW12" s="714"/>
      <c r="AX12" s="714"/>
      <c r="AY12" s="714"/>
      <c r="AZ12" s="714"/>
      <c r="BA12" s="714"/>
      <c r="BB12" s="714"/>
      <c r="BC12" s="715"/>
    </row>
    <row r="13" spans="2:55" ht="15" thickBot="1">
      <c r="B13" s="716"/>
      <c r="C13" s="717"/>
      <c r="D13" s="717"/>
      <c r="E13" s="717"/>
      <c r="F13" s="717"/>
      <c r="G13" s="717"/>
      <c r="H13" s="717"/>
      <c r="I13" s="717"/>
      <c r="J13" s="717"/>
      <c r="K13" s="718"/>
      <c r="L13" s="6"/>
      <c r="M13" s="716"/>
      <c r="N13" s="717"/>
      <c r="O13" s="717"/>
      <c r="P13" s="717"/>
      <c r="Q13" s="717"/>
      <c r="R13" s="717"/>
      <c r="S13" s="717"/>
      <c r="T13" s="717"/>
      <c r="U13" s="717"/>
      <c r="V13" s="718"/>
      <c r="W13" s="6"/>
      <c r="X13" s="716"/>
      <c r="Y13" s="717"/>
      <c r="Z13" s="717"/>
      <c r="AA13" s="717"/>
      <c r="AB13" s="717"/>
      <c r="AC13" s="717"/>
      <c r="AD13" s="717"/>
      <c r="AE13" s="717"/>
      <c r="AF13" s="717"/>
      <c r="AG13" s="718"/>
      <c r="AI13" s="716"/>
      <c r="AJ13" s="717"/>
      <c r="AK13" s="717"/>
      <c r="AL13" s="717"/>
      <c r="AM13" s="717"/>
      <c r="AN13" s="717"/>
      <c r="AO13" s="717"/>
      <c r="AP13" s="717"/>
      <c r="AQ13" s="717"/>
      <c r="AR13" s="718"/>
      <c r="AT13" s="716"/>
      <c r="AU13" s="717"/>
      <c r="AV13" s="717"/>
      <c r="AW13" s="717"/>
      <c r="AX13" s="717"/>
      <c r="AY13" s="717"/>
      <c r="AZ13" s="717"/>
      <c r="BA13" s="717"/>
      <c r="BB13" s="717"/>
      <c r="BC13" s="718"/>
    </row>
    <row r="14" spans="2:55" ht="15" thickTop="1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T14" s="6"/>
      <c r="AU14" s="6"/>
      <c r="AV14" s="6"/>
      <c r="AW14" s="6"/>
      <c r="AX14" s="6"/>
      <c r="AY14" s="6"/>
      <c r="AZ14" s="6"/>
      <c r="BA14" s="6"/>
      <c r="BB14" s="6"/>
    </row>
    <row r="15" spans="2:55">
      <c r="B15" s="289">
        <f t="shared" ref="B15:I15" ca="1" si="0">EOMONTH(C15,-1)</f>
        <v>44500</v>
      </c>
      <c r="C15" s="289">
        <f t="shared" ca="1" si="0"/>
        <v>44530</v>
      </c>
      <c r="D15" s="289">
        <f t="shared" ca="1" si="0"/>
        <v>44561</v>
      </c>
      <c r="E15" s="289">
        <f t="shared" ca="1" si="0"/>
        <v>44592</v>
      </c>
      <c r="F15" s="289">
        <f t="shared" ca="1" si="0"/>
        <v>44620</v>
      </c>
      <c r="G15" s="289">
        <f t="shared" ca="1" si="0"/>
        <v>44651</v>
      </c>
      <c r="H15" s="290">
        <f t="shared" ca="1" si="0"/>
        <v>44681</v>
      </c>
      <c r="I15" s="289">
        <f t="shared" ca="1" si="0"/>
        <v>44712</v>
      </c>
      <c r="J15" s="291">
        <f ca="1">TODAY()</f>
        <v>44736</v>
      </c>
      <c r="K15" s="292" t="s">
        <v>561</v>
      </c>
      <c r="L15" s="6"/>
      <c r="M15" s="289">
        <f t="shared" ref="M15:T15" ca="1" si="1">EOMONTH(N15,-1)</f>
        <v>44500</v>
      </c>
      <c r="N15" s="289">
        <f t="shared" ca="1" si="1"/>
        <v>44530</v>
      </c>
      <c r="O15" s="289">
        <f t="shared" ca="1" si="1"/>
        <v>44561</v>
      </c>
      <c r="P15" s="289">
        <f t="shared" ca="1" si="1"/>
        <v>44592</v>
      </c>
      <c r="Q15" s="289">
        <f t="shared" ca="1" si="1"/>
        <v>44620</v>
      </c>
      <c r="R15" s="289">
        <f t="shared" ca="1" si="1"/>
        <v>44651</v>
      </c>
      <c r="S15" s="290">
        <f t="shared" ca="1" si="1"/>
        <v>44681</v>
      </c>
      <c r="T15" s="289">
        <f t="shared" ca="1" si="1"/>
        <v>44712</v>
      </c>
      <c r="U15" s="291">
        <f ca="1">TODAY()</f>
        <v>44736</v>
      </c>
      <c r="V15" s="292" t="s">
        <v>561</v>
      </c>
      <c r="W15" s="6"/>
      <c r="X15" s="289">
        <f t="shared" ref="X15:AE15" ca="1" si="2">EOMONTH(Y15,-1)</f>
        <v>44500</v>
      </c>
      <c r="Y15" s="289">
        <f t="shared" ca="1" si="2"/>
        <v>44530</v>
      </c>
      <c r="Z15" s="289">
        <f t="shared" ca="1" si="2"/>
        <v>44561</v>
      </c>
      <c r="AA15" s="289">
        <f t="shared" ca="1" si="2"/>
        <v>44592</v>
      </c>
      <c r="AB15" s="289">
        <f t="shared" ca="1" si="2"/>
        <v>44620</v>
      </c>
      <c r="AC15" s="289">
        <f t="shared" ca="1" si="2"/>
        <v>44651</v>
      </c>
      <c r="AD15" s="290">
        <f t="shared" ca="1" si="2"/>
        <v>44681</v>
      </c>
      <c r="AE15" s="289">
        <f t="shared" ca="1" si="2"/>
        <v>44712</v>
      </c>
      <c r="AF15" s="291">
        <f ca="1">TODAY()</f>
        <v>44736</v>
      </c>
      <c r="AG15" s="292" t="s">
        <v>561</v>
      </c>
      <c r="AI15" s="289">
        <f t="shared" ref="AI15:AP15" ca="1" si="3">EOMONTH(AJ15,-1)</f>
        <v>44500</v>
      </c>
      <c r="AJ15" s="289">
        <f t="shared" ca="1" si="3"/>
        <v>44530</v>
      </c>
      <c r="AK15" s="289">
        <f t="shared" ca="1" si="3"/>
        <v>44561</v>
      </c>
      <c r="AL15" s="289">
        <f t="shared" ca="1" si="3"/>
        <v>44592</v>
      </c>
      <c r="AM15" s="289">
        <f t="shared" ca="1" si="3"/>
        <v>44620</v>
      </c>
      <c r="AN15" s="289">
        <f t="shared" ca="1" si="3"/>
        <v>44651</v>
      </c>
      <c r="AO15" s="290">
        <f t="shared" ca="1" si="3"/>
        <v>44681</v>
      </c>
      <c r="AP15" s="289">
        <f t="shared" ca="1" si="3"/>
        <v>44712</v>
      </c>
      <c r="AQ15" s="291">
        <f ca="1">TODAY()</f>
        <v>44736</v>
      </c>
      <c r="AR15" s="292" t="s">
        <v>561</v>
      </c>
      <c r="AT15" s="289">
        <f t="shared" ref="AT15:BA15" ca="1" si="4">EOMONTH(AU15,-1)</f>
        <v>44500</v>
      </c>
      <c r="AU15" s="289">
        <f t="shared" ca="1" si="4"/>
        <v>44530</v>
      </c>
      <c r="AV15" s="289">
        <f t="shared" ca="1" si="4"/>
        <v>44561</v>
      </c>
      <c r="AW15" s="289">
        <f t="shared" ca="1" si="4"/>
        <v>44592</v>
      </c>
      <c r="AX15" s="289">
        <f t="shared" ca="1" si="4"/>
        <v>44620</v>
      </c>
      <c r="AY15" s="289">
        <f t="shared" ca="1" si="4"/>
        <v>44651</v>
      </c>
      <c r="AZ15" s="290">
        <f t="shared" ca="1" si="4"/>
        <v>44681</v>
      </c>
      <c r="BA15" s="289">
        <f t="shared" ca="1" si="4"/>
        <v>44712</v>
      </c>
      <c r="BB15" s="291">
        <f ca="1">TODAY()</f>
        <v>44736</v>
      </c>
      <c r="BC15" s="292" t="s">
        <v>561</v>
      </c>
    </row>
    <row r="16" spans="2:55">
      <c r="B16" s="695">
        <v>10000</v>
      </c>
      <c r="C16" s="695">
        <v>10000</v>
      </c>
      <c r="D16" s="695">
        <v>10000</v>
      </c>
      <c r="E16" s="695">
        <v>10000</v>
      </c>
      <c r="F16" s="6">
        <v>10000</v>
      </c>
      <c r="G16" s="6">
        <v>10000</v>
      </c>
      <c r="H16" s="6">
        <v>10000</v>
      </c>
      <c r="I16" s="6">
        <v>10000</v>
      </c>
      <c r="J16" s="6"/>
      <c r="K16" s="6">
        <v>10477.5</v>
      </c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2:55" ht="15" thickBot="1">
      <c r="B17" s="293"/>
      <c r="C17" s="293"/>
      <c r="E17" s="293"/>
      <c r="F17" s="293"/>
      <c r="G17" s="293"/>
      <c r="H17" s="293"/>
      <c r="I17" s="293"/>
      <c r="J17" s="293"/>
      <c r="K17" s="293"/>
      <c r="L17" s="6"/>
      <c r="M17" s="293"/>
      <c r="N17" s="293"/>
      <c r="O17" s="293"/>
      <c r="P17" s="293"/>
      <c r="Q17" s="293"/>
      <c r="R17" s="293"/>
      <c r="S17" s="293"/>
      <c r="T17" s="293"/>
      <c r="U17" s="293"/>
      <c r="V17" s="293"/>
      <c r="W17" s="6"/>
      <c r="X17" s="293"/>
      <c r="Y17" s="293"/>
      <c r="Z17" s="293"/>
      <c r="AA17" s="293"/>
      <c r="AB17" s="293"/>
      <c r="AC17" s="293"/>
      <c r="AD17" s="293"/>
      <c r="AE17" s="293"/>
      <c r="AF17" s="293"/>
      <c r="AG17" s="293"/>
      <c r="AI17" s="293"/>
      <c r="AJ17" s="293"/>
      <c r="AK17" s="293"/>
      <c r="AL17" s="293"/>
      <c r="AM17" s="293"/>
      <c r="AN17" s="293"/>
      <c r="AO17" s="293"/>
      <c r="AP17" s="293"/>
      <c r="AQ17" s="293"/>
      <c r="AR17" s="293"/>
      <c r="AT17" s="293"/>
      <c r="AU17" s="293"/>
      <c r="AV17" s="293"/>
      <c r="AW17" s="293"/>
      <c r="AX17" s="293"/>
      <c r="AY17" s="293"/>
      <c r="AZ17" s="293"/>
      <c r="BA17" s="293"/>
      <c r="BB17" s="293"/>
      <c r="BC17" s="293"/>
    </row>
    <row r="18" spans="2:55" hidden="1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2:55" hidden="1">
      <c r="B19" s="293"/>
      <c r="C19" s="293"/>
      <c r="D19" s="293"/>
      <c r="E19" s="293"/>
      <c r="F19" s="293"/>
      <c r="G19" s="293"/>
      <c r="H19" s="293"/>
      <c r="I19" s="293"/>
      <c r="J19" s="293"/>
      <c r="K19" s="293"/>
      <c r="L19" s="6"/>
      <c r="M19" s="293"/>
      <c r="N19" s="293"/>
      <c r="O19" s="293"/>
      <c r="P19" s="293"/>
      <c r="Q19" s="293"/>
      <c r="R19" s="293"/>
      <c r="S19" s="293"/>
      <c r="T19" s="293"/>
      <c r="U19" s="293"/>
      <c r="V19" s="293"/>
      <c r="W19" s="6"/>
      <c r="X19" s="293"/>
      <c r="Y19" s="293"/>
      <c r="Z19" s="293"/>
      <c r="AA19" s="293"/>
      <c r="AB19" s="293"/>
      <c r="AC19" s="293"/>
      <c r="AD19" s="293"/>
      <c r="AE19" s="293"/>
      <c r="AF19" s="293"/>
      <c r="AG19" s="293"/>
      <c r="AI19" s="293"/>
      <c r="AJ19" s="293"/>
      <c r="AK19" s="293"/>
      <c r="AL19" s="293"/>
      <c r="AM19" s="293"/>
      <c r="AN19" s="293"/>
      <c r="AO19" s="293"/>
      <c r="AP19" s="293"/>
      <c r="AQ19" s="293"/>
      <c r="AR19" s="293"/>
      <c r="AT19" s="293"/>
      <c r="AU19" s="293"/>
      <c r="AV19" s="293"/>
      <c r="AW19" s="293"/>
      <c r="AX19" s="293"/>
      <c r="AY19" s="293"/>
      <c r="AZ19" s="293"/>
      <c r="BA19" s="293"/>
      <c r="BB19" s="293"/>
      <c r="BC19" s="293"/>
    </row>
    <row r="20" spans="2:55" hidden="1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2:55" hidden="1">
      <c r="B21" s="293"/>
      <c r="C21" s="293"/>
      <c r="D21" s="293"/>
      <c r="E21" s="293"/>
      <c r="F21" s="293"/>
      <c r="G21" s="293"/>
      <c r="H21" s="293"/>
      <c r="I21" s="293"/>
      <c r="J21" s="293"/>
      <c r="K21" s="293"/>
      <c r="L21" s="6"/>
      <c r="M21" s="293"/>
      <c r="N21" s="293"/>
      <c r="O21" s="293"/>
      <c r="P21" s="293"/>
      <c r="Q21" s="293"/>
      <c r="R21" s="293"/>
      <c r="S21" s="293"/>
      <c r="T21" s="293"/>
      <c r="U21" s="293"/>
      <c r="V21" s="293"/>
      <c r="W21" s="6"/>
      <c r="X21" s="293"/>
      <c r="Y21" s="293"/>
      <c r="Z21" s="293"/>
      <c r="AA21" s="293"/>
      <c r="AB21" s="293"/>
      <c r="AC21" s="293"/>
      <c r="AD21" s="293"/>
      <c r="AE21" s="293"/>
      <c r="AF21" s="293"/>
      <c r="AG21" s="293"/>
      <c r="AI21" s="293"/>
      <c r="AJ21" s="293"/>
      <c r="AK21" s="293"/>
      <c r="AL21" s="293"/>
      <c r="AM21" s="293"/>
      <c r="AN21" s="293"/>
      <c r="AO21" s="293"/>
      <c r="AP21" s="293"/>
      <c r="AQ21" s="293"/>
      <c r="AR21" s="293"/>
      <c r="AT21" s="293"/>
      <c r="AU21" s="293"/>
      <c r="AV21" s="293"/>
      <c r="AW21" s="293"/>
      <c r="AX21" s="293"/>
      <c r="AY21" s="293"/>
      <c r="AZ21" s="293"/>
      <c r="BA21" s="293"/>
      <c r="BB21" s="293"/>
      <c r="BC21" s="293"/>
    </row>
    <row r="22" spans="2:55" hidden="1">
      <c r="B22" s="6"/>
      <c r="C22" s="6"/>
      <c r="D22" s="6"/>
      <c r="E22" s="288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2:55" hidden="1">
      <c r="B23" s="293"/>
      <c r="C23" s="293"/>
      <c r="D23" s="293"/>
      <c r="E23" s="293"/>
      <c r="F23" s="293"/>
      <c r="G23" s="293"/>
      <c r="H23" s="293"/>
      <c r="I23" s="293"/>
      <c r="J23" s="293"/>
      <c r="K23" s="293"/>
      <c r="L23" s="6"/>
      <c r="M23" s="293"/>
      <c r="N23" s="293"/>
      <c r="O23" s="293"/>
      <c r="P23" s="293"/>
      <c r="Q23" s="293"/>
      <c r="R23" s="293"/>
      <c r="S23" s="293"/>
      <c r="T23" s="293"/>
      <c r="U23" s="293"/>
      <c r="V23" s="293"/>
      <c r="W23" s="6"/>
      <c r="X23" s="293"/>
      <c r="Y23" s="293"/>
      <c r="Z23" s="293"/>
      <c r="AA23" s="293"/>
      <c r="AB23" s="293"/>
      <c r="AC23" s="293"/>
      <c r="AD23" s="293"/>
      <c r="AE23" s="293"/>
      <c r="AF23" s="293"/>
      <c r="AG23" s="293"/>
      <c r="AI23" s="293"/>
      <c r="AJ23" s="293"/>
      <c r="AK23" s="293"/>
      <c r="AL23" s="293"/>
      <c r="AM23" s="293"/>
      <c r="AN23" s="293"/>
      <c r="AO23" s="293"/>
      <c r="AP23" s="293"/>
      <c r="AQ23" s="293"/>
      <c r="AR23" s="293"/>
      <c r="AT23" s="293"/>
      <c r="AU23" s="293"/>
      <c r="AV23" s="293"/>
      <c r="AW23" s="293"/>
      <c r="AX23" s="293"/>
      <c r="AY23" s="293"/>
      <c r="AZ23" s="293"/>
      <c r="BA23" s="293"/>
      <c r="BB23" s="293"/>
      <c r="BC23" s="293"/>
    </row>
    <row r="24" spans="2:55" hidden="1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2:55" hidden="1">
      <c r="B25" s="293"/>
      <c r="C25" s="293"/>
      <c r="D25" s="293"/>
      <c r="E25" s="293"/>
      <c r="F25" s="293"/>
      <c r="G25" s="293"/>
      <c r="H25" s="293"/>
      <c r="I25" s="293"/>
      <c r="J25" s="293"/>
      <c r="K25" s="293"/>
      <c r="L25" s="6"/>
      <c r="M25" s="293"/>
      <c r="N25" s="293"/>
      <c r="O25" s="293"/>
      <c r="P25" s="293"/>
      <c r="Q25" s="293"/>
      <c r="R25" s="293"/>
      <c r="S25" s="293"/>
      <c r="T25" s="293"/>
      <c r="U25" s="293"/>
      <c r="V25" s="293"/>
      <c r="W25" s="6"/>
      <c r="X25" s="293"/>
      <c r="Y25" s="293"/>
      <c r="Z25" s="293"/>
      <c r="AA25" s="293"/>
      <c r="AB25" s="293"/>
      <c r="AC25" s="293"/>
      <c r="AD25" s="293"/>
      <c r="AE25" s="293"/>
      <c r="AF25" s="293"/>
      <c r="AG25" s="293"/>
      <c r="AI25" s="293"/>
      <c r="AJ25" s="293"/>
      <c r="AK25" s="293"/>
      <c r="AL25" s="293"/>
      <c r="AM25" s="293"/>
      <c r="AN25" s="293"/>
      <c r="AO25" s="293"/>
      <c r="AP25" s="293"/>
      <c r="AQ25" s="293"/>
      <c r="AR25" s="293"/>
      <c r="AT25" s="293"/>
      <c r="AU25" s="293"/>
      <c r="AV25" s="293"/>
      <c r="AW25" s="293"/>
      <c r="AX25" s="293"/>
      <c r="AY25" s="293"/>
      <c r="AZ25" s="293"/>
      <c r="BA25" s="293"/>
      <c r="BB25" s="293"/>
      <c r="BC25" s="293"/>
    </row>
    <row r="26" spans="2:55" hidden="1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2:55" hidden="1">
      <c r="B27" s="293"/>
      <c r="C27" s="293"/>
      <c r="D27" s="293"/>
      <c r="E27" s="293"/>
      <c r="F27" s="293"/>
      <c r="G27" s="293"/>
      <c r="H27" s="293"/>
      <c r="I27" s="293"/>
      <c r="J27" s="293"/>
      <c r="K27" s="293"/>
      <c r="L27" s="6"/>
      <c r="M27" s="293"/>
      <c r="N27" s="293"/>
      <c r="O27" s="293"/>
      <c r="P27" s="293"/>
      <c r="Q27" s="293"/>
      <c r="R27" s="293"/>
      <c r="S27" s="293"/>
      <c r="T27" s="293"/>
      <c r="U27" s="293"/>
      <c r="V27" s="293"/>
      <c r="W27" s="6"/>
      <c r="X27" s="293"/>
      <c r="Y27" s="293"/>
      <c r="Z27" s="293"/>
      <c r="AA27" s="293"/>
      <c r="AB27" s="293"/>
      <c r="AC27" s="293"/>
      <c r="AD27" s="293"/>
      <c r="AE27" s="293"/>
      <c r="AF27" s="293"/>
      <c r="AG27" s="293"/>
      <c r="AI27" s="293"/>
      <c r="AJ27" s="293"/>
      <c r="AK27" s="293"/>
      <c r="AL27" s="293"/>
      <c r="AM27" s="293"/>
      <c r="AN27" s="293"/>
      <c r="AO27" s="293"/>
      <c r="AP27" s="293"/>
      <c r="AQ27" s="293"/>
      <c r="AR27" s="293"/>
      <c r="AT27" s="293"/>
      <c r="AU27" s="293"/>
      <c r="AV27" s="293"/>
      <c r="AW27" s="293"/>
      <c r="AX27" s="293"/>
      <c r="AY27" s="293"/>
      <c r="AZ27" s="293"/>
      <c r="BA27" s="293"/>
      <c r="BB27" s="293"/>
      <c r="BC27" s="293"/>
    </row>
    <row r="28" spans="2:55" hidden="1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2:55" hidden="1">
      <c r="B29" s="293"/>
      <c r="C29" s="293"/>
      <c r="D29" s="293"/>
      <c r="E29" s="293"/>
      <c r="F29" s="293"/>
      <c r="G29" s="293"/>
      <c r="H29" s="293"/>
      <c r="I29" s="293"/>
      <c r="J29" s="293"/>
      <c r="K29" s="293"/>
      <c r="L29" s="6"/>
      <c r="M29" s="293"/>
      <c r="N29" s="293"/>
      <c r="O29" s="293"/>
      <c r="P29" s="293"/>
      <c r="Q29" s="293"/>
      <c r="R29" s="293"/>
      <c r="S29" s="293"/>
      <c r="T29" s="293"/>
      <c r="U29" s="293"/>
      <c r="V29" s="293"/>
      <c r="W29" s="6"/>
      <c r="X29" s="293"/>
      <c r="Y29" s="293"/>
      <c r="Z29" s="293"/>
      <c r="AA29" s="293"/>
      <c r="AB29" s="293"/>
      <c r="AC29" s="293"/>
      <c r="AD29" s="293"/>
      <c r="AE29" s="293"/>
      <c r="AF29" s="293"/>
      <c r="AG29" s="293"/>
      <c r="AI29" s="293"/>
      <c r="AJ29" s="293"/>
      <c r="AK29" s="293"/>
      <c r="AL29" s="293"/>
      <c r="AM29" s="293"/>
      <c r="AN29" s="293"/>
      <c r="AO29" s="293"/>
      <c r="AP29" s="293"/>
      <c r="AQ29" s="293"/>
      <c r="AR29" s="293"/>
      <c r="AT29" s="293"/>
      <c r="AU29" s="293"/>
      <c r="AV29" s="293"/>
      <c r="AW29" s="293"/>
      <c r="AX29" s="293"/>
      <c r="AY29" s="293"/>
      <c r="AZ29" s="293"/>
      <c r="BA29" s="293"/>
      <c r="BB29" s="293"/>
      <c r="BC29" s="293"/>
    </row>
    <row r="30" spans="2:55" hidden="1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2:55" hidden="1">
      <c r="B31" s="293"/>
      <c r="C31" s="293"/>
      <c r="D31" s="293"/>
      <c r="E31" s="293"/>
      <c r="F31" s="293"/>
      <c r="G31" s="293"/>
      <c r="H31" s="293"/>
      <c r="I31" s="293"/>
      <c r="J31" s="293"/>
      <c r="K31" s="293"/>
      <c r="L31" s="6"/>
      <c r="M31" s="293"/>
      <c r="N31" s="293"/>
      <c r="O31" s="293"/>
      <c r="P31" s="293"/>
      <c r="Q31" s="293"/>
      <c r="R31" s="293"/>
      <c r="S31" s="293"/>
      <c r="T31" s="293"/>
      <c r="U31" s="293"/>
      <c r="V31" s="293"/>
      <c r="W31" s="6"/>
      <c r="X31" s="293"/>
      <c r="Y31" s="293"/>
      <c r="Z31" s="293"/>
      <c r="AA31" s="293"/>
      <c r="AB31" s="293"/>
      <c r="AC31" s="293"/>
      <c r="AD31" s="293"/>
      <c r="AE31" s="293"/>
      <c r="AF31" s="293"/>
      <c r="AG31" s="293"/>
      <c r="AI31" s="293"/>
      <c r="AJ31" s="293"/>
      <c r="AK31" s="293"/>
      <c r="AL31" s="293"/>
      <c r="AM31" s="293"/>
      <c r="AN31" s="293"/>
      <c r="AO31" s="293"/>
      <c r="AP31" s="293"/>
      <c r="AQ31" s="293"/>
      <c r="AR31" s="293"/>
      <c r="AT31" s="293"/>
      <c r="AU31" s="293"/>
      <c r="AV31" s="293"/>
      <c r="AW31" s="293"/>
      <c r="AX31" s="293"/>
      <c r="AY31" s="293"/>
      <c r="AZ31" s="293"/>
      <c r="BA31" s="293"/>
      <c r="BB31" s="293"/>
      <c r="BC31" s="293"/>
    </row>
    <row r="32" spans="2:55" hidden="1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2:55" hidden="1">
      <c r="B33" s="293"/>
      <c r="C33" s="293"/>
      <c r="D33" s="293"/>
      <c r="E33" s="293"/>
      <c r="F33" s="293"/>
      <c r="G33" s="293"/>
      <c r="H33" s="293"/>
      <c r="I33" s="293"/>
      <c r="J33" s="293"/>
      <c r="K33" s="293"/>
      <c r="L33" s="6"/>
      <c r="M33" s="293"/>
      <c r="N33" s="293"/>
      <c r="O33" s="293"/>
      <c r="P33" s="293"/>
      <c r="Q33" s="293"/>
      <c r="R33" s="293"/>
      <c r="S33" s="293"/>
      <c r="T33" s="293"/>
      <c r="U33" s="293"/>
      <c r="V33" s="293"/>
      <c r="W33" s="6"/>
      <c r="X33" s="293"/>
      <c r="Y33" s="293"/>
      <c r="Z33" s="293"/>
      <c r="AA33" s="293"/>
      <c r="AB33" s="293"/>
      <c r="AC33" s="293"/>
      <c r="AD33" s="293"/>
      <c r="AE33" s="293"/>
      <c r="AF33" s="293"/>
      <c r="AG33" s="293"/>
      <c r="AI33" s="293"/>
      <c r="AJ33" s="293"/>
      <c r="AK33" s="293"/>
      <c r="AL33" s="293"/>
      <c r="AM33" s="293"/>
      <c r="AN33" s="293"/>
      <c r="AO33" s="293"/>
      <c r="AP33" s="293"/>
      <c r="AQ33" s="293"/>
      <c r="AR33" s="293"/>
      <c r="AT33" s="293"/>
      <c r="AU33" s="293"/>
      <c r="AV33" s="293"/>
      <c r="AW33" s="293"/>
      <c r="AX33" s="293"/>
      <c r="AY33" s="293"/>
      <c r="AZ33" s="293"/>
      <c r="BA33" s="293"/>
      <c r="BB33" s="293"/>
      <c r="BC33" s="293"/>
    </row>
    <row r="34" spans="2:55" hidden="1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2:55" hidden="1">
      <c r="B35" s="293"/>
      <c r="C35" s="293"/>
      <c r="D35" s="293"/>
      <c r="E35" s="293"/>
      <c r="F35" s="293"/>
      <c r="G35" s="293"/>
      <c r="H35" s="293"/>
      <c r="I35" s="293"/>
      <c r="J35" s="293"/>
      <c r="K35" s="293"/>
      <c r="L35" s="6"/>
      <c r="M35" s="293"/>
      <c r="N35" s="293"/>
      <c r="O35" s="293"/>
      <c r="P35" s="293"/>
      <c r="Q35" s="293"/>
      <c r="R35" s="293"/>
      <c r="S35" s="293"/>
      <c r="T35" s="293"/>
      <c r="U35" s="293"/>
      <c r="V35" s="293"/>
      <c r="W35" s="6"/>
      <c r="X35" s="293"/>
      <c r="Y35" s="293"/>
      <c r="Z35" s="293"/>
      <c r="AA35" s="293"/>
      <c r="AB35" s="293"/>
      <c r="AC35" s="293"/>
      <c r="AD35" s="293"/>
      <c r="AE35" s="293"/>
      <c r="AF35" s="293"/>
      <c r="AG35" s="293"/>
      <c r="AI35" s="293"/>
      <c r="AJ35" s="293"/>
      <c r="AK35" s="293"/>
      <c r="AL35" s="293"/>
      <c r="AM35" s="293"/>
      <c r="AN35" s="293"/>
      <c r="AO35" s="293"/>
      <c r="AP35" s="293"/>
      <c r="AQ35" s="293"/>
      <c r="AR35" s="293"/>
      <c r="AT35" s="293"/>
      <c r="AU35" s="293"/>
      <c r="AV35" s="293"/>
      <c r="AW35" s="293"/>
      <c r="AX35" s="293"/>
      <c r="AY35" s="293"/>
      <c r="AZ35" s="293"/>
      <c r="BA35" s="293"/>
      <c r="BB35" s="293"/>
      <c r="BC35" s="293"/>
    </row>
    <row r="36" spans="2:55" hidden="1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2:55" hidden="1">
      <c r="B37" s="293"/>
      <c r="C37" s="293"/>
      <c r="D37" s="293"/>
      <c r="E37" s="293"/>
      <c r="F37" s="293"/>
      <c r="G37" s="293"/>
      <c r="H37" s="293"/>
      <c r="I37" s="293"/>
      <c r="J37" s="293"/>
      <c r="K37" s="293"/>
      <c r="L37" s="6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6"/>
      <c r="X37" s="293"/>
      <c r="Y37" s="293"/>
      <c r="Z37" s="293"/>
      <c r="AA37" s="293"/>
      <c r="AB37" s="293"/>
      <c r="AC37" s="293"/>
      <c r="AD37" s="293"/>
      <c r="AE37" s="293"/>
      <c r="AF37" s="293"/>
      <c r="AG37" s="293"/>
      <c r="AI37" s="293"/>
      <c r="AJ37" s="293"/>
      <c r="AK37" s="293"/>
      <c r="AL37" s="293"/>
      <c r="AM37" s="293"/>
      <c r="AN37" s="293"/>
      <c r="AO37" s="293"/>
      <c r="AP37" s="293"/>
      <c r="AQ37" s="293"/>
      <c r="AR37" s="293"/>
      <c r="AT37" s="293"/>
      <c r="AU37" s="293"/>
      <c r="AV37" s="293"/>
      <c r="AW37" s="293"/>
      <c r="AX37" s="293"/>
      <c r="AY37" s="293"/>
      <c r="AZ37" s="293"/>
      <c r="BA37" s="293"/>
      <c r="BB37" s="293"/>
      <c r="BC37" s="293"/>
    </row>
    <row r="38" spans="2:55" hidden="1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T38" s="6"/>
      <c r="AU38" s="6"/>
      <c r="AV38" s="6"/>
      <c r="AW38" s="6"/>
      <c r="AX38" s="6"/>
      <c r="AY38" s="6"/>
      <c r="AZ38" s="6"/>
      <c r="BA38" s="6"/>
      <c r="BB38" s="6"/>
      <c r="BC38" s="6"/>
    </row>
    <row r="39" spans="2:55" hidden="1">
      <c r="B39" s="293"/>
      <c r="C39" s="293"/>
      <c r="D39" s="293"/>
      <c r="E39" s="293"/>
      <c r="F39" s="293"/>
      <c r="G39" s="293"/>
      <c r="H39" s="293"/>
      <c r="I39" s="293"/>
      <c r="J39" s="293"/>
      <c r="K39" s="293"/>
      <c r="L39" s="6"/>
      <c r="M39" s="293"/>
      <c r="N39" s="293"/>
      <c r="O39" s="293"/>
      <c r="P39" s="293"/>
      <c r="Q39" s="293"/>
      <c r="R39" s="293"/>
      <c r="S39" s="293"/>
      <c r="T39" s="293"/>
      <c r="U39" s="293"/>
      <c r="V39" s="293"/>
      <c r="W39" s="6"/>
      <c r="X39" s="293"/>
      <c r="Y39" s="293"/>
      <c r="Z39" s="293"/>
      <c r="AA39" s="293"/>
      <c r="AB39" s="293"/>
      <c r="AC39" s="293"/>
      <c r="AD39" s="293"/>
      <c r="AE39" s="293"/>
      <c r="AF39" s="293"/>
      <c r="AG39" s="293"/>
      <c r="AI39" s="293"/>
      <c r="AJ39" s="293"/>
      <c r="AK39" s="293"/>
      <c r="AL39" s="293"/>
      <c r="AM39" s="293"/>
      <c r="AN39" s="293"/>
      <c r="AO39" s="293"/>
      <c r="AP39" s="293"/>
      <c r="AQ39" s="293"/>
      <c r="AR39" s="293"/>
      <c r="AT39" s="293"/>
      <c r="AU39" s="293"/>
      <c r="AV39" s="293"/>
      <c r="AW39" s="293"/>
      <c r="AX39" s="293"/>
      <c r="AY39" s="293"/>
      <c r="AZ39" s="293"/>
      <c r="BA39" s="293"/>
      <c r="BB39" s="293"/>
      <c r="BC39" s="293"/>
    </row>
    <row r="40" spans="2:55" hidden="1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2:55" hidden="1">
      <c r="B41" s="293"/>
      <c r="C41" s="293"/>
      <c r="D41" s="293"/>
      <c r="E41" s="293"/>
      <c r="F41" s="293"/>
      <c r="G41" s="293"/>
      <c r="H41" s="293"/>
      <c r="I41" s="293"/>
      <c r="J41" s="293"/>
      <c r="K41" s="293"/>
      <c r="L41" s="6"/>
      <c r="M41" s="293"/>
      <c r="N41" s="293"/>
      <c r="O41" s="293"/>
      <c r="P41" s="293"/>
      <c r="Q41" s="293"/>
      <c r="R41" s="293"/>
      <c r="S41" s="293"/>
      <c r="T41" s="293"/>
      <c r="U41" s="293"/>
      <c r="V41" s="293"/>
      <c r="W41" s="6"/>
      <c r="X41" s="293"/>
      <c r="Y41" s="293"/>
      <c r="Z41" s="293"/>
      <c r="AA41" s="293"/>
      <c r="AB41" s="293"/>
      <c r="AC41" s="293"/>
      <c r="AD41" s="293"/>
      <c r="AE41" s="293"/>
      <c r="AF41" s="293"/>
      <c r="AG41" s="293"/>
      <c r="AI41" s="293"/>
      <c r="AJ41" s="293"/>
      <c r="AK41" s="293"/>
      <c r="AL41" s="293"/>
      <c r="AM41" s="293"/>
      <c r="AN41" s="293"/>
      <c r="AO41" s="293"/>
      <c r="AP41" s="293"/>
      <c r="AQ41" s="293"/>
      <c r="AR41" s="293"/>
      <c r="AT41" s="293"/>
      <c r="AU41" s="293"/>
      <c r="AV41" s="293"/>
      <c r="AW41" s="293"/>
      <c r="AX41" s="293"/>
      <c r="AY41" s="293"/>
      <c r="AZ41" s="293"/>
      <c r="BA41" s="293"/>
      <c r="BB41" s="293"/>
      <c r="BC41" s="293"/>
    </row>
    <row r="42" spans="2:55" hidden="1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2:55" hidden="1">
      <c r="B43" s="293"/>
      <c r="C43" s="293"/>
      <c r="D43" s="293"/>
      <c r="E43" s="293"/>
      <c r="F43" s="293"/>
      <c r="G43" s="293"/>
      <c r="H43" s="293"/>
      <c r="I43" s="293"/>
      <c r="J43" s="293"/>
      <c r="K43" s="293"/>
      <c r="L43" s="6"/>
      <c r="M43" s="293"/>
      <c r="N43" s="293"/>
      <c r="O43" s="293"/>
      <c r="P43" s="293"/>
      <c r="Q43" s="293"/>
      <c r="R43" s="293"/>
      <c r="S43" s="293"/>
      <c r="T43" s="293"/>
      <c r="U43" s="293"/>
      <c r="V43" s="293"/>
      <c r="W43" s="6"/>
      <c r="X43" s="293"/>
      <c r="Y43" s="293"/>
      <c r="Z43" s="293"/>
      <c r="AA43" s="293"/>
      <c r="AB43" s="293"/>
      <c r="AC43" s="293"/>
      <c r="AD43" s="293"/>
      <c r="AE43" s="293"/>
      <c r="AF43" s="293"/>
      <c r="AG43" s="293"/>
      <c r="AI43" s="293"/>
      <c r="AJ43" s="293"/>
      <c r="AK43" s="293"/>
      <c r="AL43" s="293"/>
      <c r="AM43" s="293"/>
      <c r="AN43" s="293"/>
      <c r="AO43" s="293"/>
      <c r="AP43" s="293"/>
      <c r="AQ43" s="293"/>
      <c r="AR43" s="293"/>
      <c r="AT43" s="293"/>
      <c r="AU43" s="293"/>
      <c r="AV43" s="293"/>
      <c r="AW43" s="293"/>
      <c r="AX43" s="293"/>
      <c r="AY43" s="293"/>
      <c r="AZ43" s="293"/>
      <c r="BA43" s="293"/>
      <c r="BB43" s="293"/>
      <c r="BC43" s="293"/>
    </row>
    <row r="44" spans="2:55" hidden="1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2:55" hidden="1">
      <c r="B45" s="293"/>
      <c r="C45" s="293"/>
      <c r="D45" s="293"/>
      <c r="E45" s="293"/>
      <c r="F45" s="293"/>
      <c r="G45" s="293"/>
      <c r="H45" s="293"/>
      <c r="I45" s="293"/>
      <c r="J45" s="293"/>
      <c r="K45" s="293"/>
      <c r="L45" s="6"/>
      <c r="M45" s="293"/>
      <c r="N45" s="293"/>
      <c r="O45" s="293"/>
      <c r="P45" s="293"/>
      <c r="Q45" s="293"/>
      <c r="R45" s="293"/>
      <c r="S45" s="293"/>
      <c r="T45" s="293"/>
      <c r="U45" s="293"/>
      <c r="V45" s="293"/>
      <c r="W45" s="6"/>
      <c r="X45" s="293"/>
      <c r="Y45" s="293"/>
      <c r="Z45" s="293"/>
      <c r="AA45" s="293"/>
      <c r="AB45" s="293"/>
      <c r="AC45" s="293"/>
      <c r="AD45" s="293"/>
      <c r="AE45" s="293"/>
      <c r="AF45" s="293"/>
      <c r="AG45" s="293"/>
      <c r="AI45" s="293"/>
      <c r="AJ45" s="293"/>
      <c r="AK45" s="293"/>
      <c r="AL45" s="293"/>
      <c r="AM45" s="293"/>
      <c r="AN45" s="293"/>
      <c r="AO45" s="293"/>
      <c r="AP45" s="293"/>
      <c r="AQ45" s="293"/>
      <c r="AR45" s="293"/>
      <c r="AT45" s="293"/>
      <c r="AU45" s="293"/>
      <c r="AV45" s="293"/>
      <c r="AW45" s="293"/>
      <c r="AX45" s="293"/>
      <c r="AY45" s="293"/>
      <c r="AZ45" s="293"/>
      <c r="BA45" s="293"/>
      <c r="BB45" s="293"/>
      <c r="BC45" s="293"/>
    </row>
    <row r="46" spans="2:55" hidden="1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T46" s="6"/>
      <c r="AU46" s="6"/>
      <c r="AV46" s="6"/>
      <c r="AW46" s="6"/>
      <c r="AX46" s="6"/>
      <c r="AY46" s="6"/>
      <c r="AZ46" s="6"/>
      <c r="BA46" s="6"/>
      <c r="BB46" s="6"/>
      <c r="BC46" s="6"/>
    </row>
    <row r="47" spans="2:55" hidden="1">
      <c r="B47" s="293"/>
      <c r="C47" s="293"/>
      <c r="D47" s="293"/>
      <c r="E47" s="293"/>
      <c r="F47" s="293"/>
      <c r="G47" s="293"/>
      <c r="H47" s="293"/>
      <c r="I47" s="293"/>
      <c r="J47" s="293"/>
      <c r="K47" s="293"/>
      <c r="L47" s="6"/>
      <c r="M47" s="293"/>
      <c r="N47" s="293"/>
      <c r="O47" s="293"/>
      <c r="P47" s="293"/>
      <c r="Q47" s="293"/>
      <c r="R47" s="293"/>
      <c r="S47" s="293"/>
      <c r="T47" s="293"/>
      <c r="U47" s="293"/>
      <c r="V47" s="293"/>
      <c r="W47" s="6"/>
      <c r="X47" s="293"/>
      <c r="Y47" s="293"/>
      <c r="Z47" s="293"/>
      <c r="AA47" s="293"/>
      <c r="AB47" s="293"/>
      <c r="AC47" s="293"/>
      <c r="AD47" s="293"/>
      <c r="AE47" s="293"/>
      <c r="AF47" s="293"/>
      <c r="AG47" s="293"/>
      <c r="AI47" s="293"/>
      <c r="AJ47" s="293"/>
      <c r="AK47" s="293"/>
      <c r="AL47" s="293"/>
      <c r="AM47" s="293"/>
      <c r="AN47" s="293"/>
      <c r="AO47" s="293"/>
      <c r="AP47" s="293"/>
      <c r="AQ47" s="293"/>
      <c r="AR47" s="293"/>
      <c r="AT47" s="293"/>
      <c r="AU47" s="293"/>
      <c r="AV47" s="293"/>
      <c r="AW47" s="293"/>
      <c r="AX47" s="293"/>
      <c r="AY47" s="293"/>
      <c r="AZ47" s="293"/>
      <c r="BA47" s="293"/>
      <c r="BB47" s="293"/>
      <c r="BC47" s="293"/>
    </row>
    <row r="48" spans="2:55" ht="15" hidden="1" thickBot="1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2:55" ht="15.6" thickTop="1" thickBot="1">
      <c r="B49" s="294"/>
      <c r="C49" s="294"/>
      <c r="D49" s="294"/>
      <c r="E49" s="294"/>
      <c r="F49" s="294"/>
      <c r="G49" s="294"/>
      <c r="H49" s="294"/>
      <c r="I49" s="294"/>
      <c r="J49" s="294"/>
      <c r="K49" s="294"/>
      <c r="L49" s="6"/>
      <c r="M49" s="294"/>
      <c r="N49" s="294"/>
      <c r="O49" s="294"/>
      <c r="P49" s="294"/>
      <c r="Q49" s="294"/>
      <c r="R49" s="294"/>
      <c r="S49" s="294"/>
      <c r="T49" s="294"/>
      <c r="U49" s="294"/>
      <c r="V49" s="294"/>
      <c r="W49" s="6"/>
      <c r="X49" s="294"/>
      <c r="Y49" s="294"/>
      <c r="Z49" s="294"/>
      <c r="AA49" s="294"/>
      <c r="AB49" s="294"/>
      <c r="AC49" s="294"/>
      <c r="AD49" s="294"/>
      <c r="AE49" s="294"/>
      <c r="AF49" s="294"/>
      <c r="AG49" s="294"/>
      <c r="AI49" s="294"/>
      <c r="AJ49" s="294"/>
      <c r="AK49" s="294"/>
      <c r="AL49" s="294"/>
      <c r="AM49" s="294"/>
      <c r="AN49" s="294"/>
      <c r="AO49" s="294"/>
      <c r="AP49" s="294"/>
      <c r="AQ49" s="294"/>
      <c r="AR49" s="294"/>
      <c r="AT49" s="294"/>
      <c r="AU49" s="294"/>
      <c r="AV49" s="294"/>
      <c r="AW49" s="294"/>
      <c r="AX49" s="294"/>
      <c r="AY49" s="294"/>
      <c r="AZ49" s="294"/>
      <c r="BA49" s="294"/>
      <c r="BB49" s="294"/>
      <c r="BC49" s="294"/>
    </row>
    <row r="50" spans="2:55" ht="15.6" thickTop="1" thickBot="1">
      <c r="B50" s="295">
        <f>SUM(B16:B48)</f>
        <v>10000</v>
      </c>
      <c r="C50" s="295">
        <f t="shared" ref="C50:K50" si="5">SUM(C16:C48)</f>
        <v>10000</v>
      </c>
      <c r="D50" s="295">
        <f t="shared" si="5"/>
        <v>10000</v>
      </c>
      <c r="E50" s="295">
        <f>SUM(E16:E48)</f>
        <v>10000</v>
      </c>
      <c r="F50" s="295">
        <f t="shared" si="5"/>
        <v>10000</v>
      </c>
      <c r="G50" s="295">
        <f t="shared" si="5"/>
        <v>10000</v>
      </c>
      <c r="H50" s="295">
        <f t="shared" si="5"/>
        <v>10000</v>
      </c>
      <c r="I50" s="295">
        <f t="shared" si="5"/>
        <v>10000</v>
      </c>
      <c r="J50" s="295">
        <f t="shared" si="5"/>
        <v>0</v>
      </c>
      <c r="K50" s="295">
        <f t="shared" si="5"/>
        <v>10477.5</v>
      </c>
      <c r="L50" s="6"/>
      <c r="M50" s="295">
        <f>SUM(M16:M48)</f>
        <v>0</v>
      </c>
      <c r="N50" s="295">
        <f t="shared" ref="N50:V50" si="6">SUM(N16:N48)</f>
        <v>0</v>
      </c>
      <c r="O50" s="295">
        <f t="shared" si="6"/>
        <v>0</v>
      </c>
      <c r="P50" s="295">
        <f t="shared" si="6"/>
        <v>0</v>
      </c>
      <c r="Q50" s="295">
        <f t="shared" si="6"/>
        <v>0</v>
      </c>
      <c r="R50" s="295">
        <f t="shared" si="6"/>
        <v>0</v>
      </c>
      <c r="S50" s="295">
        <f t="shared" si="6"/>
        <v>0</v>
      </c>
      <c r="T50" s="295">
        <f t="shared" si="6"/>
        <v>0</v>
      </c>
      <c r="U50" s="295">
        <f t="shared" si="6"/>
        <v>0</v>
      </c>
      <c r="V50" s="295">
        <f t="shared" si="6"/>
        <v>0</v>
      </c>
      <c r="W50" s="6"/>
      <c r="X50" s="295">
        <f>SUM(X16:X48)</f>
        <v>0</v>
      </c>
      <c r="Y50" s="295">
        <f t="shared" ref="Y50:AG50" si="7">SUM(Y16:Y48)</f>
        <v>0</v>
      </c>
      <c r="Z50" s="295">
        <f t="shared" si="7"/>
        <v>0</v>
      </c>
      <c r="AA50" s="295">
        <f t="shared" si="7"/>
        <v>0</v>
      </c>
      <c r="AB50" s="295">
        <f t="shared" si="7"/>
        <v>0</v>
      </c>
      <c r="AC50" s="295">
        <f t="shared" si="7"/>
        <v>0</v>
      </c>
      <c r="AD50" s="295">
        <f t="shared" si="7"/>
        <v>0</v>
      </c>
      <c r="AE50" s="295">
        <f t="shared" si="7"/>
        <v>0</v>
      </c>
      <c r="AF50" s="295">
        <f t="shared" si="7"/>
        <v>0</v>
      </c>
      <c r="AG50" s="295">
        <f t="shared" si="7"/>
        <v>0</v>
      </c>
      <c r="AI50" s="295">
        <f>SUM(AI16:AI48)</f>
        <v>0</v>
      </c>
      <c r="AJ50" s="295">
        <f t="shared" ref="AJ50:AR50" si="8">SUM(AJ16:AJ48)</f>
        <v>0</v>
      </c>
      <c r="AK50" s="295">
        <f t="shared" si="8"/>
        <v>0</v>
      </c>
      <c r="AL50" s="295">
        <f t="shared" si="8"/>
        <v>0</v>
      </c>
      <c r="AM50" s="295">
        <f t="shared" si="8"/>
        <v>0</v>
      </c>
      <c r="AN50" s="295">
        <f t="shared" si="8"/>
        <v>0</v>
      </c>
      <c r="AO50" s="295">
        <f t="shared" si="8"/>
        <v>0</v>
      </c>
      <c r="AP50" s="295">
        <f t="shared" si="8"/>
        <v>0</v>
      </c>
      <c r="AQ50" s="295">
        <f t="shared" si="8"/>
        <v>0</v>
      </c>
      <c r="AR50" s="295">
        <f t="shared" si="8"/>
        <v>0</v>
      </c>
      <c r="AT50" s="295">
        <f>SUM(AT16:AT48)</f>
        <v>0</v>
      </c>
      <c r="AU50" s="295">
        <f t="shared" ref="AU50:BC50" si="9">SUM(AU16:AU48)</f>
        <v>0</v>
      </c>
      <c r="AV50" s="295">
        <f t="shared" si="9"/>
        <v>0</v>
      </c>
      <c r="AW50" s="295">
        <f t="shared" si="9"/>
        <v>0</v>
      </c>
      <c r="AX50" s="295">
        <f t="shared" si="9"/>
        <v>0</v>
      </c>
      <c r="AY50" s="295">
        <f t="shared" si="9"/>
        <v>0</v>
      </c>
      <c r="AZ50" s="295">
        <f t="shared" si="9"/>
        <v>0</v>
      </c>
      <c r="BA50" s="295">
        <f t="shared" si="9"/>
        <v>0</v>
      </c>
      <c r="BB50" s="295">
        <f t="shared" si="9"/>
        <v>0</v>
      </c>
      <c r="BC50" s="295">
        <f t="shared" si="9"/>
        <v>0</v>
      </c>
    </row>
    <row r="51" spans="2:55" ht="15" thickTop="1"/>
  </sheetData>
  <mergeCells count="10">
    <mergeCell ref="G4:K4"/>
    <mergeCell ref="R4:V4"/>
    <mergeCell ref="AC4:AG4"/>
    <mergeCell ref="AN4:AR4"/>
    <mergeCell ref="AY4:BC4"/>
    <mergeCell ref="B7:K13"/>
    <mergeCell ref="M7:V13"/>
    <mergeCell ref="X7:AG13"/>
    <mergeCell ref="AI7:AR13"/>
    <mergeCell ref="AT7:BC13"/>
  </mergeCells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0B610-AF59-4908-9170-B9E51FB41A95}">
  <sheetPr codeName="Planilha4">
    <tabColor rgb="FFC00000"/>
  </sheetPr>
  <dimension ref="A1:BH84"/>
  <sheetViews>
    <sheetView showGridLines="0" zoomScale="85" zoomScaleNormal="85" workbookViewId="0">
      <selection activeCell="O3" sqref="O3"/>
    </sheetView>
  </sheetViews>
  <sheetFormatPr defaultColWidth="5.5546875" defaultRowHeight="15.6" outlineLevelRow="1" outlineLevelCol="1"/>
  <cols>
    <col min="1" max="2" width="3.44140625" style="432" customWidth="1" outlineLevel="1"/>
    <col min="3" max="3" width="3.5546875" style="375" customWidth="1"/>
    <col min="4" max="4" width="12.44140625" style="375" customWidth="1" outlineLevel="1"/>
    <col min="5" max="5" width="25.5546875" style="375" customWidth="1"/>
    <col min="6" max="6" width="12.5546875" style="375" customWidth="1"/>
    <col min="7" max="7" width="11.44140625" style="375" customWidth="1" outlineLevel="1"/>
    <col min="8" max="8" width="10.5546875" style="375" customWidth="1" outlineLevel="1"/>
    <col min="9" max="9" width="7" style="375" customWidth="1" outlineLevel="1"/>
    <col min="10" max="10" width="9.44140625" style="375" customWidth="1" outlineLevel="1"/>
    <col min="11" max="11" width="10.5546875" style="375" customWidth="1"/>
    <col min="12" max="12" width="7.5546875" style="375" customWidth="1" outlineLevel="1"/>
    <col min="13" max="14" width="10.5546875" style="375" customWidth="1" outlineLevel="1"/>
    <col min="15" max="15" width="11.88671875" style="375" bestFit="1" customWidth="1"/>
    <col min="16" max="16" width="11.88671875" style="375" bestFit="1" customWidth="1" outlineLevel="1"/>
    <col min="17" max="17" width="10.44140625" style="375" customWidth="1" outlineLevel="1"/>
    <col min="18" max="18" width="10.44140625" style="375" customWidth="1"/>
    <col min="19" max="19" width="2.5546875" style="375" customWidth="1"/>
    <col min="20" max="22" width="10.44140625" style="375" customWidth="1"/>
    <col min="23" max="23" width="18.5546875" style="375" customWidth="1" outlineLevel="1"/>
    <col min="24" max="25" width="14.44140625" style="375" customWidth="1" outlineLevel="1"/>
    <col min="26" max="26" width="10.5546875" style="375" customWidth="1"/>
    <col min="27" max="27" width="22.5546875" style="375" customWidth="1"/>
    <col min="28" max="28" width="3.44140625" style="375" customWidth="1" outlineLevel="1"/>
    <col min="29" max="29" width="10.5546875" style="375" bestFit="1" customWidth="1" outlineLevel="1"/>
    <col min="30" max="30" width="13.44140625" style="375" customWidth="1" outlineLevel="1"/>
    <col min="31" max="31" width="16.5546875" style="375" customWidth="1" outlineLevel="1"/>
    <col min="32" max="32" width="7.44140625" style="375" customWidth="1" outlineLevel="1"/>
    <col min="33" max="33" width="3.44140625" style="375" customWidth="1"/>
    <col min="34" max="34" width="10" style="375" hidden="1" customWidth="1" outlineLevel="1"/>
    <col min="35" max="35" width="10.44140625" style="375" hidden="1" customWidth="1" outlineLevel="1"/>
    <col min="36" max="36" width="8.5546875" style="375" hidden="1" customWidth="1" outlineLevel="1"/>
    <col min="37" max="37" width="10.44140625" style="375" hidden="1" customWidth="1" outlineLevel="1"/>
    <col min="38" max="38" width="12" style="375" hidden="1" customWidth="1" outlineLevel="1"/>
    <col min="39" max="39" width="3.44140625" style="375" hidden="1" customWidth="1" outlineLevel="1"/>
    <col min="40" max="40" width="4.5546875" style="375" customWidth="1" collapsed="1"/>
    <col min="41" max="41" width="18.44140625" style="375" customWidth="1"/>
    <col min="42" max="42" width="7.44140625" style="375" customWidth="1"/>
    <col min="43" max="44" width="8.5546875" style="375" customWidth="1"/>
    <col min="45" max="45" width="9.44140625" style="375" customWidth="1"/>
    <col min="46" max="47" width="11" style="375" customWidth="1"/>
    <col min="48" max="48" width="16.5546875" style="377" customWidth="1"/>
    <col min="49" max="49" width="7.44140625" style="377" customWidth="1"/>
    <col min="50" max="50" width="7.5546875" style="375" hidden="1" customWidth="1" outlineLevel="1"/>
    <col min="51" max="52" width="8.44140625" style="375" hidden="1" customWidth="1" outlineLevel="1"/>
    <col min="53" max="53" width="22.5546875" style="375" hidden="1" customWidth="1" outlineLevel="1"/>
    <col min="54" max="54" width="16.5546875" style="375" hidden="1" customWidth="1" outlineLevel="1"/>
    <col min="55" max="55" width="5.5546875" style="375" collapsed="1"/>
    <col min="56" max="56" width="20.5546875" style="375" bestFit="1" customWidth="1"/>
    <col min="57" max="57" width="7.44140625" style="375" bestFit="1" customWidth="1"/>
    <col min="58" max="58" width="25.5546875" style="375" bestFit="1" customWidth="1"/>
    <col min="59" max="59" width="8.44140625" style="375" bestFit="1" customWidth="1"/>
    <col min="60" max="16384" width="5.5546875" style="375"/>
  </cols>
  <sheetData>
    <row r="1" spans="4:47">
      <c r="E1" s="376"/>
      <c r="F1" s="376"/>
      <c r="G1" s="376"/>
      <c r="H1" s="376"/>
      <c r="I1" s="376"/>
      <c r="J1" s="376"/>
      <c r="K1" s="376"/>
      <c r="L1" s="376"/>
      <c r="M1" s="376"/>
      <c r="N1" s="376"/>
      <c r="O1" s="376"/>
      <c r="P1" s="376"/>
      <c r="Q1" s="376"/>
      <c r="R1" s="376"/>
      <c r="S1" s="376"/>
      <c r="T1" s="376"/>
      <c r="U1" s="376"/>
      <c r="V1" s="376"/>
      <c r="W1" s="376"/>
      <c r="X1" s="376"/>
      <c r="Y1" s="376"/>
      <c r="AP1" s="720"/>
      <c r="AQ1" s="720"/>
      <c r="AR1" s="720"/>
      <c r="AS1" s="720"/>
      <c r="AT1" s="377"/>
      <c r="AU1" s="377"/>
    </row>
    <row r="2" spans="4:47" ht="16.2" thickBot="1">
      <c r="E2" s="378" t="s">
        <v>581</v>
      </c>
      <c r="F2" s="379"/>
      <c r="G2" s="379"/>
      <c r="H2" s="379"/>
      <c r="I2" s="379"/>
      <c r="J2" s="376"/>
      <c r="K2" s="378" t="s">
        <v>582</v>
      </c>
      <c r="L2" s="379"/>
      <c r="M2" s="379"/>
      <c r="N2" s="379"/>
      <c r="O2" s="380" t="s">
        <v>583</v>
      </c>
      <c r="P2" s="379"/>
      <c r="Q2" s="376"/>
      <c r="R2" s="376"/>
      <c r="S2" s="376"/>
      <c r="T2" s="721" t="s">
        <v>584</v>
      </c>
      <c r="U2" s="721"/>
      <c r="V2" s="721"/>
      <c r="W2" s="721"/>
      <c r="X2" s="721"/>
      <c r="Y2" s="721"/>
      <c r="AP2" s="381"/>
      <c r="AQ2" s="381"/>
      <c r="AR2" s="381"/>
      <c r="AS2" s="381"/>
      <c r="AT2" s="377"/>
      <c r="AU2" s="377"/>
    </row>
    <row r="3" spans="4:47" ht="16.2" thickTop="1">
      <c r="E3" s="382" t="s">
        <v>585</v>
      </c>
      <c r="F3" s="722" t="s">
        <v>749</v>
      </c>
      <c r="G3" s="722"/>
      <c r="H3" s="722"/>
      <c r="I3" s="376"/>
      <c r="J3" s="376"/>
      <c r="K3" s="723" t="s">
        <v>586</v>
      </c>
      <c r="L3" s="723"/>
      <c r="M3" s="724">
        <v>400000</v>
      </c>
      <c r="N3" s="724"/>
      <c r="O3" s="383">
        <f>M3/$F$9</f>
        <v>2719.0537692882876</v>
      </c>
      <c r="P3" s="384" t="s">
        <v>291</v>
      </c>
      <c r="Q3" s="376"/>
      <c r="R3" s="376"/>
      <c r="S3" s="376"/>
      <c r="T3" s="725"/>
      <c r="U3" s="725"/>
      <c r="V3" s="725"/>
      <c r="W3" s="725"/>
      <c r="X3" s="725"/>
      <c r="Y3" s="725"/>
      <c r="AP3" s="381"/>
      <c r="AQ3" s="381"/>
      <c r="AR3" s="381"/>
      <c r="AS3" s="381"/>
      <c r="AT3" s="377"/>
      <c r="AU3" s="377"/>
    </row>
    <row r="4" spans="4:47">
      <c r="E4" s="385" t="s">
        <v>394</v>
      </c>
      <c r="F4" s="727" t="s">
        <v>29</v>
      </c>
      <c r="G4" s="727"/>
      <c r="H4" s="727"/>
      <c r="I4" s="376"/>
      <c r="J4" s="376"/>
      <c r="K4" s="728" t="s">
        <v>587</v>
      </c>
      <c r="L4" s="728"/>
      <c r="M4" s="729">
        <v>400000</v>
      </c>
      <c r="N4" s="729"/>
      <c r="O4" s="386">
        <f>M4/$F$9</f>
        <v>2719.0537692882876</v>
      </c>
      <c r="P4" s="387">
        <v>2020</v>
      </c>
      <c r="Q4" s="376"/>
      <c r="R4" s="376"/>
      <c r="S4" s="376"/>
      <c r="T4" s="726"/>
      <c r="U4" s="726"/>
      <c r="V4" s="726"/>
      <c r="W4" s="726"/>
      <c r="X4" s="726"/>
      <c r="Y4" s="726"/>
      <c r="AP4" s="381"/>
      <c r="AQ4" s="381"/>
      <c r="AR4" s="381"/>
      <c r="AS4" s="381"/>
      <c r="AT4" s="377"/>
      <c r="AU4" s="377"/>
    </row>
    <row r="5" spans="4:47">
      <c r="E5" s="385" t="s">
        <v>588</v>
      </c>
      <c r="F5" s="730" t="s">
        <v>750</v>
      </c>
      <c r="G5" s="730"/>
      <c r="H5" s="730"/>
      <c r="I5" s="376"/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726"/>
      <c r="U5" s="726"/>
      <c r="V5" s="726"/>
      <c r="W5" s="726"/>
      <c r="X5" s="726"/>
      <c r="Y5" s="726"/>
      <c r="AP5" s="381"/>
      <c r="AQ5" s="381"/>
      <c r="AR5" s="381"/>
      <c r="AS5" s="381"/>
      <c r="AT5" s="377"/>
      <c r="AU5" s="377"/>
    </row>
    <row r="6" spans="4:47">
      <c r="E6" s="385" t="s">
        <v>39</v>
      </c>
      <c r="F6" s="727" t="str">
        <f>Resumo!C18</f>
        <v>Santa Terezinha</v>
      </c>
      <c r="G6" s="727"/>
      <c r="H6" s="727"/>
      <c r="I6" s="376"/>
      <c r="J6" s="376"/>
      <c r="K6" s="733" t="s">
        <v>589</v>
      </c>
      <c r="L6" s="733"/>
      <c r="M6" s="729"/>
      <c r="N6" s="729"/>
      <c r="O6" s="386">
        <f>M6/$F$9</f>
        <v>0</v>
      </c>
      <c r="P6" s="376"/>
      <c r="Q6" s="376"/>
      <c r="R6" s="376"/>
      <c r="S6" s="376"/>
      <c r="T6" s="726"/>
      <c r="U6" s="726"/>
      <c r="V6" s="726"/>
      <c r="W6" s="726"/>
      <c r="X6" s="726"/>
      <c r="Y6" s="726"/>
      <c r="AP6" s="381"/>
      <c r="AQ6" s="381"/>
      <c r="AR6" s="381"/>
      <c r="AS6" s="381"/>
      <c r="AT6" s="377"/>
      <c r="AU6" s="377"/>
    </row>
    <row r="7" spans="4:47" ht="15.6" customHeight="1">
      <c r="E7" s="385" t="s">
        <v>46</v>
      </c>
      <c r="F7" s="730" t="str">
        <f>Resumo!C17</f>
        <v>Belo Horizonte</v>
      </c>
      <c r="G7" s="730"/>
      <c r="H7" s="730"/>
      <c r="I7" s="376"/>
      <c r="J7" s="376"/>
      <c r="K7" s="734" t="s">
        <v>590</v>
      </c>
      <c r="L7" s="735"/>
      <c r="M7" s="736"/>
      <c r="N7" s="737"/>
      <c r="O7" s="738"/>
      <c r="P7" s="376"/>
      <c r="Q7" s="376"/>
      <c r="R7" s="376"/>
      <c r="S7" s="376"/>
      <c r="T7" s="726"/>
      <c r="U7" s="726"/>
      <c r="V7" s="726"/>
      <c r="W7" s="726"/>
      <c r="X7" s="726"/>
      <c r="Y7" s="726"/>
      <c r="AP7" s="381"/>
      <c r="AQ7" s="381"/>
      <c r="AR7" s="381"/>
      <c r="AS7" s="381"/>
      <c r="AT7" s="377"/>
      <c r="AU7" s="377"/>
    </row>
    <row r="8" spans="4:47" ht="15.6" customHeight="1">
      <c r="E8" s="385" t="s">
        <v>64</v>
      </c>
      <c r="F8" s="739" t="s">
        <v>175</v>
      </c>
      <c r="G8" s="727"/>
      <c r="H8" s="727"/>
      <c r="I8" s="376"/>
      <c r="J8" s="376"/>
      <c r="K8" s="376"/>
      <c r="L8" s="376"/>
      <c r="M8" s="376"/>
      <c r="N8" s="376"/>
      <c r="O8" s="376"/>
      <c r="P8" s="376"/>
      <c r="Q8" s="376"/>
      <c r="R8" s="376"/>
      <c r="S8" s="376"/>
      <c r="T8" s="726"/>
      <c r="U8" s="726"/>
      <c r="V8" s="726"/>
      <c r="W8" s="726"/>
      <c r="X8" s="726"/>
      <c r="Y8" s="726"/>
      <c r="AP8" s="381"/>
      <c r="AQ8" s="381"/>
      <c r="AR8" s="381"/>
      <c r="AS8" s="381"/>
      <c r="AT8" s="377"/>
      <c r="AU8" s="377"/>
    </row>
    <row r="9" spans="4:47">
      <c r="D9" s="388"/>
      <c r="E9" s="389" t="s">
        <v>591</v>
      </c>
      <c r="F9" s="692">
        <v>147.11000000000001</v>
      </c>
      <c r="G9" s="390" t="s">
        <v>592</v>
      </c>
      <c r="H9" s="391" t="s">
        <v>593</v>
      </c>
      <c r="I9" s="392" t="str">
        <f>IF(F9&lt;=0,"Fora da Política",IF(OR(F4="Apartamento",F4="Sala Comercial"),"",IF(((MAX(F10:F11)-MIN(F10:F11))/MAX(F10:F11))&lt;50%,"","Fora da Política")))</f>
        <v/>
      </c>
      <c r="J9" s="376"/>
      <c r="K9" s="740" t="s">
        <v>594</v>
      </c>
      <c r="L9" s="740"/>
      <c r="M9" s="729">
        <f>IF(N39&lt;&gt;0,$AV$75,$AV$70)</f>
        <v>504000</v>
      </c>
      <c r="N9" s="729"/>
      <c r="O9" s="386">
        <f>M9/$F$9</f>
        <v>3426.0077493032422</v>
      </c>
      <c r="P9" s="376"/>
      <c r="Q9" s="376"/>
      <c r="R9" s="376"/>
      <c r="S9" s="376"/>
      <c r="T9" s="726"/>
      <c r="U9" s="726"/>
      <c r="V9" s="726"/>
      <c r="W9" s="726"/>
      <c r="X9" s="726"/>
      <c r="Y9" s="726"/>
      <c r="AP9" s="381"/>
      <c r="AQ9" s="381"/>
      <c r="AR9" s="381"/>
      <c r="AS9" s="381"/>
      <c r="AT9" s="377"/>
      <c r="AU9" s="377"/>
    </row>
    <row r="10" spans="4:47">
      <c r="E10" s="385" t="s">
        <v>595</v>
      </c>
      <c r="F10" s="692">
        <f t="shared" ref="F10" si="0">63+37.98</f>
        <v>100.97999999999999</v>
      </c>
      <c r="G10" s="393" t="s">
        <v>592</v>
      </c>
      <c r="H10" s="394"/>
      <c r="I10" s="392"/>
      <c r="J10" s="376"/>
      <c r="K10" s="395" t="s">
        <v>596</v>
      </c>
      <c r="L10" s="396"/>
      <c r="M10" s="741">
        <f>M9*0.9</f>
        <v>453600</v>
      </c>
      <c r="N10" s="742"/>
      <c r="O10" s="386">
        <f>M10/$F$9</f>
        <v>3083.4069743729178</v>
      </c>
      <c r="P10" s="376"/>
      <c r="Q10" s="376"/>
      <c r="R10" s="376"/>
      <c r="S10" s="376"/>
      <c r="T10" s="726"/>
      <c r="U10" s="726"/>
      <c r="V10" s="726"/>
      <c r="W10" s="726"/>
      <c r="X10" s="726"/>
      <c r="Y10" s="726"/>
      <c r="AP10" s="381"/>
      <c r="AQ10" s="381"/>
      <c r="AR10" s="381"/>
      <c r="AS10" s="381"/>
      <c r="AT10" s="377"/>
      <c r="AU10" s="377"/>
    </row>
    <row r="11" spans="4:47" ht="15.6" customHeight="1">
      <c r="E11" s="385" t="s">
        <v>597</v>
      </c>
      <c r="F11" s="692">
        <v>147.11000000000001</v>
      </c>
      <c r="G11" s="393" t="s">
        <v>592</v>
      </c>
      <c r="H11" s="394"/>
      <c r="I11" s="392"/>
      <c r="J11" s="376"/>
      <c r="K11" s="397" t="s">
        <v>598</v>
      </c>
      <c r="L11" s="398"/>
      <c r="M11" s="743">
        <f>M9*1.1</f>
        <v>554400</v>
      </c>
      <c r="N11" s="744"/>
      <c r="O11" s="399">
        <f>M11/$F$9</f>
        <v>3768.6085242335662</v>
      </c>
      <c r="P11" s="376"/>
      <c r="Q11" s="376"/>
      <c r="R11" s="376"/>
      <c r="S11" s="376"/>
      <c r="T11" s="726"/>
      <c r="U11" s="726"/>
      <c r="V11" s="726"/>
      <c r="W11" s="726"/>
      <c r="X11" s="726"/>
      <c r="Y11" s="726"/>
      <c r="AP11" s="381"/>
      <c r="AQ11" s="381"/>
      <c r="AR11" s="381"/>
      <c r="AS11" s="381"/>
      <c r="AT11" s="377"/>
      <c r="AU11" s="377"/>
    </row>
    <row r="12" spans="4:47" ht="15.6" customHeight="1">
      <c r="E12" s="385" t="s">
        <v>599</v>
      </c>
      <c r="F12" s="400">
        <v>2</v>
      </c>
      <c r="G12" s="401"/>
      <c r="H12" s="402"/>
      <c r="I12" s="376"/>
      <c r="J12" s="376"/>
      <c r="K12" s="376"/>
      <c r="L12" s="376"/>
      <c r="M12" s="376"/>
      <c r="N12" s="376"/>
      <c r="O12" s="376"/>
      <c r="P12" s="376"/>
      <c r="Q12" s="376"/>
      <c r="R12" s="376"/>
      <c r="S12" s="376"/>
      <c r="T12" s="726"/>
      <c r="U12" s="726"/>
      <c r="V12" s="726"/>
      <c r="W12" s="726"/>
      <c r="X12" s="726"/>
      <c r="Y12" s="726"/>
      <c r="AP12" s="381"/>
      <c r="AQ12" s="381"/>
      <c r="AR12" s="381"/>
      <c r="AS12" s="381"/>
      <c r="AT12" s="377"/>
      <c r="AU12" s="377"/>
    </row>
    <row r="13" spans="4:47" ht="15.6" customHeight="1">
      <c r="E13" s="403" t="s">
        <v>600</v>
      </c>
      <c r="F13" s="404">
        <v>1</v>
      </c>
      <c r="G13" s="393" t="s">
        <v>592</v>
      </c>
      <c r="H13" s="405"/>
      <c r="I13" s="376"/>
      <c r="J13" s="376"/>
      <c r="K13" s="406"/>
      <c r="L13" s="376"/>
      <c r="M13" s="376"/>
      <c r="N13" s="376"/>
      <c r="O13" s="407"/>
      <c r="P13" s="376"/>
      <c r="Q13" s="376"/>
      <c r="R13" s="376"/>
      <c r="S13" s="376"/>
      <c r="T13" s="726"/>
      <c r="U13" s="726"/>
      <c r="V13" s="726"/>
      <c r="W13" s="726"/>
      <c r="X13" s="726"/>
      <c r="Y13" s="726"/>
      <c r="AP13" s="381"/>
      <c r="AQ13" s="381"/>
      <c r="AR13" s="381"/>
      <c r="AS13" s="381"/>
      <c r="AT13" s="377"/>
      <c r="AU13" s="377"/>
    </row>
    <row r="14" spans="4:47" ht="15.6" customHeight="1">
      <c r="E14" s="376"/>
      <c r="F14" s="376"/>
      <c r="G14" s="408"/>
      <c r="H14" s="376"/>
      <c r="I14" s="376"/>
      <c r="J14" s="376"/>
      <c r="K14" s="376"/>
      <c r="L14" s="376"/>
      <c r="M14" s="376"/>
      <c r="N14" s="376"/>
      <c r="O14" s="407"/>
      <c r="P14" s="376"/>
      <c r="Q14" s="376"/>
      <c r="R14" s="376"/>
      <c r="S14" s="376"/>
      <c r="T14" s="726"/>
      <c r="U14" s="726"/>
      <c r="V14" s="726"/>
      <c r="W14" s="726"/>
      <c r="X14" s="726"/>
      <c r="Y14" s="726"/>
      <c r="AP14" s="381"/>
      <c r="AQ14" s="381"/>
      <c r="AR14" s="381"/>
      <c r="AS14" s="381"/>
      <c r="AT14" s="377"/>
      <c r="AU14" s="377"/>
    </row>
    <row r="15" spans="4:47" ht="15.6" customHeight="1" thickBot="1">
      <c r="E15" s="409" t="s">
        <v>601</v>
      </c>
      <c r="F15" s="379"/>
      <c r="G15" s="410"/>
      <c r="H15" s="379"/>
      <c r="I15" s="379"/>
      <c r="J15" s="376"/>
      <c r="K15" s="378" t="s">
        <v>602</v>
      </c>
      <c r="L15" s="379"/>
      <c r="M15" s="379"/>
      <c r="N15" s="411"/>
      <c r="O15" s="412"/>
      <c r="P15" s="379"/>
      <c r="Q15" s="376"/>
      <c r="R15" s="376"/>
      <c r="S15" s="376"/>
      <c r="T15" s="726"/>
      <c r="U15" s="726"/>
      <c r="V15" s="726"/>
      <c r="W15" s="726"/>
      <c r="X15" s="726"/>
      <c r="Y15" s="726"/>
      <c r="AP15" s="381"/>
      <c r="AQ15" s="381"/>
      <c r="AR15" s="381"/>
      <c r="AS15" s="381"/>
      <c r="AT15" s="377"/>
      <c r="AU15" s="377"/>
    </row>
    <row r="16" spans="4:47" ht="15.6" customHeight="1" thickTop="1">
      <c r="E16" s="382" t="s">
        <v>603</v>
      </c>
      <c r="F16" s="413" t="s">
        <v>604</v>
      </c>
      <c r="G16" s="413" t="s">
        <v>605</v>
      </c>
      <c r="H16" s="376"/>
      <c r="I16" s="376"/>
      <c r="J16" s="376"/>
      <c r="K16" s="731" t="s">
        <v>606</v>
      </c>
      <c r="L16" s="731"/>
      <c r="M16" s="731"/>
      <c r="N16" s="732">
        <f>IF($N$39&lt;&gt;0,AVERAGEIF($R$41:$R$60,"&lt;&gt;0"),AVERAGEIF($Q$41:$Q$60,"&lt;&gt;0"))</f>
        <v>927.04870129870119</v>
      </c>
      <c r="O16" s="732"/>
      <c r="P16" s="376"/>
      <c r="Q16" s="376"/>
      <c r="R16" s="376"/>
      <c r="S16" s="376"/>
      <c r="T16" s="726"/>
      <c r="U16" s="726"/>
      <c r="V16" s="726"/>
      <c r="W16" s="726"/>
      <c r="X16" s="726"/>
      <c r="Y16" s="726"/>
      <c r="AP16" s="381"/>
      <c r="AQ16" s="381"/>
      <c r="AR16" s="381"/>
      <c r="AS16" s="381"/>
      <c r="AT16" s="377"/>
      <c r="AU16" s="377"/>
    </row>
    <row r="17" spans="4:47" ht="15.6" customHeight="1">
      <c r="D17" s="375">
        <v>79034810615</v>
      </c>
      <c r="E17" s="387" t="s">
        <v>756</v>
      </c>
      <c r="F17" s="387"/>
      <c r="G17" s="414"/>
      <c r="H17" s="376"/>
      <c r="I17" s="376"/>
      <c r="J17" s="376"/>
      <c r="K17" s="745" t="s">
        <v>609</v>
      </c>
      <c r="L17" s="745"/>
      <c r="M17" s="745"/>
      <c r="N17" s="746">
        <f>IF($N$39&lt;&gt;0,AVERAGEIF($V$41:$V$60,"&lt;&gt;0"),AVERAGEIF($U$41:$U$60,"&lt;&gt;0"))</f>
        <v>834.34383116883237</v>
      </c>
      <c r="O17" s="746"/>
      <c r="P17" s="376"/>
      <c r="Q17" s="376"/>
      <c r="R17" s="376"/>
      <c r="S17" s="376"/>
      <c r="T17" s="376"/>
      <c r="U17" s="376"/>
      <c r="V17" s="376"/>
      <c r="W17" s="376"/>
      <c r="X17" s="376"/>
      <c r="Y17" s="376"/>
      <c r="AP17" s="381"/>
      <c r="AQ17" s="381"/>
      <c r="AR17" s="381"/>
      <c r="AS17" s="381"/>
      <c r="AT17" s="377"/>
      <c r="AU17" s="377"/>
    </row>
    <row r="18" spans="4:47" ht="15.6" customHeight="1">
      <c r="D18" s="375">
        <v>64013294672</v>
      </c>
      <c r="E18" s="415" t="s">
        <v>757</v>
      </c>
      <c r="F18" s="415"/>
      <c r="G18" s="416"/>
      <c r="H18" s="376"/>
      <c r="I18" s="376"/>
      <c r="J18" s="376"/>
      <c r="K18" s="376"/>
      <c r="L18" s="376"/>
      <c r="M18" s="376"/>
      <c r="N18" s="376"/>
      <c r="O18" s="407"/>
      <c r="P18" s="376"/>
      <c r="Q18" s="376"/>
      <c r="R18" s="376"/>
      <c r="S18" s="376"/>
      <c r="T18" s="376"/>
      <c r="U18" s="376"/>
      <c r="V18" s="376"/>
      <c r="W18" s="376"/>
      <c r="X18" s="376"/>
      <c r="Y18" s="376"/>
      <c r="AP18" s="381"/>
      <c r="AQ18" s="381"/>
      <c r="AR18" s="381"/>
      <c r="AS18" s="381"/>
      <c r="AT18" s="377"/>
      <c r="AU18" s="377"/>
    </row>
    <row r="19" spans="4:47" ht="15.6" customHeight="1">
      <c r="E19" s="417"/>
      <c r="F19" s="417"/>
      <c r="G19" s="418"/>
      <c r="H19" s="376"/>
      <c r="I19" s="376"/>
      <c r="J19" s="376"/>
      <c r="K19" s="721" t="s">
        <v>611</v>
      </c>
      <c r="L19" s="721"/>
      <c r="M19" s="721"/>
      <c r="N19" s="747">
        <f>IF($N$39&lt;&gt;0,MAX($V$41:$V$60),MAX($U$41:$U$60))</f>
        <v>3900</v>
      </c>
      <c r="O19" s="747"/>
      <c r="P19" s="376"/>
      <c r="Q19" s="376"/>
      <c r="R19" s="376"/>
      <c r="S19" s="376"/>
      <c r="T19" s="376"/>
      <c r="U19" s="376"/>
      <c r="V19" s="376"/>
      <c r="W19" s="376"/>
      <c r="X19" s="376"/>
      <c r="Y19" s="376"/>
      <c r="AP19" s="381"/>
      <c r="AQ19" s="381"/>
      <c r="AR19" s="381"/>
      <c r="AS19" s="381"/>
      <c r="AT19" s="377"/>
      <c r="AU19" s="377"/>
    </row>
    <row r="20" spans="4:47">
      <c r="E20" s="415"/>
      <c r="F20" s="415"/>
      <c r="G20" s="416"/>
      <c r="H20" s="376"/>
      <c r="I20" s="376"/>
      <c r="J20" s="376"/>
      <c r="K20" s="745" t="s">
        <v>612</v>
      </c>
      <c r="L20" s="745"/>
      <c r="M20" s="745"/>
      <c r="N20" s="746">
        <f>IF($N$39&lt;&gt;0,MIN($V$41:$V$60),MIN($U$41:$U$60))</f>
        <v>0.9</v>
      </c>
      <c r="O20" s="746"/>
      <c r="P20" s="376"/>
      <c r="Q20" s="376"/>
      <c r="R20" s="376"/>
      <c r="S20" s="376"/>
      <c r="T20" s="419" t="s">
        <v>479</v>
      </c>
      <c r="U20" s="419" t="s">
        <v>613</v>
      </c>
      <c r="V20" s="376"/>
      <c r="W20" s="420" t="s">
        <v>614</v>
      </c>
      <c r="X20" s="420"/>
      <c r="Y20" s="376"/>
      <c r="Z20" s="754" t="s">
        <v>615</v>
      </c>
      <c r="AA20" s="754"/>
      <c r="AB20" s="754" t="s">
        <v>616</v>
      </c>
      <c r="AC20" s="754"/>
      <c r="AD20" s="754"/>
      <c r="AP20" s="381"/>
      <c r="AQ20" s="381"/>
      <c r="AR20" s="381"/>
      <c r="AS20" s="381"/>
      <c r="AT20" s="377"/>
      <c r="AU20" s="377"/>
    </row>
    <row r="21" spans="4:47">
      <c r="E21" s="417"/>
      <c r="F21" s="417"/>
      <c r="G21" s="418"/>
      <c r="H21" s="376"/>
      <c r="I21" s="376"/>
      <c r="J21" s="376"/>
      <c r="K21" s="728" t="s">
        <v>617</v>
      </c>
      <c r="L21" s="728"/>
      <c r="M21" s="728"/>
      <c r="N21" s="747">
        <f>AVEDEV(N19:N20)</f>
        <v>1949.55</v>
      </c>
      <c r="O21" s="747"/>
      <c r="P21" s="376"/>
      <c r="Q21" s="376"/>
      <c r="R21" s="376"/>
      <c r="S21" s="376"/>
      <c r="T21" s="417" t="str">
        <f>F7</f>
        <v>Belo Horizonte</v>
      </c>
      <c r="U21" s="417">
        <f>IF(T21&lt;&gt;"",VLOOKUP(T21,[16]Municípios!D1:E5573,2,FALSE),1)</f>
        <v>2512070</v>
      </c>
      <c r="V21" s="376" t="str">
        <f>IF(OR(AND(F8="SP",U21&lt;=100000),AND(F8&lt;&gt;"SP",U21&lt;=200000)),"Fora da Política","")</f>
        <v/>
      </c>
      <c r="W21" s="421" t="s">
        <v>618</v>
      </c>
      <c r="X21" s="421" t="s">
        <v>41</v>
      </c>
      <c r="Y21" s="376"/>
      <c r="Z21" s="421" t="s">
        <v>619</v>
      </c>
      <c r="AA21" s="421"/>
      <c r="AB21" s="421" t="s">
        <v>164</v>
      </c>
      <c r="AC21" s="421"/>
      <c r="AD21" s="421"/>
      <c r="AP21" s="381"/>
      <c r="AQ21" s="381"/>
      <c r="AR21" s="381"/>
      <c r="AS21" s="381"/>
      <c r="AT21" s="377"/>
      <c r="AU21" s="377"/>
    </row>
    <row r="22" spans="4:47">
      <c r="E22" s="415"/>
      <c r="F22" s="415"/>
      <c r="G22" s="416"/>
      <c r="H22" s="376"/>
      <c r="I22" s="376"/>
      <c r="J22" s="376"/>
      <c r="K22" s="376"/>
      <c r="L22" s="376"/>
      <c r="M22" s="376"/>
      <c r="N22" s="376"/>
      <c r="O22" s="376"/>
      <c r="P22" s="376"/>
      <c r="Q22" s="376"/>
      <c r="R22" s="376"/>
      <c r="S22" s="376"/>
      <c r="T22" s="376"/>
      <c r="U22" s="376"/>
      <c r="V22" s="376"/>
      <c r="W22" s="421" t="s">
        <v>620</v>
      </c>
      <c r="X22" s="421" t="s">
        <v>43</v>
      </c>
      <c r="Y22" s="376"/>
      <c r="Z22" s="421" t="s">
        <v>621</v>
      </c>
      <c r="AA22" s="421"/>
      <c r="AB22" s="421" t="s">
        <v>622</v>
      </c>
      <c r="AC22" s="421"/>
      <c r="AD22" s="421"/>
      <c r="AP22" s="381"/>
      <c r="AQ22" s="381"/>
      <c r="AR22" s="381"/>
      <c r="AS22" s="381"/>
      <c r="AT22" s="377"/>
      <c r="AU22" s="377"/>
    </row>
    <row r="23" spans="4:47" ht="16.2" thickBot="1">
      <c r="E23" s="376"/>
      <c r="F23" s="376"/>
      <c r="G23" s="422"/>
      <c r="H23" s="376"/>
      <c r="I23" s="376"/>
      <c r="J23" s="376"/>
      <c r="K23" s="378" t="s">
        <v>623</v>
      </c>
      <c r="L23" s="379"/>
      <c r="M23" s="379"/>
      <c r="N23" s="379"/>
      <c r="O23" s="379"/>
      <c r="P23" s="379"/>
      <c r="Q23" s="376"/>
      <c r="R23" s="376"/>
      <c r="S23" s="376"/>
      <c r="T23" s="376"/>
      <c r="U23" s="376"/>
      <c r="V23" s="376"/>
      <c r="W23" s="421" t="s">
        <v>624</v>
      </c>
      <c r="X23" s="421" t="s">
        <v>45</v>
      </c>
      <c r="Y23" s="376"/>
      <c r="Z23" s="421" t="s">
        <v>625</v>
      </c>
      <c r="AA23" s="421"/>
      <c r="AB23" s="421" t="s">
        <v>626</v>
      </c>
      <c r="AC23" s="421"/>
      <c r="AD23" s="421"/>
      <c r="AP23" s="381"/>
      <c r="AQ23" s="381"/>
      <c r="AR23" s="381"/>
      <c r="AS23" s="381"/>
      <c r="AT23" s="377"/>
      <c r="AU23" s="377"/>
    </row>
    <row r="24" spans="4:47" ht="15.6" customHeight="1" thickTop="1" thickBot="1">
      <c r="E24" s="409" t="s">
        <v>627</v>
      </c>
      <c r="F24" s="379"/>
      <c r="G24" s="410"/>
      <c r="H24" s="379"/>
      <c r="I24" s="379"/>
      <c r="J24" s="376"/>
      <c r="K24" s="731" t="s">
        <v>628</v>
      </c>
      <c r="L24" s="731"/>
      <c r="M24" s="732" t="s">
        <v>25</v>
      </c>
      <c r="N24" s="732"/>
      <c r="O24" s="376"/>
      <c r="P24" s="376"/>
      <c r="Q24" s="376"/>
      <c r="R24" s="376"/>
      <c r="S24" s="376"/>
      <c r="T24" s="376"/>
      <c r="U24" s="376"/>
      <c r="V24" s="376"/>
      <c r="W24" s="376"/>
      <c r="X24" s="376"/>
      <c r="Y24" s="376"/>
      <c r="Z24" s="421" t="s">
        <v>629</v>
      </c>
      <c r="AA24" s="421"/>
      <c r="AB24" s="421" t="s">
        <v>630</v>
      </c>
      <c r="AC24" s="421"/>
      <c r="AD24" s="421"/>
      <c r="AP24" s="381"/>
      <c r="AQ24" s="381"/>
      <c r="AR24" s="381"/>
      <c r="AS24" s="381"/>
      <c r="AT24" s="377"/>
      <c r="AU24" s="377"/>
    </row>
    <row r="25" spans="4:47" ht="16.2" thickTop="1">
      <c r="E25" s="423"/>
      <c r="F25" s="424" t="s">
        <v>235</v>
      </c>
      <c r="G25" s="376"/>
      <c r="H25" s="376"/>
      <c r="I25" s="376"/>
      <c r="J25" s="376"/>
      <c r="K25" s="755" t="s">
        <v>631</v>
      </c>
      <c r="L25" s="755"/>
      <c r="M25" s="756"/>
      <c r="N25" s="756"/>
      <c r="O25" s="376"/>
      <c r="P25" s="376"/>
      <c r="Q25" s="376"/>
      <c r="R25" s="376"/>
      <c r="S25" s="376"/>
      <c r="T25" s="376"/>
      <c r="U25" s="376"/>
      <c r="V25" s="376"/>
      <c r="W25" s="376"/>
      <c r="X25" s="376"/>
      <c r="Y25" s="376"/>
      <c r="AP25" s="381"/>
      <c r="AQ25" s="381"/>
      <c r="AR25" s="381"/>
      <c r="AS25" s="381"/>
      <c r="AT25" s="377"/>
      <c r="AU25" s="377"/>
    </row>
    <row r="26" spans="4:47">
      <c r="E26" s="425" t="s">
        <v>632</v>
      </c>
      <c r="F26" s="426">
        <f>IF($F$25="Outros",$AD$74,$AC$74)</f>
        <v>75</v>
      </c>
      <c r="G26" s="376"/>
      <c r="H26" s="376"/>
      <c r="I26" s="376"/>
      <c r="J26" s="376"/>
      <c r="K26" s="757" t="s">
        <v>633</v>
      </c>
      <c r="L26" s="758"/>
      <c r="M26" s="759"/>
      <c r="N26" s="760"/>
      <c r="O26" s="376"/>
      <c r="P26" s="376"/>
      <c r="Q26" s="376"/>
      <c r="R26" s="376"/>
      <c r="S26" s="376"/>
      <c r="T26" s="376"/>
      <c r="U26" s="376"/>
      <c r="V26" s="376"/>
      <c r="W26" s="376"/>
      <c r="X26" s="376"/>
      <c r="Y26" s="376"/>
      <c r="AP26" s="381"/>
      <c r="AQ26" s="381"/>
      <c r="AR26" s="381"/>
      <c r="AS26" s="381"/>
      <c r="AT26" s="377"/>
      <c r="AU26" s="377"/>
    </row>
    <row r="27" spans="4:47">
      <c r="E27" s="385" t="s">
        <v>634</v>
      </c>
      <c r="F27" s="427">
        <v>2022</v>
      </c>
      <c r="G27" s="376"/>
      <c r="H27" s="376"/>
      <c r="I27" s="376"/>
      <c r="J27" s="376"/>
      <c r="K27" s="761" t="s">
        <v>635</v>
      </c>
      <c r="L27" s="762"/>
      <c r="M27" s="762"/>
      <c r="N27" s="763"/>
      <c r="O27" s="376"/>
      <c r="P27" s="376"/>
      <c r="Q27" s="376"/>
      <c r="R27" s="376"/>
      <c r="S27" s="376"/>
      <c r="T27" s="376"/>
      <c r="U27" s="376"/>
      <c r="V27" s="376"/>
      <c r="W27" s="376"/>
      <c r="X27" s="376"/>
      <c r="Y27" s="376"/>
      <c r="AP27" s="381"/>
      <c r="AQ27" s="381"/>
      <c r="AR27" s="381"/>
      <c r="AS27" s="381"/>
      <c r="AT27" s="377"/>
      <c r="AU27" s="377"/>
    </row>
    <row r="28" spans="4:47">
      <c r="E28" s="385" t="s">
        <v>636</v>
      </c>
      <c r="F28" s="428">
        <v>5</v>
      </c>
      <c r="G28" s="376"/>
      <c r="H28" s="376"/>
      <c r="I28" s="376"/>
      <c r="J28" s="376"/>
      <c r="K28" s="748"/>
      <c r="L28" s="749"/>
      <c r="M28" s="749"/>
      <c r="N28" s="750"/>
      <c r="O28" s="376"/>
      <c r="P28" s="376"/>
      <c r="Q28" s="376"/>
      <c r="R28" s="376"/>
      <c r="S28" s="376"/>
      <c r="T28" s="376"/>
      <c r="U28" s="376"/>
      <c r="V28" s="376"/>
      <c r="W28" s="376"/>
      <c r="X28" s="376"/>
      <c r="Y28" s="376"/>
      <c r="AP28" s="381"/>
      <c r="AQ28" s="381"/>
      <c r="AR28" s="381"/>
      <c r="AS28" s="381"/>
      <c r="AT28" s="377"/>
      <c r="AU28" s="377"/>
    </row>
    <row r="29" spans="4:47">
      <c r="E29" s="385" t="s">
        <v>637</v>
      </c>
      <c r="F29" s="429" t="s">
        <v>59</v>
      </c>
      <c r="G29" s="376"/>
      <c r="H29" s="376"/>
      <c r="I29" s="376"/>
      <c r="J29" s="376"/>
      <c r="K29" s="748"/>
      <c r="L29" s="749"/>
      <c r="M29" s="749"/>
      <c r="N29" s="750"/>
      <c r="O29" s="430"/>
      <c r="P29" s="430"/>
      <c r="Q29" s="376"/>
      <c r="R29" s="376"/>
      <c r="S29" s="376"/>
      <c r="T29" s="376"/>
      <c r="U29" s="376"/>
      <c r="V29" s="376"/>
      <c r="W29" s="376"/>
      <c r="X29" s="376"/>
      <c r="Y29" s="376"/>
      <c r="AP29" s="381"/>
      <c r="AQ29" s="381"/>
      <c r="AR29" s="381"/>
      <c r="AS29" s="381"/>
      <c r="AT29" s="377"/>
      <c r="AU29" s="377"/>
    </row>
    <row r="30" spans="4:47">
      <c r="E30" s="385" t="s">
        <v>638</v>
      </c>
      <c r="F30" s="426" t="s">
        <v>81</v>
      </c>
      <c r="G30" s="376"/>
      <c r="H30" s="376"/>
      <c r="I30" s="376"/>
      <c r="J30" s="376"/>
      <c r="K30" s="748"/>
      <c r="L30" s="749"/>
      <c r="M30" s="749"/>
      <c r="N30" s="750"/>
      <c r="O30" s="376"/>
      <c r="P30" s="376"/>
      <c r="Q30" s="376"/>
      <c r="R30" s="376"/>
      <c r="S30" s="376"/>
      <c r="T30" s="376"/>
      <c r="U30" s="376"/>
      <c r="V30" s="376"/>
      <c r="W30" s="376"/>
      <c r="X30" s="376"/>
      <c r="Y30" s="376"/>
      <c r="AP30" s="381"/>
      <c r="AQ30" s="381"/>
      <c r="AR30" s="381"/>
      <c r="AS30" s="381"/>
      <c r="AT30" s="377"/>
      <c r="AU30" s="377"/>
    </row>
    <row r="31" spans="4:47">
      <c r="E31" s="403" t="s">
        <v>639</v>
      </c>
      <c r="F31" s="429">
        <v>7.5</v>
      </c>
      <c r="G31" s="376"/>
      <c r="H31" s="376"/>
      <c r="I31" s="376"/>
      <c r="J31" s="376"/>
      <c r="K31" s="751"/>
      <c r="L31" s="752"/>
      <c r="M31" s="752"/>
      <c r="N31" s="753"/>
      <c r="O31" s="376"/>
      <c r="P31" s="376"/>
      <c r="Q31" s="376"/>
      <c r="R31" s="376"/>
      <c r="S31" s="376"/>
      <c r="T31" s="376"/>
      <c r="U31" s="376"/>
      <c r="V31" s="376"/>
      <c r="W31" s="376"/>
      <c r="X31" s="376"/>
      <c r="Y31" s="376"/>
      <c r="AP31" s="381"/>
      <c r="AQ31" s="381"/>
      <c r="AR31" s="381"/>
      <c r="AS31" s="381"/>
      <c r="AT31" s="377"/>
      <c r="AU31" s="377"/>
    </row>
    <row r="32" spans="4:47">
      <c r="E32" s="376"/>
      <c r="F32" s="376"/>
      <c r="G32" s="376"/>
      <c r="H32" s="376"/>
      <c r="I32" s="376"/>
      <c r="J32" s="376"/>
      <c r="K32" s="431"/>
      <c r="L32" s="431"/>
      <c r="M32" s="431"/>
      <c r="N32" s="431"/>
      <c r="O32" s="376"/>
      <c r="P32" s="376"/>
      <c r="Q32" s="376"/>
      <c r="R32" s="376"/>
      <c r="S32" s="376"/>
      <c r="T32" s="376"/>
      <c r="U32" s="376"/>
      <c r="V32" s="376"/>
      <c r="W32" s="376"/>
      <c r="X32" s="376"/>
      <c r="Y32" s="376"/>
      <c r="AP32" s="381"/>
      <c r="AQ32" s="381"/>
      <c r="AR32" s="381"/>
      <c r="AS32" s="381"/>
      <c r="AT32" s="377"/>
      <c r="AU32" s="377"/>
    </row>
    <row r="33" spans="1:60">
      <c r="E33" s="376"/>
      <c r="F33" s="376"/>
      <c r="G33" s="376"/>
      <c r="H33" s="376"/>
      <c r="I33" s="376"/>
      <c r="J33" s="376"/>
      <c r="K33" s="431"/>
      <c r="L33" s="431"/>
      <c r="M33" s="431"/>
      <c r="N33" s="431"/>
      <c r="O33" s="376"/>
      <c r="P33" s="376"/>
      <c r="Q33" s="376"/>
      <c r="R33" s="376"/>
      <c r="S33" s="376"/>
      <c r="T33" s="376"/>
      <c r="U33" s="376"/>
      <c r="V33" s="376"/>
      <c r="W33" s="376"/>
      <c r="X33" s="376"/>
      <c r="Y33" s="376"/>
      <c r="AP33" s="381"/>
      <c r="AQ33" s="381"/>
      <c r="AR33" s="381"/>
      <c r="AS33" s="381"/>
      <c r="AT33" s="377"/>
      <c r="AU33" s="377"/>
    </row>
    <row r="34" spans="1:60" ht="18" customHeight="1" thickBot="1">
      <c r="A34" s="433"/>
      <c r="B34" s="433"/>
      <c r="C34" s="765" t="s">
        <v>640</v>
      </c>
      <c r="D34" s="765"/>
      <c r="E34" s="765"/>
      <c r="F34" s="765"/>
      <c r="G34" s="765"/>
      <c r="H34" s="765"/>
      <c r="I34" s="765"/>
      <c r="J34" s="765"/>
      <c r="K34" s="765"/>
      <c r="L34" s="434"/>
      <c r="M34" s="434"/>
      <c r="N34" s="434"/>
      <c r="O34" s="434"/>
      <c r="P34" s="434"/>
      <c r="Q34" s="434"/>
      <c r="R34" s="435"/>
      <c r="S34" s="435"/>
      <c r="T34" s="435"/>
      <c r="U34" s="435"/>
      <c r="V34" s="435"/>
      <c r="W34" s="435"/>
      <c r="X34" s="435"/>
      <c r="Y34" s="435"/>
      <c r="Z34" s="435"/>
      <c r="AA34" s="435"/>
      <c r="AB34" s="436"/>
      <c r="AC34" s="436"/>
      <c r="AD34" s="434"/>
      <c r="AE34" s="434"/>
      <c r="AF34" s="434"/>
      <c r="AG34" s="437"/>
      <c r="AH34" s="437"/>
      <c r="AI34" s="437"/>
      <c r="AJ34" s="437"/>
      <c r="AK34" s="437"/>
      <c r="AL34" s="437"/>
      <c r="AM34" s="437"/>
      <c r="AN34" s="437"/>
      <c r="AO34" s="437"/>
      <c r="AP34" s="437"/>
      <c r="AQ34" s="437"/>
      <c r="AR34" s="437"/>
      <c r="AS34" s="437"/>
      <c r="AT34" s="437"/>
      <c r="AU34" s="437"/>
      <c r="AV34" s="437"/>
      <c r="AW34" s="438"/>
      <c r="AX34" s="438"/>
      <c r="AY34" s="438"/>
      <c r="AZ34" s="438"/>
      <c r="BA34" s="438"/>
      <c r="BB34" s="438"/>
      <c r="BC34" s="432"/>
      <c r="BD34" s="432"/>
      <c r="BE34" s="432"/>
      <c r="BF34" s="432"/>
      <c r="BG34" s="432"/>
      <c r="BH34" s="432"/>
    </row>
    <row r="35" spans="1:60" s="432" customFormat="1" ht="5.0999999999999996" customHeight="1" thickTop="1">
      <c r="A35" s="439"/>
      <c r="B35" s="439"/>
      <c r="C35" s="440"/>
      <c r="D35" s="440"/>
      <c r="E35" s="440"/>
      <c r="F35" s="440"/>
      <c r="G35" s="440"/>
      <c r="H35" s="440"/>
      <c r="I35" s="440"/>
      <c r="J35" s="440"/>
      <c r="K35" s="440"/>
      <c r="L35" s="440"/>
      <c r="M35" s="440"/>
      <c r="N35" s="440"/>
      <c r="O35" s="440"/>
      <c r="P35" s="440"/>
      <c r="Q35" s="440"/>
      <c r="R35" s="440"/>
      <c r="S35" s="440"/>
      <c r="T35" s="440"/>
      <c r="U35" s="440"/>
      <c r="V35" s="440"/>
      <c r="W35" s="440"/>
      <c r="X35" s="440"/>
      <c r="Y35" s="440"/>
      <c r="Z35" s="440"/>
      <c r="AA35" s="441"/>
      <c r="AB35" s="442"/>
      <c r="AC35" s="442"/>
      <c r="AD35" s="766"/>
      <c r="AE35" s="766"/>
      <c r="AF35" s="443"/>
      <c r="AH35" s="444"/>
      <c r="AI35" s="444"/>
      <c r="AJ35" s="444"/>
      <c r="AK35" s="444"/>
      <c r="AL35" s="444"/>
      <c r="AN35" s="445"/>
      <c r="AO35" s="445"/>
      <c r="AP35" s="445"/>
      <c r="AQ35" s="445"/>
      <c r="AR35" s="445"/>
      <c r="AS35" s="445"/>
      <c r="AT35" s="445"/>
      <c r="AU35" s="445"/>
      <c r="AV35" s="445"/>
      <c r="AW35" s="438"/>
      <c r="AX35" s="442"/>
      <c r="AY35" s="442"/>
      <c r="AZ35" s="442"/>
      <c r="BA35" s="442"/>
      <c r="BB35" s="442"/>
    </row>
    <row r="36" spans="1:60" s="432" customFormat="1" ht="15" customHeight="1" thickBot="1">
      <c r="A36" s="767" t="s">
        <v>641</v>
      </c>
      <c r="B36" s="767" t="e">
        <f>#REF!</f>
        <v>#REF!</v>
      </c>
      <c r="C36" s="768" t="s">
        <v>642</v>
      </c>
      <c r="D36" s="768" t="s">
        <v>643</v>
      </c>
      <c r="E36" s="768" t="s">
        <v>585</v>
      </c>
      <c r="F36" s="770" t="s">
        <v>644</v>
      </c>
      <c r="G36" s="768" t="s">
        <v>39</v>
      </c>
      <c r="H36" s="768" t="s">
        <v>46</v>
      </c>
      <c r="I36" s="772" t="s">
        <v>64</v>
      </c>
      <c r="J36" s="764" t="s">
        <v>645</v>
      </c>
      <c r="K36" s="764" t="s">
        <v>646</v>
      </c>
      <c r="L36" s="774" t="s">
        <v>599</v>
      </c>
      <c r="M36" s="764" t="s">
        <v>647</v>
      </c>
      <c r="N36" s="764" t="s">
        <v>648</v>
      </c>
      <c r="O36" s="776" t="s">
        <v>649</v>
      </c>
      <c r="P36" s="776"/>
      <c r="Q36" s="776"/>
      <c r="R36" s="776"/>
      <c r="S36" s="446"/>
      <c r="T36" s="776" t="s">
        <v>650</v>
      </c>
      <c r="U36" s="776"/>
      <c r="V36" s="776"/>
      <c r="W36" s="770" t="s">
        <v>651</v>
      </c>
      <c r="X36" s="770" t="s">
        <v>652</v>
      </c>
      <c r="Y36" s="770"/>
      <c r="Z36" s="770" t="s">
        <v>394</v>
      </c>
      <c r="AA36" s="447" t="s">
        <v>653</v>
      </c>
      <c r="AB36" s="448"/>
      <c r="AC36" s="772" t="s">
        <v>654</v>
      </c>
      <c r="AD36" s="772" t="s">
        <v>636</v>
      </c>
      <c r="AE36" s="772" t="s">
        <v>655</v>
      </c>
      <c r="AF36" s="779" t="s">
        <v>639</v>
      </c>
      <c r="AG36" s="449"/>
      <c r="AH36" s="781" t="s">
        <v>656</v>
      </c>
      <c r="AI36" s="781"/>
      <c r="AJ36" s="781"/>
      <c r="AK36" s="781"/>
      <c r="AL36" s="775" t="s">
        <v>657</v>
      </c>
      <c r="AM36" s="450"/>
      <c r="AN36" s="768" t="s">
        <v>642</v>
      </c>
      <c r="AO36" s="768" t="str">
        <f>E36</f>
        <v>Endereço</v>
      </c>
      <c r="AP36" s="782" t="s">
        <v>658</v>
      </c>
      <c r="AQ36" s="782"/>
      <c r="AR36" s="782"/>
      <c r="AS36" s="782"/>
      <c r="AT36" s="783" t="s">
        <v>659</v>
      </c>
      <c r="AU36" s="784" t="s">
        <v>660</v>
      </c>
      <c r="AV36" s="772" t="s">
        <v>661</v>
      </c>
      <c r="AW36" s="451"/>
      <c r="AX36" s="452"/>
      <c r="AY36" s="452"/>
      <c r="AZ36" s="452"/>
      <c r="BA36" s="452"/>
      <c r="BB36" s="452"/>
      <c r="BC36" s="453"/>
      <c r="BD36" s="453"/>
      <c r="BE36" s="453"/>
      <c r="BF36" s="453"/>
      <c r="BG36" s="453"/>
    </row>
    <row r="37" spans="1:60" s="432" customFormat="1" ht="55.2">
      <c r="A37" s="767"/>
      <c r="B37" s="767"/>
      <c r="C37" s="769"/>
      <c r="D37" s="769"/>
      <c r="E37" s="769"/>
      <c r="F37" s="771"/>
      <c r="G37" s="769"/>
      <c r="H37" s="769"/>
      <c r="I37" s="773"/>
      <c r="J37" s="764"/>
      <c r="K37" s="764"/>
      <c r="L37" s="774"/>
      <c r="M37" s="764"/>
      <c r="N37" s="764"/>
      <c r="O37" s="454" t="str">
        <f>IF($AV$39="Sim", "Total com vagas","Total")</f>
        <v>Total com vagas</v>
      </c>
      <c r="P37" s="455" t="s">
        <v>662</v>
      </c>
      <c r="Q37" s="454" t="str">
        <f>IF($AV$39="Sim","Unitário com vagas","Unitário")</f>
        <v>Unitário com vagas</v>
      </c>
      <c r="R37" s="455" t="s">
        <v>663</v>
      </c>
      <c r="S37" s="456"/>
      <c r="T37" s="457" t="s">
        <v>664</v>
      </c>
      <c r="U37" s="457" t="s">
        <v>665</v>
      </c>
      <c r="V37" s="455" t="s">
        <v>666</v>
      </c>
      <c r="W37" s="777"/>
      <c r="X37" s="457" t="s">
        <v>667</v>
      </c>
      <c r="Y37" s="457" t="s">
        <v>668</v>
      </c>
      <c r="Z37" s="777"/>
      <c r="AA37" s="458" t="s">
        <v>669</v>
      </c>
      <c r="AB37" s="459"/>
      <c r="AC37" s="772"/>
      <c r="AD37" s="772"/>
      <c r="AE37" s="772"/>
      <c r="AF37" s="780"/>
      <c r="AG37" s="449"/>
      <c r="AH37" s="460" t="s">
        <v>670</v>
      </c>
      <c r="AI37" s="460" t="s">
        <v>671</v>
      </c>
      <c r="AJ37" s="460" t="s">
        <v>672</v>
      </c>
      <c r="AK37" s="460" t="s">
        <v>673</v>
      </c>
      <c r="AL37" s="775"/>
      <c r="AM37" s="450"/>
      <c r="AN37" s="769"/>
      <c r="AO37" s="769"/>
      <c r="AP37" s="461" t="s">
        <v>674</v>
      </c>
      <c r="AQ37" s="462" t="s">
        <v>639</v>
      </c>
      <c r="AR37" s="462" t="s">
        <v>675</v>
      </c>
      <c r="AS37" s="462" t="s">
        <v>676</v>
      </c>
      <c r="AT37" s="783"/>
      <c r="AU37" s="784"/>
      <c r="AV37" s="772"/>
      <c r="AW37" s="451"/>
      <c r="AX37" s="452"/>
      <c r="AY37" s="452"/>
      <c r="AZ37" s="452"/>
      <c r="BA37" s="452"/>
      <c r="BB37" s="452"/>
      <c r="BC37" s="453"/>
      <c r="BD37" s="453"/>
      <c r="BE37" s="453"/>
      <c r="BF37" s="453"/>
      <c r="BG37" s="453"/>
    </row>
    <row r="38" spans="1:60" s="432" customFormat="1" ht="16.5" customHeight="1">
      <c r="A38" s="463"/>
      <c r="B38" s="463"/>
      <c r="C38" s="463"/>
      <c r="D38" s="463"/>
      <c r="E38" s="463"/>
      <c r="F38" s="463"/>
      <c r="G38" s="463"/>
      <c r="H38" s="463"/>
      <c r="I38" s="463"/>
      <c r="J38" s="463"/>
      <c r="K38" s="463"/>
      <c r="L38" s="463"/>
      <c r="M38" s="463"/>
      <c r="N38" s="463"/>
      <c r="O38" s="463"/>
      <c r="P38" s="463"/>
      <c r="Q38" s="464"/>
      <c r="R38" s="463"/>
      <c r="S38" s="463"/>
      <c r="T38" s="463"/>
      <c r="U38" s="463"/>
      <c r="V38" s="463"/>
      <c r="W38" s="463"/>
      <c r="X38" s="463"/>
      <c r="Y38" s="463"/>
      <c r="Z38" s="463"/>
      <c r="AA38" s="463"/>
      <c r="AB38" s="459"/>
      <c r="AC38" s="459"/>
      <c r="AD38" s="778" t="s">
        <v>677</v>
      </c>
      <c r="AE38" s="778"/>
      <c r="AF38" s="465"/>
      <c r="AG38" s="448"/>
      <c r="AH38" s="466"/>
      <c r="AI38" s="466"/>
      <c r="AJ38" s="466"/>
      <c r="AK38" s="466"/>
      <c r="AL38" s="466"/>
      <c r="AM38" s="448"/>
      <c r="AN38" s="467" t="s">
        <v>677</v>
      </c>
      <c r="AO38" s="467"/>
      <c r="AP38" s="467"/>
      <c r="AQ38" s="467" t="s">
        <v>678</v>
      </c>
      <c r="AR38" s="467"/>
      <c r="AS38" s="467"/>
      <c r="AT38" s="467"/>
      <c r="AU38" s="467"/>
      <c r="AV38" s="468" t="s">
        <v>679</v>
      </c>
      <c r="AW38" s="452"/>
      <c r="AX38" s="452"/>
      <c r="AY38" s="452"/>
      <c r="AZ38" s="452"/>
      <c r="BA38" s="452"/>
      <c r="BB38" s="452"/>
      <c r="BC38" s="453"/>
      <c r="BD38" s="453"/>
      <c r="BE38" s="453"/>
      <c r="BF38" s="453"/>
      <c r="BG38" s="453"/>
    </row>
    <row r="39" spans="1:60" s="432" customFormat="1" ht="16.5" customHeight="1" thickBot="1">
      <c r="A39" s="469"/>
      <c r="B39" s="469"/>
      <c r="C39" s="470" t="s">
        <v>81</v>
      </c>
      <c r="D39" s="471"/>
      <c r="E39" s="472" t="str">
        <f>$F$3</f>
        <v>Rua Dona Carmem, 89</v>
      </c>
      <c r="F39" s="473" t="str">
        <f>F4</f>
        <v>Apartamento</v>
      </c>
      <c r="G39" s="473" t="str">
        <f>F6</f>
        <v>Santa Terezinha</v>
      </c>
      <c r="H39" s="473" t="str">
        <f>F7</f>
        <v>Belo Horizonte</v>
      </c>
      <c r="I39" s="473" t="str">
        <f>F8</f>
        <v>MG</v>
      </c>
      <c r="J39" s="473">
        <f>F13</f>
        <v>1</v>
      </c>
      <c r="K39" s="474">
        <f>IF(OR(F4="Apartamento",F4="Sala Comercial"),F9,MAX(F9:F10))</f>
        <v>147.11000000000001</v>
      </c>
      <c r="L39" s="475">
        <f>F12</f>
        <v>2</v>
      </c>
      <c r="M39" s="475">
        <f>K39/L39</f>
        <v>73.555000000000007</v>
      </c>
      <c r="N39" s="476">
        <v>0</v>
      </c>
      <c r="O39" s="469"/>
      <c r="P39" s="469"/>
      <c r="Q39" s="477"/>
      <c r="R39" s="469"/>
      <c r="S39" s="469"/>
      <c r="T39" s="469"/>
      <c r="U39" s="469"/>
      <c r="V39" s="469"/>
      <c r="W39" s="469"/>
      <c r="X39" s="469"/>
      <c r="Y39" s="469"/>
      <c r="Z39" s="469"/>
      <c r="AA39" s="469"/>
      <c r="AB39" s="478"/>
      <c r="AC39" s="479">
        <f>$F$27</f>
        <v>2022</v>
      </c>
      <c r="AD39" s="480">
        <f>$F$28</f>
        <v>5</v>
      </c>
      <c r="AE39" s="481" t="str">
        <f>$F$29</f>
        <v>A</v>
      </c>
      <c r="AF39" s="482">
        <f>$F$31</f>
        <v>7.5</v>
      </c>
      <c r="AG39" s="483"/>
      <c r="AH39" s="484">
        <f>AD39/$F$26</f>
        <v>6.6666666666666666E-2</v>
      </c>
      <c r="AI39" s="484">
        <f>IF(AE39=$AC$63,$AF$63,IF(AE39=$AC$64,$AF$64,IF(AE39=$AC$65,$AF$65,IF(AE39=$AC$66,$AF$66,IF(AE39=$AC$67,$AF$67,IF(AE39=$AC$68,$AF$68,IF(AE39=$AC$69,$AF$69,IF(AE39=$AC$70,$AF$70,100%))))))))</f>
        <v>0</v>
      </c>
      <c r="AJ39" s="484">
        <f>((0.5* (AH39+AH39^2))*(1-AI39)+AI39)</f>
        <v>3.5555555555555556E-2</v>
      </c>
      <c r="AK39" s="484">
        <f>1-AJ39</f>
        <v>0.96444444444444444</v>
      </c>
      <c r="AL39" s="485"/>
      <c r="AM39" s="483"/>
      <c r="AN39" s="486" t="str">
        <f>C39</f>
        <v>-</v>
      </c>
      <c r="AO39" s="487" t="str">
        <f>E39</f>
        <v>Rua Dona Carmem, 89</v>
      </c>
      <c r="AP39" s="469"/>
      <c r="AQ39" s="488" t="s">
        <v>26</v>
      </c>
      <c r="AR39" s="488" t="s">
        <v>26</v>
      </c>
      <c r="AS39" s="488" t="s">
        <v>26</v>
      </c>
      <c r="AT39" s="469"/>
      <c r="AU39" s="469"/>
      <c r="AV39" s="489" t="s">
        <v>26</v>
      </c>
      <c r="AW39" s="490"/>
      <c r="AX39" s="478"/>
      <c r="AY39" s="478"/>
      <c r="AZ39" s="478"/>
      <c r="BA39" s="478"/>
      <c r="BB39" s="478"/>
      <c r="BC39" s="453"/>
      <c r="BD39" s="491" t="s">
        <v>680</v>
      </c>
      <c r="BE39" s="492"/>
      <c r="BF39" s="492"/>
      <c r="BG39" s="492"/>
    </row>
    <row r="40" spans="1:60" s="432" customFormat="1" ht="16.5" customHeight="1" thickBot="1">
      <c r="A40" s="493"/>
      <c r="B40" s="493"/>
      <c r="C40" s="453"/>
      <c r="D40" s="453"/>
      <c r="E40" s="494" t="s">
        <v>681</v>
      </c>
      <c r="F40" s="494"/>
      <c r="G40" s="494"/>
      <c r="H40" s="494"/>
      <c r="I40" s="494"/>
      <c r="J40" s="452"/>
      <c r="K40" s="495"/>
      <c r="L40" s="493"/>
      <c r="M40" s="493"/>
      <c r="N40" s="496"/>
      <c r="O40" s="496"/>
      <c r="P40" s="496"/>
      <c r="Q40" s="496"/>
      <c r="R40" s="493"/>
      <c r="S40" s="493"/>
      <c r="T40" s="493"/>
      <c r="U40" s="493"/>
      <c r="V40" s="493"/>
      <c r="W40" s="493"/>
      <c r="X40" s="493"/>
      <c r="Y40" s="493"/>
      <c r="Z40" s="493"/>
      <c r="AA40" s="493"/>
      <c r="AB40" s="452"/>
      <c r="AC40" s="459"/>
      <c r="AD40" s="497"/>
      <c r="AE40" s="497"/>
      <c r="AF40" s="498"/>
      <c r="AG40" s="483"/>
      <c r="AH40" s="499"/>
      <c r="AI40" s="499"/>
      <c r="AJ40" s="499"/>
      <c r="AK40" s="499"/>
      <c r="AL40" s="499"/>
      <c r="AM40" s="483"/>
      <c r="AN40" s="500" t="s">
        <v>681</v>
      </c>
      <c r="AO40" s="500"/>
      <c r="AP40" s="500"/>
      <c r="AQ40" s="500"/>
      <c r="AR40" s="500"/>
      <c r="AS40" s="500"/>
      <c r="AT40" s="500"/>
      <c r="AU40" s="500"/>
      <c r="AV40" s="500"/>
      <c r="AW40" s="452"/>
      <c r="AX40" s="452"/>
      <c r="AY40" s="452"/>
      <c r="AZ40" s="452"/>
      <c r="BA40" s="452"/>
      <c r="BB40" s="452"/>
      <c r="BC40" s="453"/>
      <c r="BD40" s="501" t="s">
        <v>682</v>
      </c>
      <c r="BE40" s="502"/>
      <c r="BF40" s="503" t="s">
        <v>683</v>
      </c>
      <c r="BG40" s="504"/>
    </row>
    <row r="41" spans="1:60" s="432" customFormat="1" ht="16.5" customHeight="1" thickBot="1">
      <c r="A41" s="505" t="s">
        <v>766</v>
      </c>
      <c r="B41" s="506">
        <v>1</v>
      </c>
      <c r="C41" s="507">
        <f>IF(A41="S",1,IF(A41="N",""))</f>
        <v>1</v>
      </c>
      <c r="D41" s="508"/>
      <c r="E41" s="509" t="s">
        <v>758</v>
      </c>
      <c r="F41" s="509" t="s">
        <v>29</v>
      </c>
      <c r="G41" s="509" t="s">
        <v>752</v>
      </c>
      <c r="H41" s="509" t="s">
        <v>751</v>
      </c>
      <c r="I41" s="509" t="s">
        <v>175</v>
      </c>
      <c r="J41" s="510">
        <v>110</v>
      </c>
      <c r="K41" s="510">
        <v>110</v>
      </c>
      <c r="L41" s="511">
        <v>2</v>
      </c>
      <c r="M41" s="511">
        <f t="shared" ref="M41:M60" si="1">K41/L41</f>
        <v>55</v>
      </c>
      <c r="N41" s="512">
        <f t="shared" ref="N41:N60" si="2">$N$39</f>
        <v>0</v>
      </c>
      <c r="O41" s="512">
        <v>380000</v>
      </c>
      <c r="P41" s="512">
        <f t="shared" ref="P41:P60" si="3">O41-(N41*L41)</f>
        <v>380000</v>
      </c>
      <c r="Q41" s="512">
        <f t="shared" ref="Q41:Q60" si="4">O41/K41</f>
        <v>3454.5454545454545</v>
      </c>
      <c r="R41" s="512">
        <f t="shared" ref="R41:R60" si="5">P41/K41</f>
        <v>3454.5454545454545</v>
      </c>
      <c r="S41" s="512"/>
      <c r="T41" s="513">
        <v>0.9</v>
      </c>
      <c r="U41" s="512">
        <f t="shared" ref="U41:U60" si="6">$Q41*$T41</f>
        <v>3109.090909090909</v>
      </c>
      <c r="V41" s="512">
        <f t="shared" ref="V41:V60" si="7">$R41*$T41</f>
        <v>3109.090909090909</v>
      </c>
      <c r="W41" s="514"/>
      <c r="X41" s="514"/>
      <c r="Y41" s="514"/>
      <c r="Z41" s="514" t="s">
        <v>685</v>
      </c>
      <c r="AA41" s="696" t="s">
        <v>759</v>
      </c>
      <c r="AB41" s="452"/>
      <c r="AC41" s="508"/>
      <c r="AD41" s="511">
        <v>10</v>
      </c>
      <c r="AE41" s="511" t="s">
        <v>59</v>
      </c>
      <c r="AF41" s="515">
        <v>7</v>
      </c>
      <c r="AG41" s="483"/>
      <c r="AH41" s="516">
        <f t="shared" ref="AH41:AH60" si="8">AD41/$F$26</f>
        <v>0.13333333333333333</v>
      </c>
      <c r="AI41" s="516">
        <f t="shared" ref="AI41:AI60" si="9">IF(AE41=$AC$63,$AF$63,IF(AE41=$AC$64,$AF$64,IF(AE41=$AC$65,$AF$65,IF(AE41=$AC$66,$AF$66,IF(AE41=$AC$67,$AF$67,IF(AE41=$AC$68,$AF$68,IF(AE41=$AC$69,$AF$69,IF(AE41=$AC$70,$AF$70,100%))))))))</f>
        <v>0</v>
      </c>
      <c r="AJ41" s="516">
        <f t="shared" ref="AJ41:AJ60" si="10">((0.5* (AH41+AH41^2))*(1-AI41)+AI41)</f>
        <v>7.5555555555555556E-2</v>
      </c>
      <c r="AK41" s="516">
        <f t="shared" ref="AK41:AK60" si="11">1-AJ41</f>
        <v>0.9244444444444444</v>
      </c>
      <c r="AL41" s="517">
        <f t="shared" ref="AL41:AL60" si="12">$AK$39/AK41</f>
        <v>1.0432692307692308</v>
      </c>
      <c r="AM41" s="483"/>
      <c r="AN41" s="518">
        <f t="shared" ref="AN41:AN60" si="13">C41</f>
        <v>1</v>
      </c>
      <c r="AO41" s="519" t="str">
        <f t="shared" ref="AO41:AO60" si="14">E41</f>
        <v>Rua Dona Carmen</v>
      </c>
      <c r="AP41" s="513">
        <v>1</v>
      </c>
      <c r="AQ41" s="520">
        <f t="shared" ref="AQ41:AQ60" si="15">IF($AQ$39="Sim",$AF$39/AF41,1)</f>
        <v>1.0714285714285714</v>
      </c>
      <c r="AR41" s="520">
        <f t="shared" ref="AR41:AR60" si="16">IF($AR$39="Sim",AL41,1)</f>
        <v>1.0432692307692308</v>
      </c>
      <c r="AS41" s="520">
        <f t="shared" ref="AS41:AS60" si="17">IF($AS$39="Sim",(K41/$K$39)^0.125,1)</f>
        <v>0.96431475333111072</v>
      </c>
      <c r="AT41" s="520">
        <f t="shared" ref="AT41:AT60" si="18">AP41*AQ41*AR41*AS41</f>
        <v>1.0778999045648234</v>
      </c>
      <c r="AU41" s="521">
        <f t="shared" ref="AU41:AU60" si="19">AX41</f>
        <v>3351.288794192451</v>
      </c>
      <c r="AV41" s="521">
        <f t="shared" ref="AV41:AV60" si="20">IF(A41="S",IF($AV$39="Sim",AT41*V41,AT41*U41),IF(A41="N",""))</f>
        <v>3351.288794192451</v>
      </c>
      <c r="AW41" s="522" t="str">
        <f t="shared" ref="AW41:AW60" si="21">IF(BA41="Deletar","DELETAR",IF(BA41="Volta", "VOLTA","ok"))</f>
        <v>ok</v>
      </c>
      <c r="AX41" s="523">
        <f t="shared" ref="AX41:AX60" si="22">IF(A41="S",IF($AV$39="Sim",AT41*V41,AT41*U41),IF(A41="N",""))</f>
        <v>3351.288794192451</v>
      </c>
      <c r="AY41" s="523">
        <f t="shared" ref="AY41:AY60" si="23">IFERROR(ABS(AX41-$AV$66),"")</f>
        <v>71.363955366721711</v>
      </c>
      <c r="AZ41" s="523">
        <f t="shared" ref="AZ41:AZ60" si="24">IFERROR(IF(ABS(AV41-$AV$66)=$AV$66,0,ABS(AV41-$AV$66)),"")</f>
        <v>71.363955366721711</v>
      </c>
      <c r="BA41" s="524">
        <f t="shared" ref="BA41:BA60" si="25">IF(A41="N","Deletar Calculos e Ocultar",IF(OR(AX41=$AV$66,AND(AZ41=0,AY41&lt;$BA$61)),"Volta",IF(AND(BB41=0,AZ41=$BA$61),"Deletar",)))</f>
        <v>0</v>
      </c>
      <c r="BB41" s="523">
        <f t="shared" ref="BB41:BB60" si="26">IF(AND(AV41&gt;=$AV$67,AV41&lt;=$AV$68),AV41,)</f>
        <v>3351.288794192451</v>
      </c>
      <c r="BC41" s="453"/>
      <c r="BD41" s="525"/>
      <c r="BE41" s="526"/>
      <c r="BF41" s="527" t="s">
        <v>686</v>
      </c>
      <c r="BG41" s="528">
        <f>ROUND(AVERAGE(AU41:AU60),2)</f>
        <v>3422.65</v>
      </c>
    </row>
    <row r="42" spans="1:60" s="432" customFormat="1" ht="16.5" customHeight="1" thickBot="1">
      <c r="A42" s="505" t="s">
        <v>766</v>
      </c>
      <c r="B42" s="506">
        <v>2</v>
      </c>
      <c r="C42" s="529">
        <f>IF(A42="N","",IF(A42="S",IF(SUM($C$41:C41)=0,1,SUM(LARGE($C$41:C41,1),1))))</f>
        <v>2</v>
      </c>
      <c r="D42" s="530"/>
      <c r="E42" s="531" t="s">
        <v>758</v>
      </c>
      <c r="F42" s="531" t="s">
        <v>29</v>
      </c>
      <c r="G42" s="531" t="s">
        <v>752</v>
      </c>
      <c r="H42" s="531" t="s">
        <v>751</v>
      </c>
      <c r="I42" s="531" t="s">
        <v>175</v>
      </c>
      <c r="J42" s="532">
        <v>130</v>
      </c>
      <c r="K42" s="532">
        <v>130</v>
      </c>
      <c r="L42" s="533">
        <v>2</v>
      </c>
      <c r="M42" s="533">
        <f t="shared" si="1"/>
        <v>65</v>
      </c>
      <c r="N42" s="534">
        <f t="shared" si="2"/>
        <v>0</v>
      </c>
      <c r="O42" s="534">
        <v>390000</v>
      </c>
      <c r="P42" s="534">
        <f t="shared" si="3"/>
        <v>390000</v>
      </c>
      <c r="Q42" s="534">
        <f t="shared" si="4"/>
        <v>3000</v>
      </c>
      <c r="R42" s="534">
        <f t="shared" si="5"/>
        <v>3000</v>
      </c>
      <c r="S42" s="534"/>
      <c r="T42" s="535">
        <v>0.9</v>
      </c>
      <c r="U42" s="534">
        <f t="shared" si="6"/>
        <v>2700</v>
      </c>
      <c r="V42" s="534">
        <f t="shared" si="7"/>
        <v>2700</v>
      </c>
      <c r="W42" s="536"/>
      <c r="X42" s="536"/>
      <c r="Y42" s="536"/>
      <c r="Z42" s="536" t="s">
        <v>685</v>
      </c>
      <c r="AA42" s="697" t="s">
        <v>760</v>
      </c>
      <c r="AB42" s="494"/>
      <c r="AC42" s="530"/>
      <c r="AD42" s="533">
        <v>10</v>
      </c>
      <c r="AE42" s="533" t="s">
        <v>60</v>
      </c>
      <c r="AF42" s="537">
        <v>7</v>
      </c>
      <c r="AG42" s="538"/>
      <c r="AH42" s="539">
        <f t="shared" si="8"/>
        <v>0.13333333333333333</v>
      </c>
      <c r="AI42" s="539">
        <f t="shared" si="9"/>
        <v>3.2000000000000002E-3</v>
      </c>
      <c r="AJ42" s="539">
        <f t="shared" si="10"/>
        <v>7.851377777777778E-2</v>
      </c>
      <c r="AK42" s="539">
        <f t="shared" si="11"/>
        <v>0.92148622222222221</v>
      </c>
      <c r="AL42" s="540">
        <f t="shared" si="12"/>
        <v>1.0466184096802074</v>
      </c>
      <c r="AM42" s="538"/>
      <c r="AN42" s="541">
        <f t="shared" si="13"/>
        <v>2</v>
      </c>
      <c r="AO42" s="542" t="str">
        <f t="shared" si="14"/>
        <v>Rua Dona Carmen</v>
      </c>
      <c r="AP42" s="535">
        <v>1</v>
      </c>
      <c r="AQ42" s="543">
        <f t="shared" si="15"/>
        <v>1.0714285714285714</v>
      </c>
      <c r="AR42" s="543">
        <f t="shared" si="16"/>
        <v>1.0466184096802074</v>
      </c>
      <c r="AS42" s="543">
        <f t="shared" si="17"/>
        <v>0.98466305795177622</v>
      </c>
      <c r="AT42" s="543">
        <f t="shared" si="18"/>
        <v>1.1041783754832193</v>
      </c>
      <c r="AU42" s="544">
        <f t="shared" si="19"/>
        <v>2981.2816138046919</v>
      </c>
      <c r="AV42" s="544">
        <f t="shared" si="20"/>
        <v>2981.2816138046919</v>
      </c>
      <c r="AW42" s="522" t="str">
        <f t="shared" si="21"/>
        <v>ok</v>
      </c>
      <c r="AX42" s="523">
        <f t="shared" si="22"/>
        <v>2981.2816138046919</v>
      </c>
      <c r="AY42" s="523">
        <f t="shared" si="23"/>
        <v>441.37113575448075</v>
      </c>
      <c r="AZ42" s="523">
        <f t="shared" si="24"/>
        <v>441.37113575448075</v>
      </c>
      <c r="BA42" s="524">
        <f t="shared" si="25"/>
        <v>0</v>
      </c>
      <c r="BB42" s="523">
        <f t="shared" si="26"/>
        <v>2981.2816138046919</v>
      </c>
      <c r="BC42" s="453"/>
      <c r="BD42" s="525" t="s">
        <v>687</v>
      </c>
      <c r="BE42" s="545">
        <f>LARGE(C41:C60,1)</f>
        <v>5</v>
      </c>
      <c r="BF42" s="527" t="s">
        <v>688</v>
      </c>
      <c r="BG42" s="546">
        <f>STDEV(AU41:AU60)</f>
        <v>297.1714605701606</v>
      </c>
    </row>
    <row r="43" spans="1:60" s="432" customFormat="1" ht="16.5" customHeight="1" thickBot="1">
      <c r="A43" s="505" t="s">
        <v>766</v>
      </c>
      <c r="B43" s="506">
        <v>3</v>
      </c>
      <c r="C43" s="507">
        <f>IF(A43="N","",IF(A43="S",IF(SUM($C$41:C42)=0,1,SUM(LARGE($C$41:C42,1),1))))</f>
        <v>3</v>
      </c>
      <c r="D43" s="508"/>
      <c r="E43" s="509" t="s">
        <v>761</v>
      </c>
      <c r="F43" s="509" t="s">
        <v>29</v>
      </c>
      <c r="G43" s="509" t="s">
        <v>752</v>
      </c>
      <c r="H43" s="509" t="s">
        <v>751</v>
      </c>
      <c r="I43" s="509" t="s">
        <v>175</v>
      </c>
      <c r="J43" s="510">
        <v>112</v>
      </c>
      <c r="K43" s="510">
        <v>112</v>
      </c>
      <c r="L43" s="511">
        <v>2</v>
      </c>
      <c r="M43" s="511">
        <f t="shared" si="1"/>
        <v>56</v>
      </c>
      <c r="N43" s="512">
        <f t="shared" si="2"/>
        <v>0</v>
      </c>
      <c r="O43" s="512">
        <v>400000</v>
      </c>
      <c r="P43" s="512">
        <f t="shared" si="3"/>
        <v>400000</v>
      </c>
      <c r="Q43" s="512">
        <f t="shared" si="4"/>
        <v>3571.4285714285716</v>
      </c>
      <c r="R43" s="512">
        <f t="shared" si="5"/>
        <v>3571.4285714285716</v>
      </c>
      <c r="S43" s="512"/>
      <c r="T43" s="513">
        <v>0.9</v>
      </c>
      <c r="U43" s="512">
        <f t="shared" si="6"/>
        <v>3214.2857142857147</v>
      </c>
      <c r="V43" s="512">
        <f t="shared" si="7"/>
        <v>3214.2857142857147</v>
      </c>
      <c r="W43" s="514"/>
      <c r="X43" s="514"/>
      <c r="Y43" s="514"/>
      <c r="Z43" s="514" t="s">
        <v>685</v>
      </c>
      <c r="AA43" s="696" t="s">
        <v>762</v>
      </c>
      <c r="AB43" s="452"/>
      <c r="AC43" s="508"/>
      <c r="AD43" s="511">
        <v>10</v>
      </c>
      <c r="AE43" s="511" t="s">
        <v>59</v>
      </c>
      <c r="AF43" s="515">
        <v>7</v>
      </c>
      <c r="AG43" s="483"/>
      <c r="AH43" s="516">
        <f t="shared" si="8"/>
        <v>0.13333333333333333</v>
      </c>
      <c r="AI43" s="516">
        <f t="shared" si="9"/>
        <v>0</v>
      </c>
      <c r="AJ43" s="516">
        <f t="shared" si="10"/>
        <v>7.5555555555555556E-2</v>
      </c>
      <c r="AK43" s="516">
        <f t="shared" si="11"/>
        <v>0.9244444444444444</v>
      </c>
      <c r="AL43" s="517">
        <f t="shared" si="12"/>
        <v>1.0432692307692308</v>
      </c>
      <c r="AM43" s="483"/>
      <c r="AN43" s="518">
        <f t="shared" si="13"/>
        <v>3</v>
      </c>
      <c r="AO43" s="519" t="str">
        <f t="shared" si="14"/>
        <v>Rua Castelo de Abrantes</v>
      </c>
      <c r="AP43" s="513">
        <v>1</v>
      </c>
      <c r="AQ43" s="520">
        <f t="shared" si="15"/>
        <v>1.0714285714285714</v>
      </c>
      <c r="AR43" s="520">
        <f t="shared" si="16"/>
        <v>1.0432692307692308</v>
      </c>
      <c r="AS43" s="520">
        <f t="shared" si="17"/>
        <v>0.96648913994788177</v>
      </c>
      <c r="AT43" s="520">
        <f t="shared" si="18"/>
        <v>1.0803304088359738</v>
      </c>
      <c r="AU43" s="521">
        <f t="shared" si="19"/>
        <v>3472.4905998299159</v>
      </c>
      <c r="AV43" s="521">
        <f t="shared" si="20"/>
        <v>3472.4905998299159</v>
      </c>
      <c r="AW43" s="522" t="str">
        <f t="shared" si="21"/>
        <v>ok</v>
      </c>
      <c r="AX43" s="523">
        <f t="shared" si="22"/>
        <v>3472.4905998299159</v>
      </c>
      <c r="AY43" s="523">
        <f t="shared" si="23"/>
        <v>49.837850270743274</v>
      </c>
      <c r="AZ43" s="523">
        <f t="shared" si="24"/>
        <v>49.837850270743274</v>
      </c>
      <c r="BA43" s="524">
        <f t="shared" si="25"/>
        <v>0</v>
      </c>
      <c r="BB43" s="523">
        <f t="shared" si="26"/>
        <v>3472.4905998299159</v>
      </c>
      <c r="BC43" s="453"/>
      <c r="BD43" s="525" t="s">
        <v>689</v>
      </c>
      <c r="BE43" s="547">
        <f>VLOOKUP(BE42,BD53:BF71,3,FALSE)</f>
        <v>1.53</v>
      </c>
      <c r="BF43" s="527" t="s">
        <v>690</v>
      </c>
      <c r="BG43" s="548">
        <f>BG42/BG41</f>
        <v>8.6824963279961614E-2</v>
      </c>
    </row>
    <row r="44" spans="1:60" s="432" customFormat="1" ht="16.5" customHeight="1" thickBot="1">
      <c r="A44" s="505" t="s">
        <v>766</v>
      </c>
      <c r="B44" s="506">
        <v>4</v>
      </c>
      <c r="C44" s="529">
        <f>IF(A44="N","",IF(A44="S",IF(SUM($C$41:C43)=0,1,SUM(LARGE($C$41:C43,1),1))))</f>
        <v>4</v>
      </c>
      <c r="D44" s="530"/>
      <c r="E44" s="531" t="s">
        <v>758</v>
      </c>
      <c r="F44" s="531" t="s">
        <v>29</v>
      </c>
      <c r="G44" s="531" t="s">
        <v>752</v>
      </c>
      <c r="H44" s="531" t="s">
        <v>751</v>
      </c>
      <c r="I44" s="531" t="s">
        <v>763</v>
      </c>
      <c r="J44" s="532">
        <v>120</v>
      </c>
      <c r="K44" s="532">
        <v>120</v>
      </c>
      <c r="L44" s="533">
        <v>2</v>
      </c>
      <c r="M44" s="533">
        <f t="shared" si="1"/>
        <v>60</v>
      </c>
      <c r="N44" s="534">
        <f t="shared" si="2"/>
        <v>0</v>
      </c>
      <c r="O44" s="534">
        <v>520000</v>
      </c>
      <c r="P44" s="534">
        <f t="shared" si="3"/>
        <v>520000</v>
      </c>
      <c r="Q44" s="534">
        <f t="shared" si="4"/>
        <v>4333.333333333333</v>
      </c>
      <c r="R44" s="534">
        <f t="shared" si="5"/>
        <v>4333.333333333333</v>
      </c>
      <c r="S44" s="534"/>
      <c r="T44" s="535">
        <v>0.9</v>
      </c>
      <c r="U44" s="534">
        <f t="shared" si="6"/>
        <v>3900</v>
      </c>
      <c r="V44" s="534">
        <f t="shared" si="7"/>
        <v>3900</v>
      </c>
      <c r="W44" s="536"/>
      <c r="X44" s="536"/>
      <c r="Y44" s="536"/>
      <c r="Z44" s="536" t="s">
        <v>685</v>
      </c>
      <c r="AA44" s="697" t="s">
        <v>764</v>
      </c>
      <c r="AB44" s="494"/>
      <c r="AC44" s="530"/>
      <c r="AD44" s="533">
        <v>5</v>
      </c>
      <c r="AE44" s="533" t="s">
        <v>59</v>
      </c>
      <c r="AF44" s="537">
        <v>7.5</v>
      </c>
      <c r="AG44" s="538"/>
      <c r="AH44" s="539">
        <f t="shared" si="8"/>
        <v>6.6666666666666666E-2</v>
      </c>
      <c r="AI44" s="539">
        <f t="shared" si="9"/>
        <v>0</v>
      </c>
      <c r="AJ44" s="539">
        <f t="shared" si="10"/>
        <v>3.5555555555555556E-2</v>
      </c>
      <c r="AK44" s="539">
        <f t="shared" si="11"/>
        <v>0.96444444444444444</v>
      </c>
      <c r="AL44" s="540">
        <f t="shared" si="12"/>
        <v>1</v>
      </c>
      <c r="AM44" s="538"/>
      <c r="AN44" s="541">
        <f t="shared" si="13"/>
        <v>4</v>
      </c>
      <c r="AO44" s="542" t="str">
        <f t="shared" si="14"/>
        <v>Rua Dona Carmen</v>
      </c>
      <c r="AP44" s="535">
        <v>1</v>
      </c>
      <c r="AQ44" s="543">
        <f t="shared" si="15"/>
        <v>1</v>
      </c>
      <c r="AR44" s="543">
        <f t="shared" si="16"/>
        <v>1</v>
      </c>
      <c r="AS44" s="543">
        <f t="shared" si="17"/>
        <v>0.97486029255832241</v>
      </c>
      <c r="AT44" s="543">
        <f t="shared" si="18"/>
        <v>0.97486029255832241</v>
      </c>
      <c r="AU44" s="544">
        <f t="shared" si="19"/>
        <v>3801.9551409774572</v>
      </c>
      <c r="AV44" s="544">
        <f t="shared" si="20"/>
        <v>3801.9551409774572</v>
      </c>
      <c r="AW44" s="522" t="str">
        <f t="shared" si="21"/>
        <v>ok</v>
      </c>
      <c r="AX44" s="523">
        <f t="shared" si="22"/>
        <v>3801.9551409774572</v>
      </c>
      <c r="AY44" s="523">
        <f t="shared" si="23"/>
        <v>379.30239141828451</v>
      </c>
      <c r="AZ44" s="523">
        <f t="shared" si="24"/>
        <v>379.30239141828451</v>
      </c>
      <c r="BA44" s="524">
        <f t="shared" si="25"/>
        <v>0</v>
      </c>
      <c r="BB44" s="523">
        <f t="shared" si="26"/>
        <v>3801.9551409774572</v>
      </c>
      <c r="BC44" s="453"/>
      <c r="BD44" s="549" t="s">
        <v>692</v>
      </c>
      <c r="BE44" s="550">
        <f>VLOOKUP(BE42,BD53:BF71,2,FALSE)</f>
        <v>1.65</v>
      </c>
      <c r="BF44" s="527" t="s">
        <v>693</v>
      </c>
      <c r="BG44" s="551">
        <f>ROUND(AVERAGE(AV41:AV60),2)</f>
        <v>3422.65</v>
      </c>
    </row>
    <row r="45" spans="1:60" s="432" customFormat="1" ht="16.5" customHeight="1" thickBot="1">
      <c r="A45" s="505" t="s">
        <v>766</v>
      </c>
      <c r="B45" s="506">
        <v>5</v>
      </c>
      <c r="C45" s="507">
        <f>IF(A45="N","",IF(A45="S",IF(SUM($C$41:C44)=0,1,SUM(LARGE($C$41:C44,1),1))))</f>
        <v>5</v>
      </c>
      <c r="D45" s="508"/>
      <c r="E45" s="509"/>
      <c r="F45" s="509" t="s">
        <v>29</v>
      </c>
      <c r="G45" s="509" t="s">
        <v>752</v>
      </c>
      <c r="H45" s="509" t="s">
        <v>751</v>
      </c>
      <c r="I45" s="509" t="s">
        <v>175</v>
      </c>
      <c r="J45" s="510">
        <v>144</v>
      </c>
      <c r="K45" s="510">
        <v>144</v>
      </c>
      <c r="L45" s="511">
        <v>2</v>
      </c>
      <c r="M45" s="511">
        <f t="shared" si="1"/>
        <v>72</v>
      </c>
      <c r="N45" s="512">
        <f t="shared" si="2"/>
        <v>0</v>
      </c>
      <c r="O45" s="512">
        <v>600000</v>
      </c>
      <c r="P45" s="512">
        <f t="shared" si="3"/>
        <v>600000</v>
      </c>
      <c r="Q45" s="512">
        <f t="shared" si="4"/>
        <v>4166.666666666667</v>
      </c>
      <c r="R45" s="512">
        <f t="shared" si="5"/>
        <v>4166.666666666667</v>
      </c>
      <c r="S45" s="512"/>
      <c r="T45" s="513">
        <v>0.9</v>
      </c>
      <c r="U45" s="512">
        <f t="shared" si="6"/>
        <v>3750.0000000000005</v>
      </c>
      <c r="V45" s="512">
        <f t="shared" si="7"/>
        <v>3750.0000000000005</v>
      </c>
      <c r="W45" s="514"/>
      <c r="X45" s="514"/>
      <c r="Y45" s="514"/>
      <c r="Z45" s="514" t="s">
        <v>685</v>
      </c>
      <c r="AA45" s="696" t="s">
        <v>765</v>
      </c>
      <c r="AB45" s="452"/>
      <c r="AC45" s="508"/>
      <c r="AD45" s="511">
        <v>5</v>
      </c>
      <c r="AE45" s="511" t="s">
        <v>59</v>
      </c>
      <c r="AF45" s="515">
        <v>8</v>
      </c>
      <c r="AG45" s="483"/>
      <c r="AH45" s="516">
        <f t="shared" si="8"/>
        <v>6.6666666666666666E-2</v>
      </c>
      <c r="AI45" s="516">
        <f t="shared" si="9"/>
        <v>0</v>
      </c>
      <c r="AJ45" s="516">
        <f t="shared" si="10"/>
        <v>3.5555555555555556E-2</v>
      </c>
      <c r="AK45" s="516">
        <f t="shared" si="11"/>
        <v>0.96444444444444444</v>
      </c>
      <c r="AL45" s="517">
        <f t="shared" si="12"/>
        <v>1</v>
      </c>
      <c r="AM45" s="483"/>
      <c r="AN45" s="518">
        <f t="shared" si="13"/>
        <v>5</v>
      </c>
      <c r="AO45" s="519">
        <f t="shared" si="14"/>
        <v>0</v>
      </c>
      <c r="AP45" s="513">
        <v>1</v>
      </c>
      <c r="AQ45" s="520">
        <f t="shared" si="15"/>
        <v>0.9375</v>
      </c>
      <c r="AR45" s="520">
        <f t="shared" si="16"/>
        <v>1</v>
      </c>
      <c r="AS45" s="520">
        <f t="shared" si="17"/>
        <v>0.99733265037976071</v>
      </c>
      <c r="AT45" s="520">
        <f t="shared" si="18"/>
        <v>0.93499935973102566</v>
      </c>
      <c r="AU45" s="521">
        <f t="shared" si="19"/>
        <v>3506.2475989913464</v>
      </c>
      <c r="AV45" s="521">
        <f t="shared" si="20"/>
        <v>3506.2475989913464</v>
      </c>
      <c r="AW45" s="522" t="str">
        <f t="shared" si="21"/>
        <v>ok</v>
      </c>
      <c r="AX45" s="523">
        <f t="shared" si="22"/>
        <v>3506.2475989913464</v>
      </c>
      <c r="AY45" s="523">
        <f t="shared" si="23"/>
        <v>83.59484943217376</v>
      </c>
      <c r="AZ45" s="523">
        <f t="shared" si="24"/>
        <v>83.59484943217376</v>
      </c>
      <c r="BA45" s="524">
        <f t="shared" si="25"/>
        <v>0</v>
      </c>
      <c r="BB45" s="523">
        <f t="shared" si="26"/>
        <v>3506.2475989913464</v>
      </c>
      <c r="BC45" s="453"/>
      <c r="BD45" s="549"/>
      <c r="BE45" s="552"/>
      <c r="BF45" s="553"/>
      <c r="BG45" s="554"/>
    </row>
    <row r="46" spans="1:60" s="432" customFormat="1" ht="16.5" customHeight="1" thickBot="1">
      <c r="A46" s="505" t="s">
        <v>684</v>
      </c>
      <c r="B46" s="506">
        <v>6</v>
      </c>
      <c r="C46" s="529" t="str">
        <f>IF(A46="N","",IF(A46="S",IF(SUM($C$41:C45)=0,1,SUM(LARGE($C$41:C45,1),1))))</f>
        <v/>
      </c>
      <c r="D46" s="530"/>
      <c r="E46" s="531" t="s">
        <v>691</v>
      </c>
      <c r="F46" s="531"/>
      <c r="G46" s="531"/>
      <c r="H46" s="531"/>
      <c r="I46" s="531"/>
      <c r="J46" s="532">
        <v>1</v>
      </c>
      <c r="K46" s="532">
        <v>1</v>
      </c>
      <c r="L46" s="533">
        <v>0</v>
      </c>
      <c r="M46" s="533" t="e">
        <f t="shared" si="1"/>
        <v>#DIV/0!</v>
      </c>
      <c r="N46" s="534">
        <f t="shared" si="2"/>
        <v>0</v>
      </c>
      <c r="O46" s="534">
        <v>1</v>
      </c>
      <c r="P46" s="534">
        <f t="shared" si="3"/>
        <v>1</v>
      </c>
      <c r="Q46" s="534">
        <f t="shared" si="4"/>
        <v>1</v>
      </c>
      <c r="R46" s="534">
        <f t="shared" si="5"/>
        <v>1</v>
      </c>
      <c r="S46" s="534"/>
      <c r="T46" s="535">
        <v>0.9</v>
      </c>
      <c r="U46" s="534">
        <f t="shared" si="6"/>
        <v>0.9</v>
      </c>
      <c r="V46" s="534">
        <f t="shared" si="7"/>
        <v>0.9</v>
      </c>
      <c r="W46" s="536"/>
      <c r="X46" s="536"/>
      <c r="Y46" s="536"/>
      <c r="Z46" s="536" t="s">
        <v>685</v>
      </c>
      <c r="AA46" s="536"/>
      <c r="AB46" s="494"/>
      <c r="AC46" s="530">
        <v>2014</v>
      </c>
      <c r="AD46" s="533">
        <v>0</v>
      </c>
      <c r="AE46" s="533" t="s">
        <v>59</v>
      </c>
      <c r="AF46" s="537">
        <v>10</v>
      </c>
      <c r="AG46" s="538"/>
      <c r="AH46" s="539">
        <f t="shared" si="8"/>
        <v>0</v>
      </c>
      <c r="AI46" s="539">
        <f t="shared" si="9"/>
        <v>0</v>
      </c>
      <c r="AJ46" s="539">
        <f t="shared" si="10"/>
        <v>0</v>
      </c>
      <c r="AK46" s="539">
        <f t="shared" si="11"/>
        <v>1</v>
      </c>
      <c r="AL46" s="540">
        <f t="shared" si="12"/>
        <v>0.96444444444444444</v>
      </c>
      <c r="AM46" s="538"/>
      <c r="AN46" s="541" t="str">
        <f t="shared" si="13"/>
        <v/>
      </c>
      <c r="AO46" s="542" t="str">
        <f t="shared" si="14"/>
        <v>Rua</v>
      </c>
      <c r="AP46" s="535">
        <v>1</v>
      </c>
      <c r="AQ46" s="543">
        <f t="shared" si="15"/>
        <v>0.75</v>
      </c>
      <c r="AR46" s="543">
        <f t="shared" si="16"/>
        <v>0.96444444444444444</v>
      </c>
      <c r="AS46" s="543">
        <f t="shared" si="17"/>
        <v>0.53585183906198597</v>
      </c>
      <c r="AT46" s="543">
        <f t="shared" si="18"/>
        <v>0.38759949692150319</v>
      </c>
      <c r="AU46" s="544" t="str">
        <f t="shared" si="19"/>
        <v/>
      </c>
      <c r="AV46" s="544" t="str">
        <f t="shared" si="20"/>
        <v/>
      </c>
      <c r="AW46" s="522" t="str">
        <f t="shared" si="21"/>
        <v>ok</v>
      </c>
      <c r="AX46" s="523" t="str">
        <f t="shared" si="22"/>
        <v/>
      </c>
      <c r="AY46" s="523" t="str">
        <f t="shared" si="23"/>
        <v/>
      </c>
      <c r="AZ46" s="523" t="str">
        <f t="shared" si="24"/>
        <v/>
      </c>
      <c r="BA46" s="524" t="str">
        <f t="shared" si="25"/>
        <v>Deletar Calculos e Ocultar</v>
      </c>
      <c r="BB46" s="523">
        <f t="shared" si="26"/>
        <v>0</v>
      </c>
      <c r="BC46" s="453"/>
      <c r="BD46" s="786" t="s">
        <v>694</v>
      </c>
      <c r="BE46" s="787"/>
      <c r="BF46" s="787"/>
      <c r="BG46" s="788"/>
    </row>
    <row r="47" spans="1:60" s="432" customFormat="1" ht="16.5" customHeight="1" thickBot="1">
      <c r="A47" s="505" t="s">
        <v>684</v>
      </c>
      <c r="B47" s="506">
        <v>7</v>
      </c>
      <c r="C47" s="507" t="str">
        <f>IF(A47="N","",IF(A47="S",IF(SUM($C$41:C46)=0,1,SUM(LARGE($C$41:C46,1),1))))</f>
        <v/>
      </c>
      <c r="D47" s="508"/>
      <c r="E47" s="509" t="s">
        <v>691</v>
      </c>
      <c r="F47" s="509"/>
      <c r="G47" s="509"/>
      <c r="H47" s="509"/>
      <c r="I47" s="509"/>
      <c r="J47" s="510">
        <v>1</v>
      </c>
      <c r="K47" s="510">
        <v>1</v>
      </c>
      <c r="L47" s="511">
        <v>0</v>
      </c>
      <c r="M47" s="511" t="e">
        <f t="shared" si="1"/>
        <v>#DIV/0!</v>
      </c>
      <c r="N47" s="512">
        <f t="shared" si="2"/>
        <v>0</v>
      </c>
      <c r="O47" s="512">
        <v>1</v>
      </c>
      <c r="P47" s="512">
        <f t="shared" si="3"/>
        <v>1</v>
      </c>
      <c r="Q47" s="512">
        <f t="shared" si="4"/>
        <v>1</v>
      </c>
      <c r="R47" s="512">
        <f t="shared" si="5"/>
        <v>1</v>
      </c>
      <c r="S47" s="512"/>
      <c r="T47" s="513">
        <v>0.9</v>
      </c>
      <c r="U47" s="512">
        <f t="shared" si="6"/>
        <v>0.9</v>
      </c>
      <c r="V47" s="512">
        <f t="shared" si="7"/>
        <v>0.9</v>
      </c>
      <c r="W47" s="514"/>
      <c r="X47" s="514"/>
      <c r="Y47" s="514"/>
      <c r="Z47" s="514" t="s">
        <v>685</v>
      </c>
      <c r="AA47" s="514"/>
      <c r="AB47" s="452"/>
      <c r="AC47" s="508">
        <v>2014</v>
      </c>
      <c r="AD47" s="511">
        <v>0</v>
      </c>
      <c r="AE47" s="511" t="s">
        <v>59</v>
      </c>
      <c r="AF47" s="515">
        <v>10</v>
      </c>
      <c r="AG47" s="483"/>
      <c r="AH47" s="516">
        <f t="shared" si="8"/>
        <v>0</v>
      </c>
      <c r="AI47" s="516">
        <f t="shared" si="9"/>
        <v>0</v>
      </c>
      <c r="AJ47" s="516">
        <f t="shared" si="10"/>
        <v>0</v>
      </c>
      <c r="AK47" s="516">
        <f t="shared" si="11"/>
        <v>1</v>
      </c>
      <c r="AL47" s="517">
        <f t="shared" si="12"/>
        <v>0.96444444444444444</v>
      </c>
      <c r="AM47" s="483"/>
      <c r="AN47" s="518" t="str">
        <f t="shared" si="13"/>
        <v/>
      </c>
      <c r="AO47" s="519" t="str">
        <f t="shared" si="14"/>
        <v>Rua</v>
      </c>
      <c r="AP47" s="513">
        <v>1</v>
      </c>
      <c r="AQ47" s="520">
        <f t="shared" si="15"/>
        <v>0.75</v>
      </c>
      <c r="AR47" s="520">
        <f t="shared" si="16"/>
        <v>0.96444444444444444</v>
      </c>
      <c r="AS47" s="520">
        <f t="shared" si="17"/>
        <v>0.53585183906198597</v>
      </c>
      <c r="AT47" s="520">
        <f t="shared" si="18"/>
        <v>0.38759949692150319</v>
      </c>
      <c r="AU47" s="521" t="str">
        <f t="shared" si="19"/>
        <v/>
      </c>
      <c r="AV47" s="521" t="str">
        <f t="shared" si="20"/>
        <v/>
      </c>
      <c r="AW47" s="522" t="str">
        <f t="shared" si="21"/>
        <v>ok</v>
      </c>
      <c r="AX47" s="523" t="str">
        <f t="shared" si="22"/>
        <v/>
      </c>
      <c r="AY47" s="523" t="str">
        <f t="shared" si="23"/>
        <v/>
      </c>
      <c r="AZ47" s="523" t="str">
        <f t="shared" si="24"/>
        <v/>
      </c>
      <c r="BA47" s="524" t="str">
        <f t="shared" si="25"/>
        <v>Deletar Calculos e Ocultar</v>
      </c>
      <c r="BB47" s="523">
        <f t="shared" si="26"/>
        <v>0</v>
      </c>
      <c r="BC47" s="453"/>
      <c r="BD47" s="555" t="s">
        <v>695</v>
      </c>
      <c r="BE47" s="556">
        <f>(BG47-BG41)/BG42</f>
        <v>1.2763848192209062</v>
      </c>
      <c r="BF47" s="557" t="str">
        <f>IF(BE47&lt;BE44,"Aceito","Eliminado")</f>
        <v>Aceito</v>
      </c>
      <c r="BG47" s="558">
        <f>MAX(AU41:AU60)</f>
        <v>3801.9551409774572</v>
      </c>
    </row>
    <row r="48" spans="1:60" s="432" customFormat="1" ht="16.5" customHeight="1" thickBot="1">
      <c r="A48" s="505" t="s">
        <v>684</v>
      </c>
      <c r="B48" s="506">
        <v>8</v>
      </c>
      <c r="C48" s="529" t="str">
        <f>IF(A48="N","",IF(A48="S",IF(SUM($C$41:C47)=0,1,SUM(LARGE($C$41:C47,1),1))))</f>
        <v/>
      </c>
      <c r="D48" s="530"/>
      <c r="E48" s="531" t="s">
        <v>691</v>
      </c>
      <c r="F48" s="531"/>
      <c r="G48" s="531"/>
      <c r="H48" s="531"/>
      <c r="I48" s="531"/>
      <c r="J48" s="532">
        <v>1</v>
      </c>
      <c r="K48" s="532">
        <v>1</v>
      </c>
      <c r="L48" s="533">
        <v>0</v>
      </c>
      <c r="M48" s="533" t="e">
        <f t="shared" si="1"/>
        <v>#DIV/0!</v>
      </c>
      <c r="N48" s="534">
        <f t="shared" si="2"/>
        <v>0</v>
      </c>
      <c r="O48" s="534">
        <v>1</v>
      </c>
      <c r="P48" s="534">
        <f t="shared" si="3"/>
        <v>1</v>
      </c>
      <c r="Q48" s="534">
        <f t="shared" si="4"/>
        <v>1</v>
      </c>
      <c r="R48" s="534">
        <f t="shared" si="5"/>
        <v>1</v>
      </c>
      <c r="S48" s="534"/>
      <c r="T48" s="535">
        <v>0.9</v>
      </c>
      <c r="U48" s="534">
        <f t="shared" si="6"/>
        <v>0.9</v>
      </c>
      <c r="V48" s="534">
        <f t="shared" si="7"/>
        <v>0.9</v>
      </c>
      <c r="W48" s="536"/>
      <c r="X48" s="536"/>
      <c r="Y48" s="536"/>
      <c r="Z48" s="536" t="s">
        <v>685</v>
      </c>
      <c r="AA48" s="536"/>
      <c r="AB48" s="494"/>
      <c r="AC48" s="530">
        <v>2014</v>
      </c>
      <c r="AD48" s="533">
        <v>0</v>
      </c>
      <c r="AE48" s="533" t="s">
        <v>59</v>
      </c>
      <c r="AF48" s="537">
        <v>10</v>
      </c>
      <c r="AG48" s="538"/>
      <c r="AH48" s="539">
        <f t="shared" si="8"/>
        <v>0</v>
      </c>
      <c r="AI48" s="539">
        <f t="shared" si="9"/>
        <v>0</v>
      </c>
      <c r="AJ48" s="539">
        <f t="shared" si="10"/>
        <v>0</v>
      </c>
      <c r="AK48" s="539">
        <f t="shared" si="11"/>
        <v>1</v>
      </c>
      <c r="AL48" s="540">
        <f t="shared" si="12"/>
        <v>0.96444444444444444</v>
      </c>
      <c r="AM48" s="538"/>
      <c r="AN48" s="541" t="str">
        <f t="shared" si="13"/>
        <v/>
      </c>
      <c r="AO48" s="542" t="str">
        <f t="shared" si="14"/>
        <v>Rua</v>
      </c>
      <c r="AP48" s="535">
        <v>1</v>
      </c>
      <c r="AQ48" s="543">
        <f t="shared" si="15"/>
        <v>0.75</v>
      </c>
      <c r="AR48" s="543">
        <f t="shared" si="16"/>
        <v>0.96444444444444444</v>
      </c>
      <c r="AS48" s="543">
        <f t="shared" si="17"/>
        <v>0.53585183906198597</v>
      </c>
      <c r="AT48" s="543">
        <f t="shared" si="18"/>
        <v>0.38759949692150319</v>
      </c>
      <c r="AU48" s="544" t="str">
        <f t="shared" si="19"/>
        <v/>
      </c>
      <c r="AV48" s="544" t="str">
        <f t="shared" si="20"/>
        <v/>
      </c>
      <c r="AW48" s="522" t="str">
        <f t="shared" si="21"/>
        <v>ok</v>
      </c>
      <c r="AX48" s="523" t="str">
        <f t="shared" si="22"/>
        <v/>
      </c>
      <c r="AY48" s="523" t="str">
        <f t="shared" si="23"/>
        <v/>
      </c>
      <c r="AZ48" s="523" t="str">
        <f t="shared" si="24"/>
        <v/>
      </c>
      <c r="BA48" s="524" t="str">
        <f t="shared" si="25"/>
        <v>Deletar Calculos e Ocultar</v>
      </c>
      <c r="BB48" s="523">
        <f t="shared" si="26"/>
        <v>0</v>
      </c>
      <c r="BC48" s="453"/>
      <c r="BD48" s="559" t="s">
        <v>696</v>
      </c>
      <c r="BE48" s="560">
        <f>(BG41-BG48)/BG42</f>
        <v>1.4852314059650538</v>
      </c>
      <c r="BF48" s="557" t="str">
        <f>IF(BE48&lt;BE44,"Aceito","eliminado")</f>
        <v>Aceito</v>
      </c>
      <c r="BG48" s="558">
        <f>MIN(AU41:AU60)</f>
        <v>2981.2816138046919</v>
      </c>
    </row>
    <row r="49" spans="1:60" s="432" customFormat="1" ht="16.5" customHeight="1" thickBot="1">
      <c r="A49" s="505" t="s">
        <v>684</v>
      </c>
      <c r="B49" s="506">
        <v>9</v>
      </c>
      <c r="C49" s="507" t="str">
        <f>IF(A49="N","",IF(A49="S",IF(SUM($C$41:C48)=0,1,SUM(LARGE($C$41:C48,1),1))))</f>
        <v/>
      </c>
      <c r="D49" s="508"/>
      <c r="E49" s="509" t="s">
        <v>691</v>
      </c>
      <c r="F49" s="509"/>
      <c r="G49" s="509"/>
      <c r="H49" s="509"/>
      <c r="I49" s="509"/>
      <c r="J49" s="510">
        <v>1</v>
      </c>
      <c r="K49" s="510">
        <v>1</v>
      </c>
      <c r="L49" s="511">
        <v>0</v>
      </c>
      <c r="M49" s="511" t="e">
        <f t="shared" si="1"/>
        <v>#DIV/0!</v>
      </c>
      <c r="N49" s="512">
        <f t="shared" si="2"/>
        <v>0</v>
      </c>
      <c r="O49" s="512">
        <v>1</v>
      </c>
      <c r="P49" s="512">
        <f t="shared" si="3"/>
        <v>1</v>
      </c>
      <c r="Q49" s="512">
        <f t="shared" si="4"/>
        <v>1</v>
      </c>
      <c r="R49" s="512">
        <f t="shared" si="5"/>
        <v>1</v>
      </c>
      <c r="S49" s="512"/>
      <c r="T49" s="513">
        <v>0.9</v>
      </c>
      <c r="U49" s="512">
        <f t="shared" si="6"/>
        <v>0.9</v>
      </c>
      <c r="V49" s="512">
        <f t="shared" si="7"/>
        <v>0.9</v>
      </c>
      <c r="W49" s="514"/>
      <c r="X49" s="514"/>
      <c r="Y49" s="514"/>
      <c r="Z49" s="514" t="s">
        <v>685</v>
      </c>
      <c r="AA49" s="514"/>
      <c r="AB49" s="452"/>
      <c r="AC49" s="508">
        <v>2014</v>
      </c>
      <c r="AD49" s="511">
        <v>0</v>
      </c>
      <c r="AE49" s="511" t="s">
        <v>59</v>
      </c>
      <c r="AF49" s="515">
        <v>10</v>
      </c>
      <c r="AG49" s="483"/>
      <c r="AH49" s="516">
        <f t="shared" si="8"/>
        <v>0</v>
      </c>
      <c r="AI49" s="516">
        <f t="shared" si="9"/>
        <v>0</v>
      </c>
      <c r="AJ49" s="516">
        <f t="shared" si="10"/>
        <v>0</v>
      </c>
      <c r="AK49" s="516">
        <f t="shared" si="11"/>
        <v>1</v>
      </c>
      <c r="AL49" s="517">
        <f t="shared" si="12"/>
        <v>0.96444444444444444</v>
      </c>
      <c r="AM49" s="483"/>
      <c r="AN49" s="518" t="str">
        <f t="shared" si="13"/>
        <v/>
      </c>
      <c r="AO49" s="519" t="str">
        <f t="shared" si="14"/>
        <v>Rua</v>
      </c>
      <c r="AP49" s="513">
        <v>1</v>
      </c>
      <c r="AQ49" s="520">
        <f t="shared" si="15"/>
        <v>0.75</v>
      </c>
      <c r="AR49" s="520">
        <f t="shared" si="16"/>
        <v>0.96444444444444444</v>
      </c>
      <c r="AS49" s="520">
        <f t="shared" si="17"/>
        <v>0.53585183906198597</v>
      </c>
      <c r="AT49" s="520">
        <f t="shared" si="18"/>
        <v>0.38759949692150319</v>
      </c>
      <c r="AU49" s="521" t="str">
        <f t="shared" si="19"/>
        <v/>
      </c>
      <c r="AV49" s="521" t="str">
        <f t="shared" si="20"/>
        <v/>
      </c>
      <c r="AW49" s="522" t="str">
        <f t="shared" si="21"/>
        <v>ok</v>
      </c>
      <c r="AX49" s="523" t="str">
        <f t="shared" si="22"/>
        <v/>
      </c>
      <c r="AY49" s="523" t="str">
        <f t="shared" si="23"/>
        <v/>
      </c>
      <c r="AZ49" s="523" t="str">
        <f t="shared" si="24"/>
        <v/>
      </c>
      <c r="BA49" s="524" t="str">
        <f t="shared" si="25"/>
        <v>Deletar Calculos e Ocultar</v>
      </c>
      <c r="BB49" s="523">
        <f t="shared" si="26"/>
        <v>0</v>
      </c>
      <c r="BC49" s="453"/>
      <c r="BD49" s="786" t="s">
        <v>697</v>
      </c>
      <c r="BE49" s="788"/>
      <c r="BF49" s="786" t="s">
        <v>698</v>
      </c>
      <c r="BG49" s="788"/>
    </row>
    <row r="50" spans="1:60" s="432" customFormat="1" ht="16.5" customHeight="1">
      <c r="A50" s="505" t="s">
        <v>684</v>
      </c>
      <c r="B50" s="506">
        <v>10</v>
      </c>
      <c r="C50" s="529" t="str">
        <f>IF(A50="N","",IF(A50="S",IF(SUM($C$41:C49)=0,1,SUM(LARGE($C$41:C49,1),1))))</f>
        <v/>
      </c>
      <c r="D50" s="530"/>
      <c r="E50" s="531" t="s">
        <v>691</v>
      </c>
      <c r="F50" s="531"/>
      <c r="G50" s="531"/>
      <c r="H50" s="531"/>
      <c r="I50" s="531"/>
      <c r="J50" s="532">
        <v>1</v>
      </c>
      <c r="K50" s="532">
        <v>1</v>
      </c>
      <c r="L50" s="533">
        <v>0</v>
      </c>
      <c r="M50" s="533" t="e">
        <f t="shared" si="1"/>
        <v>#DIV/0!</v>
      </c>
      <c r="N50" s="534">
        <f t="shared" si="2"/>
        <v>0</v>
      </c>
      <c r="O50" s="534">
        <v>1</v>
      </c>
      <c r="P50" s="534">
        <f t="shared" si="3"/>
        <v>1</v>
      </c>
      <c r="Q50" s="534">
        <f t="shared" si="4"/>
        <v>1</v>
      </c>
      <c r="R50" s="534">
        <f t="shared" si="5"/>
        <v>1</v>
      </c>
      <c r="S50" s="534"/>
      <c r="T50" s="535">
        <v>0.9</v>
      </c>
      <c r="U50" s="534">
        <f t="shared" si="6"/>
        <v>0.9</v>
      </c>
      <c r="V50" s="534">
        <f t="shared" si="7"/>
        <v>0.9</v>
      </c>
      <c r="W50" s="536"/>
      <c r="X50" s="536"/>
      <c r="Y50" s="536"/>
      <c r="Z50" s="536" t="s">
        <v>685</v>
      </c>
      <c r="AA50" s="536"/>
      <c r="AB50" s="494"/>
      <c r="AC50" s="530">
        <v>2014</v>
      </c>
      <c r="AD50" s="533">
        <v>0</v>
      </c>
      <c r="AE50" s="533" t="s">
        <v>59</v>
      </c>
      <c r="AF50" s="537">
        <v>10</v>
      </c>
      <c r="AG50" s="538"/>
      <c r="AH50" s="539">
        <f t="shared" si="8"/>
        <v>0</v>
      </c>
      <c r="AI50" s="539">
        <f t="shared" si="9"/>
        <v>0</v>
      </c>
      <c r="AJ50" s="539">
        <f t="shared" si="10"/>
        <v>0</v>
      </c>
      <c r="AK50" s="539">
        <f t="shared" si="11"/>
        <v>1</v>
      </c>
      <c r="AL50" s="540">
        <f t="shared" si="12"/>
        <v>0.96444444444444444</v>
      </c>
      <c r="AM50" s="538"/>
      <c r="AN50" s="541" t="str">
        <f t="shared" si="13"/>
        <v/>
      </c>
      <c r="AO50" s="542" t="str">
        <f t="shared" si="14"/>
        <v>Rua</v>
      </c>
      <c r="AP50" s="535">
        <v>1</v>
      </c>
      <c r="AQ50" s="543">
        <f t="shared" si="15"/>
        <v>0.75</v>
      </c>
      <c r="AR50" s="543">
        <f t="shared" si="16"/>
        <v>0.96444444444444444</v>
      </c>
      <c r="AS50" s="543">
        <f t="shared" si="17"/>
        <v>0.53585183906198597</v>
      </c>
      <c r="AT50" s="543">
        <f t="shared" si="18"/>
        <v>0.38759949692150319</v>
      </c>
      <c r="AU50" s="544" t="str">
        <f t="shared" si="19"/>
        <v/>
      </c>
      <c r="AV50" s="544" t="str">
        <f t="shared" si="20"/>
        <v/>
      </c>
      <c r="AW50" s="522" t="str">
        <f t="shared" si="21"/>
        <v>ok</v>
      </c>
      <c r="AX50" s="523" t="str">
        <f t="shared" si="22"/>
        <v/>
      </c>
      <c r="AY50" s="523" t="str">
        <f t="shared" si="23"/>
        <v/>
      </c>
      <c r="AZ50" s="523" t="str">
        <f t="shared" si="24"/>
        <v/>
      </c>
      <c r="BA50" s="524" t="str">
        <f t="shared" si="25"/>
        <v>Deletar Calculos e Ocultar</v>
      </c>
      <c r="BB50" s="523">
        <f t="shared" si="26"/>
        <v>0</v>
      </c>
      <c r="BC50" s="453"/>
      <c r="BD50" s="555" t="s">
        <v>699</v>
      </c>
      <c r="BE50" s="561">
        <f>ROUND(BG41+BE43*(BG42/SQRT(BE42-1)),2)</f>
        <v>3649.99</v>
      </c>
      <c r="BF50" s="789">
        <f>(BE50-BE51)/BG41</f>
        <v>0.13284443340686306</v>
      </c>
      <c r="BG50" s="790"/>
    </row>
    <row r="51" spans="1:60" s="432" customFormat="1" ht="16.5" customHeight="1" thickBot="1">
      <c r="A51" s="505" t="s">
        <v>684</v>
      </c>
      <c r="B51" s="506">
        <v>11</v>
      </c>
      <c r="C51" s="507" t="str">
        <f>IF(A51="N","",IF(A51="S",IF(SUM($C$41:C50)=0,1,SUM(LARGE($C$41:C50,1),1))))</f>
        <v/>
      </c>
      <c r="D51" s="508"/>
      <c r="E51" s="509" t="s">
        <v>691</v>
      </c>
      <c r="F51" s="509"/>
      <c r="G51" s="509"/>
      <c r="H51" s="509"/>
      <c r="I51" s="509"/>
      <c r="J51" s="510">
        <v>1</v>
      </c>
      <c r="K51" s="510">
        <v>1</v>
      </c>
      <c r="L51" s="511">
        <v>0</v>
      </c>
      <c r="M51" s="511" t="e">
        <f t="shared" si="1"/>
        <v>#DIV/0!</v>
      </c>
      <c r="N51" s="512">
        <f t="shared" si="2"/>
        <v>0</v>
      </c>
      <c r="O51" s="512">
        <v>1</v>
      </c>
      <c r="P51" s="512">
        <f t="shared" si="3"/>
        <v>1</v>
      </c>
      <c r="Q51" s="512">
        <f t="shared" si="4"/>
        <v>1</v>
      </c>
      <c r="R51" s="512">
        <f t="shared" si="5"/>
        <v>1</v>
      </c>
      <c r="S51" s="512"/>
      <c r="T51" s="513">
        <v>0.9</v>
      </c>
      <c r="U51" s="512">
        <f t="shared" si="6"/>
        <v>0.9</v>
      </c>
      <c r="V51" s="512">
        <f t="shared" si="7"/>
        <v>0.9</v>
      </c>
      <c r="W51" s="514"/>
      <c r="X51" s="514"/>
      <c r="Y51" s="514"/>
      <c r="Z51" s="514" t="s">
        <v>685</v>
      </c>
      <c r="AA51" s="514"/>
      <c r="AB51" s="452"/>
      <c r="AC51" s="508">
        <v>2014</v>
      </c>
      <c r="AD51" s="511">
        <v>0</v>
      </c>
      <c r="AE51" s="511" t="s">
        <v>59</v>
      </c>
      <c r="AF51" s="515">
        <v>10</v>
      </c>
      <c r="AG51" s="483"/>
      <c r="AH51" s="516">
        <f t="shared" si="8"/>
        <v>0</v>
      </c>
      <c r="AI51" s="516">
        <f t="shared" si="9"/>
        <v>0</v>
      </c>
      <c r="AJ51" s="516">
        <f t="shared" si="10"/>
        <v>0</v>
      </c>
      <c r="AK51" s="516">
        <f t="shared" si="11"/>
        <v>1</v>
      </c>
      <c r="AL51" s="517">
        <f t="shared" si="12"/>
        <v>0.96444444444444444</v>
      </c>
      <c r="AM51" s="483"/>
      <c r="AN51" s="518" t="str">
        <f t="shared" si="13"/>
        <v/>
      </c>
      <c r="AO51" s="519" t="str">
        <f t="shared" si="14"/>
        <v>Rua</v>
      </c>
      <c r="AP51" s="513">
        <v>1</v>
      </c>
      <c r="AQ51" s="520">
        <f t="shared" si="15"/>
        <v>0.75</v>
      </c>
      <c r="AR51" s="520">
        <f t="shared" si="16"/>
        <v>0.96444444444444444</v>
      </c>
      <c r="AS51" s="520">
        <f t="shared" si="17"/>
        <v>0.53585183906198597</v>
      </c>
      <c r="AT51" s="520">
        <f t="shared" si="18"/>
        <v>0.38759949692150319</v>
      </c>
      <c r="AU51" s="521" t="str">
        <f t="shared" si="19"/>
        <v/>
      </c>
      <c r="AV51" s="521" t="str">
        <f t="shared" si="20"/>
        <v/>
      </c>
      <c r="AW51" s="522" t="str">
        <f t="shared" si="21"/>
        <v>ok</v>
      </c>
      <c r="AX51" s="523" t="str">
        <f t="shared" si="22"/>
        <v/>
      </c>
      <c r="AY51" s="523" t="str">
        <f t="shared" si="23"/>
        <v/>
      </c>
      <c r="AZ51" s="523" t="str">
        <f t="shared" si="24"/>
        <v/>
      </c>
      <c r="BA51" s="524" t="str">
        <f t="shared" si="25"/>
        <v>Deletar Calculos e Ocultar</v>
      </c>
      <c r="BB51" s="523">
        <f t="shared" si="26"/>
        <v>0</v>
      </c>
      <c r="BC51" s="453"/>
      <c r="BD51" s="559" t="s">
        <v>700</v>
      </c>
      <c r="BE51" s="562">
        <f>ROUND(BG41-BE43*(BG42/SQRT(BE42-1)),2)</f>
        <v>3195.31</v>
      </c>
      <c r="BF51" s="563" t="s">
        <v>701</v>
      </c>
      <c r="BG51" s="564" t="str">
        <f>IF(BF50&lt;30%,"III",IF(BF50&lt;40%,"II",IF(BF50&lt;50%,"I")))</f>
        <v>III</v>
      </c>
    </row>
    <row r="52" spans="1:60" s="569" customFormat="1" ht="16.5" customHeight="1">
      <c r="A52" s="505" t="s">
        <v>684</v>
      </c>
      <c r="B52" s="506">
        <v>12</v>
      </c>
      <c r="C52" s="529" t="str">
        <f>IF(A52="N","",IF(A52="S",IF(SUM($C$41:C51)=0,1,SUM(LARGE($C$41:C51,1),1))))</f>
        <v/>
      </c>
      <c r="D52" s="530"/>
      <c r="E52" s="531" t="s">
        <v>691</v>
      </c>
      <c r="F52" s="531"/>
      <c r="G52" s="531"/>
      <c r="H52" s="531"/>
      <c r="I52" s="531"/>
      <c r="J52" s="532">
        <v>1</v>
      </c>
      <c r="K52" s="532">
        <v>1</v>
      </c>
      <c r="L52" s="533">
        <v>0</v>
      </c>
      <c r="M52" s="533" t="e">
        <f t="shared" si="1"/>
        <v>#DIV/0!</v>
      </c>
      <c r="N52" s="534">
        <f t="shared" si="2"/>
        <v>0</v>
      </c>
      <c r="O52" s="534">
        <v>1</v>
      </c>
      <c r="P52" s="534">
        <f t="shared" si="3"/>
        <v>1</v>
      </c>
      <c r="Q52" s="534">
        <f t="shared" si="4"/>
        <v>1</v>
      </c>
      <c r="R52" s="534">
        <f t="shared" si="5"/>
        <v>1</v>
      </c>
      <c r="S52" s="534"/>
      <c r="T52" s="535">
        <v>0.9</v>
      </c>
      <c r="U52" s="534">
        <f t="shared" si="6"/>
        <v>0.9</v>
      </c>
      <c r="V52" s="534">
        <f t="shared" si="7"/>
        <v>0.9</v>
      </c>
      <c r="W52" s="536"/>
      <c r="X52" s="536"/>
      <c r="Y52" s="536"/>
      <c r="Z52" s="536" t="s">
        <v>685</v>
      </c>
      <c r="AA52" s="536"/>
      <c r="AB52" s="565"/>
      <c r="AC52" s="530">
        <v>2014</v>
      </c>
      <c r="AD52" s="533">
        <v>0</v>
      </c>
      <c r="AE52" s="533" t="s">
        <v>59</v>
      </c>
      <c r="AF52" s="537">
        <v>10</v>
      </c>
      <c r="AG52" s="566"/>
      <c r="AH52" s="539">
        <f t="shared" si="8"/>
        <v>0</v>
      </c>
      <c r="AI52" s="539">
        <f t="shared" si="9"/>
        <v>0</v>
      </c>
      <c r="AJ52" s="539">
        <f t="shared" si="10"/>
        <v>0</v>
      </c>
      <c r="AK52" s="539">
        <f t="shared" si="11"/>
        <v>1</v>
      </c>
      <c r="AL52" s="540">
        <f t="shared" si="12"/>
        <v>0.96444444444444444</v>
      </c>
      <c r="AM52" s="566"/>
      <c r="AN52" s="541" t="str">
        <f t="shared" si="13"/>
        <v/>
      </c>
      <c r="AO52" s="542" t="str">
        <f t="shared" si="14"/>
        <v>Rua</v>
      </c>
      <c r="AP52" s="535">
        <v>1</v>
      </c>
      <c r="AQ52" s="543">
        <f t="shared" si="15"/>
        <v>0.75</v>
      </c>
      <c r="AR52" s="543">
        <f t="shared" si="16"/>
        <v>0.96444444444444444</v>
      </c>
      <c r="AS52" s="543">
        <f t="shared" si="17"/>
        <v>0.53585183906198597</v>
      </c>
      <c r="AT52" s="543">
        <f t="shared" si="18"/>
        <v>0.38759949692150319</v>
      </c>
      <c r="AU52" s="544" t="str">
        <f t="shared" si="19"/>
        <v/>
      </c>
      <c r="AV52" s="544" t="str">
        <f t="shared" si="20"/>
        <v/>
      </c>
      <c r="AW52" s="522" t="str">
        <f t="shared" si="21"/>
        <v>ok</v>
      </c>
      <c r="AX52" s="523" t="str">
        <f t="shared" si="22"/>
        <v/>
      </c>
      <c r="AY52" s="523" t="str">
        <f t="shared" si="23"/>
        <v/>
      </c>
      <c r="AZ52" s="523" t="str">
        <f t="shared" si="24"/>
        <v/>
      </c>
      <c r="BA52" s="524" t="str">
        <f t="shared" si="25"/>
        <v>Deletar Calculos e Ocultar</v>
      </c>
      <c r="BB52" s="523">
        <f t="shared" si="26"/>
        <v>0</v>
      </c>
      <c r="BC52" s="567"/>
      <c r="BD52" s="568"/>
      <c r="BE52" s="568"/>
      <c r="BF52" s="568"/>
      <c r="BG52" s="568"/>
    </row>
    <row r="53" spans="1:60" s="432" customFormat="1" ht="16.5" customHeight="1">
      <c r="A53" s="505" t="s">
        <v>684</v>
      </c>
      <c r="B53" s="506">
        <v>13</v>
      </c>
      <c r="C53" s="507" t="str">
        <f>IF(A53="N","",IF(A53="S",IF(SUM($C$41:C52)=0,1,SUM(LARGE($C$41:C52,1),1))))</f>
        <v/>
      </c>
      <c r="D53" s="508"/>
      <c r="E53" s="509" t="s">
        <v>691</v>
      </c>
      <c r="F53" s="509"/>
      <c r="G53" s="509"/>
      <c r="H53" s="509"/>
      <c r="I53" s="509"/>
      <c r="J53" s="510">
        <v>1</v>
      </c>
      <c r="K53" s="510">
        <v>1</v>
      </c>
      <c r="L53" s="511">
        <v>0</v>
      </c>
      <c r="M53" s="511" t="e">
        <f t="shared" si="1"/>
        <v>#DIV/0!</v>
      </c>
      <c r="N53" s="512">
        <f t="shared" si="2"/>
        <v>0</v>
      </c>
      <c r="O53" s="512">
        <v>1</v>
      </c>
      <c r="P53" s="512">
        <f t="shared" si="3"/>
        <v>1</v>
      </c>
      <c r="Q53" s="512">
        <f t="shared" si="4"/>
        <v>1</v>
      </c>
      <c r="R53" s="512">
        <f t="shared" si="5"/>
        <v>1</v>
      </c>
      <c r="S53" s="512"/>
      <c r="T53" s="513">
        <v>0.9</v>
      </c>
      <c r="U53" s="512">
        <f t="shared" si="6"/>
        <v>0.9</v>
      </c>
      <c r="V53" s="512">
        <f t="shared" si="7"/>
        <v>0.9</v>
      </c>
      <c r="W53" s="514"/>
      <c r="X53" s="514"/>
      <c r="Y53" s="514"/>
      <c r="Z53" s="514" t="s">
        <v>685</v>
      </c>
      <c r="AA53" s="514"/>
      <c r="AB53" s="452"/>
      <c r="AC53" s="508">
        <v>2014</v>
      </c>
      <c r="AD53" s="511">
        <v>0</v>
      </c>
      <c r="AE53" s="511" t="s">
        <v>59</v>
      </c>
      <c r="AF53" s="515">
        <v>10</v>
      </c>
      <c r="AG53" s="483"/>
      <c r="AH53" s="516">
        <f t="shared" si="8"/>
        <v>0</v>
      </c>
      <c r="AI53" s="516">
        <f t="shared" si="9"/>
        <v>0</v>
      </c>
      <c r="AJ53" s="516">
        <f t="shared" si="10"/>
        <v>0</v>
      </c>
      <c r="AK53" s="516">
        <f t="shared" si="11"/>
        <v>1</v>
      </c>
      <c r="AL53" s="517">
        <f t="shared" si="12"/>
        <v>0.96444444444444444</v>
      </c>
      <c r="AM53" s="483"/>
      <c r="AN53" s="518" t="str">
        <f t="shared" si="13"/>
        <v/>
      </c>
      <c r="AO53" s="519" t="str">
        <f t="shared" si="14"/>
        <v>Rua</v>
      </c>
      <c r="AP53" s="513">
        <v>1</v>
      </c>
      <c r="AQ53" s="520">
        <f t="shared" si="15"/>
        <v>0.75</v>
      </c>
      <c r="AR53" s="520">
        <f t="shared" si="16"/>
        <v>0.96444444444444444</v>
      </c>
      <c r="AS53" s="520">
        <f t="shared" si="17"/>
        <v>0.53585183906198597</v>
      </c>
      <c r="AT53" s="520">
        <f t="shared" si="18"/>
        <v>0.38759949692150319</v>
      </c>
      <c r="AU53" s="521" t="str">
        <f t="shared" si="19"/>
        <v/>
      </c>
      <c r="AV53" s="521" t="str">
        <f t="shared" si="20"/>
        <v/>
      </c>
      <c r="AW53" s="522" t="str">
        <f t="shared" si="21"/>
        <v>ok</v>
      </c>
      <c r="AX53" s="523" t="str">
        <f t="shared" si="22"/>
        <v/>
      </c>
      <c r="AY53" s="523" t="str">
        <f t="shared" si="23"/>
        <v/>
      </c>
      <c r="AZ53" s="523" t="str">
        <f t="shared" si="24"/>
        <v/>
      </c>
      <c r="BA53" s="524" t="str">
        <f t="shared" si="25"/>
        <v>Deletar Calculos e Ocultar</v>
      </c>
      <c r="BB53" s="523">
        <f t="shared" si="26"/>
        <v>0</v>
      </c>
      <c r="BC53" s="453"/>
      <c r="BD53" s="570" t="s">
        <v>684</v>
      </c>
      <c r="BE53" s="570" t="s">
        <v>702</v>
      </c>
      <c r="BF53" s="570" t="s">
        <v>703</v>
      </c>
      <c r="BG53" s="570"/>
    </row>
    <row r="54" spans="1:60" s="432" customFormat="1" ht="16.5" customHeight="1">
      <c r="A54" s="505" t="s">
        <v>684</v>
      </c>
      <c r="B54" s="506">
        <v>14</v>
      </c>
      <c r="C54" s="529" t="str">
        <f>IF(A54="N","",IF(A54="S",IF(SUM($C$41:C53)=0,1,SUM(LARGE($C$41:C53,1),1))))</f>
        <v/>
      </c>
      <c r="D54" s="530"/>
      <c r="E54" s="531" t="s">
        <v>691</v>
      </c>
      <c r="F54" s="531"/>
      <c r="G54" s="531"/>
      <c r="H54" s="531"/>
      <c r="I54" s="531"/>
      <c r="J54" s="532">
        <v>1</v>
      </c>
      <c r="K54" s="532">
        <v>1</v>
      </c>
      <c r="L54" s="533">
        <v>0</v>
      </c>
      <c r="M54" s="533" t="e">
        <f t="shared" si="1"/>
        <v>#DIV/0!</v>
      </c>
      <c r="N54" s="534">
        <f t="shared" si="2"/>
        <v>0</v>
      </c>
      <c r="O54" s="534">
        <v>1</v>
      </c>
      <c r="P54" s="534">
        <f t="shared" si="3"/>
        <v>1</v>
      </c>
      <c r="Q54" s="534">
        <f t="shared" si="4"/>
        <v>1</v>
      </c>
      <c r="R54" s="534">
        <f t="shared" si="5"/>
        <v>1</v>
      </c>
      <c r="S54" s="534"/>
      <c r="T54" s="535">
        <v>0.9</v>
      </c>
      <c r="U54" s="534">
        <f t="shared" si="6"/>
        <v>0.9</v>
      </c>
      <c r="V54" s="534">
        <f t="shared" si="7"/>
        <v>0.9</v>
      </c>
      <c r="W54" s="536"/>
      <c r="X54" s="536"/>
      <c r="Y54" s="536"/>
      <c r="Z54" s="536" t="s">
        <v>685</v>
      </c>
      <c r="AA54" s="536"/>
      <c r="AB54" s="494"/>
      <c r="AC54" s="530">
        <v>2014</v>
      </c>
      <c r="AD54" s="533">
        <v>0</v>
      </c>
      <c r="AE54" s="533" t="s">
        <v>59</v>
      </c>
      <c r="AF54" s="537">
        <v>10</v>
      </c>
      <c r="AG54" s="538"/>
      <c r="AH54" s="539">
        <f t="shared" si="8"/>
        <v>0</v>
      </c>
      <c r="AI54" s="539">
        <f t="shared" si="9"/>
        <v>0</v>
      </c>
      <c r="AJ54" s="539">
        <f t="shared" si="10"/>
        <v>0</v>
      </c>
      <c r="AK54" s="539">
        <f t="shared" si="11"/>
        <v>1</v>
      </c>
      <c r="AL54" s="540">
        <f t="shared" si="12"/>
        <v>0.96444444444444444</v>
      </c>
      <c r="AM54" s="538"/>
      <c r="AN54" s="541" t="str">
        <f t="shared" si="13"/>
        <v/>
      </c>
      <c r="AO54" s="542" t="str">
        <f t="shared" si="14"/>
        <v>Rua</v>
      </c>
      <c r="AP54" s="535">
        <v>1</v>
      </c>
      <c r="AQ54" s="543">
        <f t="shared" si="15"/>
        <v>0.75</v>
      </c>
      <c r="AR54" s="543">
        <f t="shared" si="16"/>
        <v>0.96444444444444444</v>
      </c>
      <c r="AS54" s="543">
        <f t="shared" si="17"/>
        <v>0.53585183906198597</v>
      </c>
      <c r="AT54" s="543">
        <f t="shared" si="18"/>
        <v>0.38759949692150319</v>
      </c>
      <c r="AU54" s="544" t="str">
        <f t="shared" si="19"/>
        <v/>
      </c>
      <c r="AV54" s="544" t="str">
        <f t="shared" si="20"/>
        <v/>
      </c>
      <c r="AW54" s="522" t="str">
        <f t="shared" si="21"/>
        <v>ok</v>
      </c>
      <c r="AX54" s="523" t="str">
        <f t="shared" si="22"/>
        <v/>
      </c>
      <c r="AY54" s="523" t="str">
        <f t="shared" si="23"/>
        <v/>
      </c>
      <c r="AZ54" s="523" t="str">
        <f t="shared" si="24"/>
        <v/>
      </c>
      <c r="BA54" s="524" t="str">
        <f t="shared" si="25"/>
        <v>Deletar Calculos e Ocultar</v>
      </c>
      <c r="BB54" s="523">
        <f t="shared" si="26"/>
        <v>0</v>
      </c>
      <c r="BC54" s="453"/>
      <c r="BD54" s="571">
        <v>3</v>
      </c>
      <c r="BE54" s="572">
        <v>1.49</v>
      </c>
      <c r="BF54" s="573">
        <v>1.63</v>
      </c>
      <c r="BG54" s="573"/>
    </row>
    <row r="55" spans="1:60" s="432" customFormat="1" ht="16.5" customHeight="1">
      <c r="A55" s="505" t="s">
        <v>684</v>
      </c>
      <c r="B55" s="506">
        <v>15</v>
      </c>
      <c r="C55" s="507" t="str">
        <f>IF(A55="N","",IF(A55="S",IF(SUM($C$41:C54)=0,1,SUM(LARGE($C$41:C54,1),1))))</f>
        <v/>
      </c>
      <c r="D55" s="508"/>
      <c r="E55" s="509" t="s">
        <v>691</v>
      </c>
      <c r="F55" s="509"/>
      <c r="G55" s="509"/>
      <c r="H55" s="509"/>
      <c r="I55" s="509"/>
      <c r="J55" s="510">
        <v>1</v>
      </c>
      <c r="K55" s="510">
        <v>1</v>
      </c>
      <c r="L55" s="511">
        <v>0</v>
      </c>
      <c r="M55" s="511" t="e">
        <f t="shared" si="1"/>
        <v>#DIV/0!</v>
      </c>
      <c r="N55" s="512">
        <f t="shared" si="2"/>
        <v>0</v>
      </c>
      <c r="O55" s="512">
        <v>1</v>
      </c>
      <c r="P55" s="512">
        <f t="shared" si="3"/>
        <v>1</v>
      </c>
      <c r="Q55" s="512">
        <f t="shared" si="4"/>
        <v>1</v>
      </c>
      <c r="R55" s="512">
        <f t="shared" si="5"/>
        <v>1</v>
      </c>
      <c r="S55" s="512"/>
      <c r="T55" s="513">
        <v>0.9</v>
      </c>
      <c r="U55" s="512">
        <f t="shared" si="6"/>
        <v>0.9</v>
      </c>
      <c r="V55" s="512">
        <f t="shared" si="7"/>
        <v>0.9</v>
      </c>
      <c r="W55" s="514"/>
      <c r="X55" s="514"/>
      <c r="Y55" s="514"/>
      <c r="Z55" s="514" t="s">
        <v>685</v>
      </c>
      <c r="AA55" s="514"/>
      <c r="AB55" s="452"/>
      <c r="AC55" s="508">
        <v>2014</v>
      </c>
      <c r="AD55" s="511">
        <v>0</v>
      </c>
      <c r="AE55" s="511" t="s">
        <v>59</v>
      </c>
      <c r="AF55" s="515">
        <v>10</v>
      </c>
      <c r="AG55" s="483"/>
      <c r="AH55" s="516">
        <f t="shared" si="8"/>
        <v>0</v>
      </c>
      <c r="AI55" s="516">
        <f t="shared" si="9"/>
        <v>0</v>
      </c>
      <c r="AJ55" s="516">
        <f t="shared" si="10"/>
        <v>0</v>
      </c>
      <c r="AK55" s="516">
        <f t="shared" si="11"/>
        <v>1</v>
      </c>
      <c r="AL55" s="517">
        <f t="shared" si="12"/>
        <v>0.96444444444444444</v>
      </c>
      <c r="AM55" s="483"/>
      <c r="AN55" s="518" t="str">
        <f t="shared" si="13"/>
        <v/>
      </c>
      <c r="AO55" s="519" t="str">
        <f t="shared" si="14"/>
        <v>Rua</v>
      </c>
      <c r="AP55" s="513">
        <v>1</v>
      </c>
      <c r="AQ55" s="520">
        <f t="shared" si="15"/>
        <v>0.75</v>
      </c>
      <c r="AR55" s="520">
        <f t="shared" si="16"/>
        <v>0.96444444444444444</v>
      </c>
      <c r="AS55" s="520">
        <f t="shared" si="17"/>
        <v>0.53585183906198597</v>
      </c>
      <c r="AT55" s="520">
        <f t="shared" si="18"/>
        <v>0.38759949692150319</v>
      </c>
      <c r="AU55" s="521" t="str">
        <f t="shared" si="19"/>
        <v/>
      </c>
      <c r="AV55" s="521" t="str">
        <f t="shared" si="20"/>
        <v/>
      </c>
      <c r="AW55" s="522" t="str">
        <f t="shared" si="21"/>
        <v>ok</v>
      </c>
      <c r="AX55" s="523" t="str">
        <f t="shared" si="22"/>
        <v/>
      </c>
      <c r="AY55" s="523" t="str">
        <f t="shared" si="23"/>
        <v/>
      </c>
      <c r="AZ55" s="523" t="str">
        <f t="shared" si="24"/>
        <v/>
      </c>
      <c r="BA55" s="524" t="str">
        <f t="shared" si="25"/>
        <v>Deletar Calculos e Ocultar</v>
      </c>
      <c r="BB55" s="523">
        <f t="shared" si="26"/>
        <v>0</v>
      </c>
      <c r="BC55" s="453"/>
      <c r="BD55" s="571">
        <v>4</v>
      </c>
      <c r="BE55" s="572">
        <v>1.57</v>
      </c>
      <c r="BF55" s="573">
        <v>1.58</v>
      </c>
      <c r="BG55" s="573"/>
    </row>
    <row r="56" spans="1:60" s="432" customFormat="1" ht="16.5" customHeight="1">
      <c r="A56" s="505" t="s">
        <v>684</v>
      </c>
      <c r="B56" s="506">
        <v>16</v>
      </c>
      <c r="C56" s="529" t="str">
        <f>IF(A56="N","",IF(A56="S",IF(SUM($C$41:C55)=0,1,SUM(LARGE($C$41:C55,1),1))))</f>
        <v/>
      </c>
      <c r="D56" s="530"/>
      <c r="E56" s="531" t="s">
        <v>691</v>
      </c>
      <c r="F56" s="531"/>
      <c r="G56" s="531"/>
      <c r="H56" s="531"/>
      <c r="I56" s="531"/>
      <c r="J56" s="532">
        <v>1</v>
      </c>
      <c r="K56" s="532">
        <v>1</v>
      </c>
      <c r="L56" s="533">
        <v>0</v>
      </c>
      <c r="M56" s="533" t="e">
        <f t="shared" si="1"/>
        <v>#DIV/0!</v>
      </c>
      <c r="N56" s="534">
        <f t="shared" si="2"/>
        <v>0</v>
      </c>
      <c r="O56" s="534">
        <v>1</v>
      </c>
      <c r="P56" s="534">
        <f t="shared" si="3"/>
        <v>1</v>
      </c>
      <c r="Q56" s="534">
        <f t="shared" si="4"/>
        <v>1</v>
      </c>
      <c r="R56" s="534">
        <f t="shared" si="5"/>
        <v>1</v>
      </c>
      <c r="S56" s="534"/>
      <c r="T56" s="535">
        <v>0.9</v>
      </c>
      <c r="U56" s="534">
        <f t="shared" si="6"/>
        <v>0.9</v>
      </c>
      <c r="V56" s="534">
        <f t="shared" si="7"/>
        <v>0.9</v>
      </c>
      <c r="W56" s="536"/>
      <c r="X56" s="536"/>
      <c r="Y56" s="536"/>
      <c r="Z56" s="536" t="s">
        <v>685</v>
      </c>
      <c r="AA56" s="536"/>
      <c r="AB56" s="494"/>
      <c r="AC56" s="530">
        <v>2014</v>
      </c>
      <c r="AD56" s="533">
        <v>0</v>
      </c>
      <c r="AE56" s="533" t="s">
        <v>59</v>
      </c>
      <c r="AF56" s="537">
        <v>10</v>
      </c>
      <c r="AG56" s="538"/>
      <c r="AH56" s="539">
        <f t="shared" si="8"/>
        <v>0</v>
      </c>
      <c r="AI56" s="539">
        <f t="shared" si="9"/>
        <v>0</v>
      </c>
      <c r="AJ56" s="539">
        <f t="shared" si="10"/>
        <v>0</v>
      </c>
      <c r="AK56" s="539">
        <f t="shared" si="11"/>
        <v>1</v>
      </c>
      <c r="AL56" s="540">
        <f t="shared" si="12"/>
        <v>0.96444444444444444</v>
      </c>
      <c r="AM56" s="538"/>
      <c r="AN56" s="541" t="str">
        <f t="shared" si="13"/>
        <v/>
      </c>
      <c r="AO56" s="542" t="str">
        <f t="shared" si="14"/>
        <v>Rua</v>
      </c>
      <c r="AP56" s="535">
        <v>1</v>
      </c>
      <c r="AQ56" s="543">
        <f t="shared" si="15"/>
        <v>0.75</v>
      </c>
      <c r="AR56" s="543">
        <f t="shared" si="16"/>
        <v>0.96444444444444444</v>
      </c>
      <c r="AS56" s="543">
        <f t="shared" si="17"/>
        <v>0.53585183906198597</v>
      </c>
      <c r="AT56" s="543">
        <f t="shared" si="18"/>
        <v>0.38759949692150319</v>
      </c>
      <c r="AU56" s="544" t="str">
        <f t="shared" si="19"/>
        <v/>
      </c>
      <c r="AV56" s="544" t="str">
        <f t="shared" si="20"/>
        <v/>
      </c>
      <c r="AW56" s="522" t="str">
        <f t="shared" si="21"/>
        <v>ok</v>
      </c>
      <c r="AX56" s="523" t="str">
        <f t="shared" si="22"/>
        <v/>
      </c>
      <c r="AY56" s="523" t="str">
        <f t="shared" si="23"/>
        <v/>
      </c>
      <c r="AZ56" s="523" t="str">
        <f t="shared" si="24"/>
        <v/>
      </c>
      <c r="BA56" s="524" t="str">
        <f t="shared" si="25"/>
        <v>Deletar Calculos e Ocultar</v>
      </c>
      <c r="BB56" s="523">
        <f t="shared" si="26"/>
        <v>0</v>
      </c>
      <c r="BC56" s="453"/>
      <c r="BD56" s="571">
        <v>5</v>
      </c>
      <c r="BE56" s="572">
        <v>1.65</v>
      </c>
      <c r="BF56" s="573">
        <v>1.53</v>
      </c>
      <c r="BG56" s="573"/>
    </row>
    <row r="57" spans="1:60" s="432" customFormat="1" ht="16.5" customHeight="1">
      <c r="A57" s="505" t="s">
        <v>684</v>
      </c>
      <c r="B57" s="506">
        <v>17</v>
      </c>
      <c r="C57" s="507" t="str">
        <f>IF(A57="N","",IF(A57="S",IF(SUM($C$41:C56)=0,1,SUM(LARGE($C$41:C56,1),1))))</f>
        <v/>
      </c>
      <c r="D57" s="508"/>
      <c r="E57" s="509" t="s">
        <v>691</v>
      </c>
      <c r="F57" s="509"/>
      <c r="G57" s="509"/>
      <c r="H57" s="509"/>
      <c r="I57" s="509"/>
      <c r="J57" s="510">
        <v>1</v>
      </c>
      <c r="K57" s="510">
        <v>1</v>
      </c>
      <c r="L57" s="511">
        <v>0</v>
      </c>
      <c r="M57" s="511" t="e">
        <f t="shared" si="1"/>
        <v>#DIV/0!</v>
      </c>
      <c r="N57" s="512">
        <f t="shared" si="2"/>
        <v>0</v>
      </c>
      <c r="O57" s="512">
        <v>1</v>
      </c>
      <c r="P57" s="512">
        <f t="shared" si="3"/>
        <v>1</v>
      </c>
      <c r="Q57" s="512">
        <f t="shared" si="4"/>
        <v>1</v>
      </c>
      <c r="R57" s="512">
        <f t="shared" si="5"/>
        <v>1</v>
      </c>
      <c r="S57" s="512"/>
      <c r="T57" s="513">
        <v>0.9</v>
      </c>
      <c r="U57" s="512">
        <f t="shared" si="6"/>
        <v>0.9</v>
      </c>
      <c r="V57" s="512">
        <f t="shared" si="7"/>
        <v>0.9</v>
      </c>
      <c r="W57" s="514"/>
      <c r="X57" s="514"/>
      <c r="Y57" s="514"/>
      <c r="Z57" s="514" t="s">
        <v>685</v>
      </c>
      <c r="AA57" s="514"/>
      <c r="AB57" s="452"/>
      <c r="AC57" s="508">
        <v>2014</v>
      </c>
      <c r="AD57" s="511">
        <v>0</v>
      </c>
      <c r="AE57" s="511" t="s">
        <v>59</v>
      </c>
      <c r="AF57" s="515">
        <v>10</v>
      </c>
      <c r="AG57" s="483"/>
      <c r="AH57" s="516">
        <f t="shared" si="8"/>
        <v>0</v>
      </c>
      <c r="AI57" s="516">
        <f t="shared" si="9"/>
        <v>0</v>
      </c>
      <c r="AJ57" s="516">
        <f t="shared" si="10"/>
        <v>0</v>
      </c>
      <c r="AK57" s="516">
        <f t="shared" si="11"/>
        <v>1</v>
      </c>
      <c r="AL57" s="517">
        <f t="shared" si="12"/>
        <v>0.96444444444444444</v>
      </c>
      <c r="AM57" s="483"/>
      <c r="AN57" s="518" t="str">
        <f t="shared" si="13"/>
        <v/>
      </c>
      <c r="AO57" s="519" t="str">
        <f t="shared" si="14"/>
        <v>Rua</v>
      </c>
      <c r="AP57" s="513">
        <v>1</v>
      </c>
      <c r="AQ57" s="520">
        <f t="shared" si="15"/>
        <v>0.75</v>
      </c>
      <c r="AR57" s="520">
        <f t="shared" si="16"/>
        <v>0.96444444444444444</v>
      </c>
      <c r="AS57" s="520">
        <f t="shared" si="17"/>
        <v>0.53585183906198597</v>
      </c>
      <c r="AT57" s="520">
        <f t="shared" si="18"/>
        <v>0.38759949692150319</v>
      </c>
      <c r="AU57" s="521" t="str">
        <f t="shared" si="19"/>
        <v/>
      </c>
      <c r="AV57" s="521" t="str">
        <f t="shared" si="20"/>
        <v/>
      </c>
      <c r="AW57" s="522" t="str">
        <f t="shared" si="21"/>
        <v>ok</v>
      </c>
      <c r="AX57" s="523" t="str">
        <f t="shared" si="22"/>
        <v/>
      </c>
      <c r="AY57" s="523" t="str">
        <f t="shared" si="23"/>
        <v/>
      </c>
      <c r="AZ57" s="523" t="str">
        <f t="shared" si="24"/>
        <v/>
      </c>
      <c r="BA57" s="524" t="str">
        <f t="shared" si="25"/>
        <v>Deletar Calculos e Ocultar</v>
      </c>
      <c r="BB57" s="523">
        <f t="shared" si="26"/>
        <v>0</v>
      </c>
      <c r="BC57" s="453"/>
      <c r="BD57" s="571">
        <v>6</v>
      </c>
      <c r="BE57" s="572">
        <v>1.73</v>
      </c>
      <c r="BF57" s="573">
        <v>1.48</v>
      </c>
      <c r="BG57" s="573"/>
    </row>
    <row r="58" spans="1:60" s="432" customFormat="1" ht="16.5" customHeight="1">
      <c r="A58" s="505" t="s">
        <v>684</v>
      </c>
      <c r="B58" s="506">
        <v>18</v>
      </c>
      <c r="C58" s="529" t="str">
        <f>IF(A58="N","",IF(A58="S",IF(SUM($C$41:C57)=0,1,SUM(LARGE($C$41:C57,1),1))))</f>
        <v/>
      </c>
      <c r="D58" s="530"/>
      <c r="E58" s="531" t="s">
        <v>691</v>
      </c>
      <c r="F58" s="531"/>
      <c r="G58" s="531"/>
      <c r="H58" s="531"/>
      <c r="I58" s="531"/>
      <c r="J58" s="532">
        <v>1</v>
      </c>
      <c r="K58" s="532">
        <v>1</v>
      </c>
      <c r="L58" s="533">
        <v>0</v>
      </c>
      <c r="M58" s="533" t="e">
        <f t="shared" si="1"/>
        <v>#DIV/0!</v>
      </c>
      <c r="N58" s="534">
        <f t="shared" si="2"/>
        <v>0</v>
      </c>
      <c r="O58" s="534">
        <v>1</v>
      </c>
      <c r="P58" s="534">
        <f t="shared" si="3"/>
        <v>1</v>
      </c>
      <c r="Q58" s="534">
        <f t="shared" si="4"/>
        <v>1</v>
      </c>
      <c r="R58" s="534">
        <f t="shared" si="5"/>
        <v>1</v>
      </c>
      <c r="S58" s="534"/>
      <c r="T58" s="535">
        <v>0.9</v>
      </c>
      <c r="U58" s="534">
        <f t="shared" si="6"/>
        <v>0.9</v>
      </c>
      <c r="V58" s="534">
        <f t="shared" si="7"/>
        <v>0.9</v>
      </c>
      <c r="W58" s="536"/>
      <c r="X58" s="536"/>
      <c r="Y58" s="536"/>
      <c r="Z58" s="536" t="s">
        <v>685</v>
      </c>
      <c r="AA58" s="536"/>
      <c r="AB58" s="494"/>
      <c r="AC58" s="530">
        <v>2014</v>
      </c>
      <c r="AD58" s="533">
        <v>0</v>
      </c>
      <c r="AE58" s="533" t="s">
        <v>59</v>
      </c>
      <c r="AF58" s="537">
        <v>10</v>
      </c>
      <c r="AG58" s="538"/>
      <c r="AH58" s="539">
        <f t="shared" si="8"/>
        <v>0</v>
      </c>
      <c r="AI58" s="539">
        <f t="shared" si="9"/>
        <v>0</v>
      </c>
      <c r="AJ58" s="539">
        <f t="shared" si="10"/>
        <v>0</v>
      </c>
      <c r="AK58" s="539">
        <f t="shared" si="11"/>
        <v>1</v>
      </c>
      <c r="AL58" s="540">
        <f t="shared" si="12"/>
        <v>0.96444444444444444</v>
      </c>
      <c r="AM58" s="538"/>
      <c r="AN58" s="541" t="str">
        <f t="shared" si="13"/>
        <v/>
      </c>
      <c r="AO58" s="542" t="str">
        <f t="shared" si="14"/>
        <v>Rua</v>
      </c>
      <c r="AP58" s="535">
        <v>1</v>
      </c>
      <c r="AQ58" s="543">
        <f t="shared" si="15"/>
        <v>0.75</v>
      </c>
      <c r="AR58" s="543">
        <f t="shared" si="16"/>
        <v>0.96444444444444444</v>
      </c>
      <c r="AS58" s="543">
        <f t="shared" si="17"/>
        <v>0.53585183906198597</v>
      </c>
      <c r="AT58" s="543">
        <f t="shared" si="18"/>
        <v>0.38759949692150319</v>
      </c>
      <c r="AU58" s="544" t="str">
        <f t="shared" si="19"/>
        <v/>
      </c>
      <c r="AV58" s="544" t="str">
        <f t="shared" si="20"/>
        <v/>
      </c>
      <c r="AW58" s="522" t="str">
        <f t="shared" si="21"/>
        <v>ok</v>
      </c>
      <c r="AX58" s="523" t="str">
        <f t="shared" si="22"/>
        <v/>
      </c>
      <c r="AY58" s="523" t="str">
        <f t="shared" si="23"/>
        <v/>
      </c>
      <c r="AZ58" s="523" t="str">
        <f t="shared" si="24"/>
        <v/>
      </c>
      <c r="BA58" s="524" t="str">
        <f t="shared" si="25"/>
        <v>Deletar Calculos e Ocultar</v>
      </c>
      <c r="BB58" s="523">
        <f t="shared" si="26"/>
        <v>0</v>
      </c>
      <c r="BC58" s="453"/>
      <c r="BD58" s="571">
        <v>7</v>
      </c>
      <c r="BE58" s="572">
        <v>1.8</v>
      </c>
      <c r="BF58" s="573">
        <v>1.44</v>
      </c>
      <c r="BG58" s="573"/>
    </row>
    <row r="59" spans="1:60" s="432" customFormat="1" ht="16.5" customHeight="1">
      <c r="A59" s="505" t="s">
        <v>684</v>
      </c>
      <c r="B59" s="506">
        <v>19</v>
      </c>
      <c r="C59" s="507" t="str">
        <f>IF(A59="N","",IF(A59="S",IF(SUM($C$41:C58)=0,1,SUM(LARGE($C$41:C58,1),1))))</f>
        <v/>
      </c>
      <c r="D59" s="508"/>
      <c r="E59" s="509" t="s">
        <v>691</v>
      </c>
      <c r="F59" s="509"/>
      <c r="G59" s="509"/>
      <c r="H59" s="509"/>
      <c r="I59" s="509"/>
      <c r="J59" s="510">
        <v>1</v>
      </c>
      <c r="K59" s="510">
        <v>1</v>
      </c>
      <c r="L59" s="511">
        <v>0</v>
      </c>
      <c r="M59" s="511" t="e">
        <f t="shared" si="1"/>
        <v>#DIV/0!</v>
      </c>
      <c r="N59" s="512">
        <f t="shared" si="2"/>
        <v>0</v>
      </c>
      <c r="O59" s="512">
        <v>1</v>
      </c>
      <c r="P59" s="512">
        <f t="shared" si="3"/>
        <v>1</v>
      </c>
      <c r="Q59" s="512">
        <f t="shared" si="4"/>
        <v>1</v>
      </c>
      <c r="R59" s="512">
        <f t="shared" si="5"/>
        <v>1</v>
      </c>
      <c r="S59" s="512"/>
      <c r="T59" s="513">
        <v>0.9</v>
      </c>
      <c r="U59" s="512">
        <f t="shared" si="6"/>
        <v>0.9</v>
      </c>
      <c r="V59" s="512">
        <f t="shared" si="7"/>
        <v>0.9</v>
      </c>
      <c r="W59" s="514"/>
      <c r="X59" s="514"/>
      <c r="Y59" s="514"/>
      <c r="Z59" s="514" t="s">
        <v>685</v>
      </c>
      <c r="AA59" s="514"/>
      <c r="AB59" s="452"/>
      <c r="AC59" s="508">
        <v>2014</v>
      </c>
      <c r="AD59" s="511">
        <v>0</v>
      </c>
      <c r="AE59" s="511" t="s">
        <v>59</v>
      </c>
      <c r="AF59" s="515">
        <v>10</v>
      </c>
      <c r="AG59" s="483"/>
      <c r="AH59" s="516">
        <f t="shared" si="8"/>
        <v>0</v>
      </c>
      <c r="AI59" s="516">
        <f t="shared" si="9"/>
        <v>0</v>
      </c>
      <c r="AJ59" s="516">
        <f t="shared" si="10"/>
        <v>0</v>
      </c>
      <c r="AK59" s="516">
        <f t="shared" si="11"/>
        <v>1</v>
      </c>
      <c r="AL59" s="517">
        <f t="shared" si="12"/>
        <v>0.96444444444444444</v>
      </c>
      <c r="AM59" s="483"/>
      <c r="AN59" s="518" t="str">
        <f t="shared" si="13"/>
        <v/>
      </c>
      <c r="AO59" s="519" t="str">
        <f t="shared" si="14"/>
        <v>Rua</v>
      </c>
      <c r="AP59" s="513">
        <v>1</v>
      </c>
      <c r="AQ59" s="520">
        <f t="shared" si="15"/>
        <v>0.75</v>
      </c>
      <c r="AR59" s="520">
        <f t="shared" si="16"/>
        <v>0.96444444444444444</v>
      </c>
      <c r="AS59" s="520">
        <f t="shared" si="17"/>
        <v>0.53585183906198597</v>
      </c>
      <c r="AT59" s="520">
        <f t="shared" si="18"/>
        <v>0.38759949692150319</v>
      </c>
      <c r="AU59" s="521" t="str">
        <f t="shared" si="19"/>
        <v/>
      </c>
      <c r="AV59" s="521" t="str">
        <f t="shared" si="20"/>
        <v/>
      </c>
      <c r="AW59" s="522" t="str">
        <f t="shared" si="21"/>
        <v>ok</v>
      </c>
      <c r="AX59" s="523" t="str">
        <f t="shared" si="22"/>
        <v/>
      </c>
      <c r="AY59" s="523" t="str">
        <f t="shared" si="23"/>
        <v/>
      </c>
      <c r="AZ59" s="523" t="str">
        <f t="shared" si="24"/>
        <v/>
      </c>
      <c r="BA59" s="524" t="str">
        <f t="shared" si="25"/>
        <v>Deletar Calculos e Ocultar</v>
      </c>
      <c r="BB59" s="523">
        <f t="shared" si="26"/>
        <v>0</v>
      </c>
      <c r="BC59" s="453"/>
      <c r="BD59" s="571">
        <v>8</v>
      </c>
      <c r="BE59" s="572">
        <v>1.86</v>
      </c>
      <c r="BF59" s="573">
        <v>1.42</v>
      </c>
      <c r="BG59" s="573"/>
    </row>
    <row r="60" spans="1:60" s="432" customFormat="1" ht="16.5" customHeight="1">
      <c r="A60" s="505" t="s">
        <v>684</v>
      </c>
      <c r="B60" s="506">
        <v>20</v>
      </c>
      <c r="C60" s="529" t="str">
        <f>IF(A60="N","",IF(A60="S",IF(SUM($C$41:C59)=0,1,SUM(LARGE($C$41:C59,1),1))))</f>
        <v/>
      </c>
      <c r="D60" s="530"/>
      <c r="E60" s="531" t="s">
        <v>691</v>
      </c>
      <c r="F60" s="531"/>
      <c r="G60" s="531"/>
      <c r="H60" s="531"/>
      <c r="I60" s="531"/>
      <c r="J60" s="532">
        <v>1</v>
      </c>
      <c r="K60" s="532">
        <v>1</v>
      </c>
      <c r="L60" s="533">
        <v>0</v>
      </c>
      <c r="M60" s="533" t="e">
        <f t="shared" si="1"/>
        <v>#DIV/0!</v>
      </c>
      <c r="N60" s="534">
        <f t="shared" si="2"/>
        <v>0</v>
      </c>
      <c r="O60" s="534">
        <v>1</v>
      </c>
      <c r="P60" s="534">
        <f t="shared" si="3"/>
        <v>1</v>
      </c>
      <c r="Q60" s="534">
        <f t="shared" si="4"/>
        <v>1</v>
      </c>
      <c r="R60" s="534">
        <f t="shared" si="5"/>
        <v>1</v>
      </c>
      <c r="S60" s="534"/>
      <c r="T60" s="535">
        <v>0.9</v>
      </c>
      <c r="U60" s="534">
        <f t="shared" si="6"/>
        <v>0.9</v>
      </c>
      <c r="V60" s="534">
        <f t="shared" si="7"/>
        <v>0.9</v>
      </c>
      <c r="W60" s="536"/>
      <c r="X60" s="536"/>
      <c r="Y60" s="536"/>
      <c r="Z60" s="536" t="s">
        <v>685</v>
      </c>
      <c r="AA60" s="536"/>
      <c r="AB60" s="494"/>
      <c r="AC60" s="530">
        <v>2014</v>
      </c>
      <c r="AD60" s="533">
        <v>0</v>
      </c>
      <c r="AE60" s="533" t="s">
        <v>59</v>
      </c>
      <c r="AF60" s="537">
        <v>10</v>
      </c>
      <c r="AG60" s="538"/>
      <c r="AH60" s="539">
        <f t="shared" si="8"/>
        <v>0</v>
      </c>
      <c r="AI60" s="539">
        <f t="shared" si="9"/>
        <v>0</v>
      </c>
      <c r="AJ60" s="539">
        <f t="shared" si="10"/>
        <v>0</v>
      </c>
      <c r="AK60" s="539">
        <f t="shared" si="11"/>
        <v>1</v>
      </c>
      <c r="AL60" s="540">
        <f t="shared" si="12"/>
        <v>0.96444444444444444</v>
      </c>
      <c r="AM60" s="538"/>
      <c r="AN60" s="541" t="str">
        <f t="shared" si="13"/>
        <v/>
      </c>
      <c r="AO60" s="542" t="str">
        <f t="shared" si="14"/>
        <v>Rua</v>
      </c>
      <c r="AP60" s="535">
        <v>1</v>
      </c>
      <c r="AQ60" s="543">
        <f t="shared" si="15"/>
        <v>0.75</v>
      </c>
      <c r="AR60" s="543">
        <f t="shared" si="16"/>
        <v>0.96444444444444444</v>
      </c>
      <c r="AS60" s="543">
        <f t="shared" si="17"/>
        <v>0.53585183906198597</v>
      </c>
      <c r="AT60" s="543">
        <f t="shared" si="18"/>
        <v>0.38759949692150319</v>
      </c>
      <c r="AU60" s="544" t="str">
        <f t="shared" si="19"/>
        <v/>
      </c>
      <c r="AV60" s="544" t="str">
        <f t="shared" si="20"/>
        <v/>
      </c>
      <c r="AW60" s="522" t="str">
        <f t="shared" si="21"/>
        <v>ok</v>
      </c>
      <c r="AX60" s="523" t="str">
        <f t="shared" si="22"/>
        <v/>
      </c>
      <c r="AY60" s="523" t="str">
        <f t="shared" si="23"/>
        <v/>
      </c>
      <c r="AZ60" s="523" t="str">
        <f t="shared" si="24"/>
        <v/>
      </c>
      <c r="BA60" s="524" t="str">
        <f t="shared" si="25"/>
        <v>Deletar Calculos e Ocultar</v>
      </c>
      <c r="BB60" s="523">
        <f t="shared" si="26"/>
        <v>0</v>
      </c>
      <c r="BC60" s="453"/>
      <c r="BD60" s="571">
        <v>9</v>
      </c>
      <c r="BE60" s="572">
        <v>1.92</v>
      </c>
      <c r="BF60" s="573">
        <v>1.4</v>
      </c>
      <c r="BG60" s="573"/>
    </row>
    <row r="61" spans="1:60" ht="16.5" customHeight="1" outlineLevel="1">
      <c r="A61" s="574"/>
      <c r="B61" s="574"/>
      <c r="C61" s="575"/>
      <c r="D61" s="575"/>
      <c r="E61" s="576"/>
      <c r="F61" s="576"/>
      <c r="G61" s="576"/>
      <c r="H61" s="576"/>
      <c r="I61" s="576"/>
      <c r="J61" s="576"/>
      <c r="K61" s="577"/>
      <c r="L61" s="578"/>
      <c r="M61" s="578"/>
      <c r="N61" s="577"/>
      <c r="O61" s="579"/>
      <c r="P61" s="579"/>
      <c r="Q61" s="579"/>
      <c r="R61" s="580"/>
      <c r="S61" s="580"/>
      <c r="T61" s="580"/>
      <c r="U61" s="580"/>
      <c r="V61" s="580"/>
      <c r="W61" s="580"/>
      <c r="X61" s="580"/>
      <c r="Y61" s="580"/>
      <c r="Z61" s="478"/>
      <c r="AA61" s="478"/>
      <c r="AB61" s="452"/>
      <c r="AC61" s="581"/>
      <c r="AD61" s="582"/>
      <c r="AE61" s="583"/>
      <c r="AF61" s="584"/>
      <c r="AG61" s="585"/>
      <c r="AH61" s="585"/>
      <c r="AI61" s="585"/>
      <c r="AJ61" s="585"/>
      <c r="AK61" s="585"/>
      <c r="AL61" s="585"/>
      <c r="AM61" s="585"/>
      <c r="AN61" s="586"/>
      <c r="AO61" s="587"/>
      <c r="AP61" s="588"/>
      <c r="AQ61" s="588"/>
      <c r="AR61" s="588"/>
      <c r="AS61" s="588"/>
      <c r="AT61" s="588"/>
      <c r="AU61" s="588"/>
      <c r="AV61" s="589"/>
      <c r="AW61" s="590"/>
      <c r="AX61" s="590"/>
      <c r="AY61" s="590"/>
      <c r="AZ61" s="590"/>
      <c r="BA61" s="523">
        <f>LARGE(AZ41:AZ60,1)</f>
        <v>441.37113575448075</v>
      </c>
      <c r="BB61" s="590"/>
      <c r="BC61" s="453"/>
      <c r="BD61" s="571">
        <v>10</v>
      </c>
      <c r="BE61" s="572">
        <v>1.96</v>
      </c>
      <c r="BF61" s="573">
        <v>1.38</v>
      </c>
      <c r="BG61" s="573"/>
      <c r="BH61" s="432"/>
    </row>
    <row r="62" spans="1:60" ht="16.5" customHeight="1" outlineLevel="1">
      <c r="A62" s="591"/>
      <c r="B62" s="591"/>
      <c r="C62" s="575"/>
      <c r="D62" s="575"/>
      <c r="E62" s="453"/>
      <c r="F62" s="453"/>
      <c r="G62" s="453"/>
      <c r="H62" s="453"/>
      <c r="I62" s="453"/>
      <c r="J62" s="592"/>
      <c r="K62" s="478"/>
      <c r="L62" s="453"/>
      <c r="M62" s="453"/>
      <c r="N62" s="593"/>
      <c r="O62" s="594"/>
      <c r="P62" s="594"/>
      <c r="Q62" s="594"/>
      <c r="R62" s="595"/>
      <c r="S62" s="595"/>
      <c r="T62" s="595"/>
      <c r="U62" s="595"/>
      <c r="V62" s="595"/>
      <c r="W62" s="596"/>
      <c r="X62" s="596"/>
      <c r="Y62" s="596"/>
      <c r="Z62" s="596"/>
      <c r="AA62" s="596"/>
      <c r="AB62" s="453"/>
      <c r="AC62" s="597" t="s">
        <v>704</v>
      </c>
      <c r="AD62" s="598"/>
      <c r="AE62" s="598"/>
      <c r="AF62" s="598"/>
      <c r="AG62" s="599"/>
      <c r="AH62" s="600"/>
      <c r="AI62" s="600"/>
      <c r="AJ62" s="600"/>
      <c r="AK62" s="600"/>
      <c r="AL62" s="600"/>
      <c r="AM62" s="600"/>
      <c r="AN62" s="601"/>
      <c r="AO62" s="601"/>
      <c r="AP62" s="601"/>
      <c r="AQ62" s="602"/>
      <c r="AR62" s="603" t="s">
        <v>705</v>
      </c>
      <c r="AS62" s="603"/>
      <c r="AT62" s="603"/>
      <c r="AU62" s="604"/>
      <c r="AV62" s="605">
        <f>AVERAGE(AU41:AU60)</f>
        <v>3422.6527495591727</v>
      </c>
      <c r="AW62" s="606" t="s">
        <v>706</v>
      </c>
      <c r="AX62" s="453"/>
      <c r="AY62" s="606"/>
      <c r="AZ62" s="606"/>
      <c r="BA62" s="606"/>
      <c r="BB62" s="606"/>
      <c r="BC62" s="453"/>
      <c r="BD62" s="571">
        <v>11</v>
      </c>
      <c r="BE62" s="572">
        <v>2.0099999999999998</v>
      </c>
      <c r="BF62" s="573">
        <v>1.37</v>
      </c>
      <c r="BG62" s="573"/>
      <c r="BH62" s="432"/>
    </row>
    <row r="63" spans="1:60" ht="16.5" customHeight="1" outlineLevel="1">
      <c r="A63" s="591"/>
      <c r="B63" s="591"/>
      <c r="C63" s="768" t="s">
        <v>642</v>
      </c>
      <c r="D63" s="768" t="s">
        <v>643</v>
      </c>
      <c r="E63" s="768" t="s">
        <v>585</v>
      </c>
      <c r="F63" s="768" t="s">
        <v>707</v>
      </c>
      <c r="G63" s="770" t="s">
        <v>708</v>
      </c>
      <c r="H63" s="768" t="s">
        <v>709</v>
      </c>
      <c r="I63" s="453"/>
      <c r="J63" s="592"/>
      <c r="K63" s="607"/>
      <c r="L63" s="607"/>
      <c r="M63" s="453"/>
      <c r="N63" s="453"/>
      <c r="O63" s="608"/>
      <c r="P63" s="608"/>
      <c r="Q63" s="608"/>
      <c r="R63" s="595"/>
      <c r="S63" s="595"/>
      <c r="T63" s="595"/>
      <c r="U63" s="595"/>
      <c r="V63" s="595"/>
      <c r="W63" s="596"/>
      <c r="X63" s="596"/>
      <c r="Y63" s="596"/>
      <c r="Z63" s="453"/>
      <c r="AA63" s="453"/>
      <c r="AB63" s="453"/>
      <c r="AC63" s="609" t="s">
        <v>59</v>
      </c>
      <c r="AD63" s="610" t="s">
        <v>710</v>
      </c>
      <c r="AE63" s="610"/>
      <c r="AF63" s="611">
        <v>0</v>
      </c>
      <c r="AG63" s="612"/>
      <c r="AH63" s="600"/>
      <c r="AI63" s="600"/>
      <c r="AJ63" s="600"/>
      <c r="AK63" s="600"/>
      <c r="AL63" s="600"/>
      <c r="AM63" s="600"/>
      <c r="AN63" s="601"/>
      <c r="AO63" s="601"/>
      <c r="AP63" s="601"/>
      <c r="AQ63" s="613"/>
      <c r="AR63" s="601"/>
      <c r="AS63" s="601"/>
      <c r="AT63" s="601"/>
      <c r="AU63" s="601"/>
      <c r="AV63" s="614"/>
      <c r="AW63" s="606"/>
      <c r="AX63" s="453"/>
      <c r="AY63" s="606"/>
      <c r="AZ63" s="606"/>
      <c r="BA63" s="606"/>
      <c r="BB63" s="606"/>
      <c r="BC63" s="453"/>
      <c r="BD63" s="571">
        <v>12</v>
      </c>
      <c r="BE63" s="572">
        <v>2.0299999999999998</v>
      </c>
      <c r="BF63" s="573">
        <v>1.36</v>
      </c>
      <c r="BG63" s="573"/>
      <c r="BH63" s="432"/>
    </row>
    <row r="64" spans="1:60" ht="16.5" customHeight="1" outlineLevel="1">
      <c r="A64" s="615"/>
      <c r="B64" s="615"/>
      <c r="C64" s="769"/>
      <c r="D64" s="769"/>
      <c r="E64" s="769" t="s">
        <v>685</v>
      </c>
      <c r="F64" s="769" t="s">
        <v>674</v>
      </c>
      <c r="G64" s="771" t="s">
        <v>639</v>
      </c>
      <c r="H64" s="769" t="s">
        <v>675</v>
      </c>
      <c r="I64" s="616"/>
      <c r="J64" s="592"/>
      <c r="K64" s="617"/>
      <c r="L64" s="617"/>
      <c r="M64" s="453"/>
      <c r="N64" s="596"/>
      <c r="O64" s="618"/>
      <c r="P64" s="618"/>
      <c r="Q64" s="618"/>
      <c r="R64" s="595"/>
      <c r="S64" s="595"/>
      <c r="T64" s="595"/>
      <c r="U64" s="595"/>
      <c r="V64" s="595"/>
      <c r="W64" s="619"/>
      <c r="X64" s="619"/>
      <c r="Y64" s="619"/>
      <c r="Z64" s="453"/>
      <c r="AA64" s="453"/>
      <c r="AB64" s="453"/>
      <c r="AC64" s="620" t="s">
        <v>60</v>
      </c>
      <c r="AD64" s="621" t="s">
        <v>711</v>
      </c>
      <c r="AE64" s="621"/>
      <c r="AF64" s="622">
        <v>3.2000000000000002E-3</v>
      </c>
      <c r="AG64" s="612"/>
      <c r="AH64" s="600"/>
      <c r="AI64" s="600"/>
      <c r="AJ64" s="600"/>
      <c r="AK64" s="600"/>
      <c r="AL64" s="600"/>
      <c r="AM64" s="600"/>
      <c r="AN64" s="601"/>
      <c r="AO64" s="623"/>
      <c r="AP64" s="601"/>
      <c r="AQ64" s="613"/>
      <c r="AR64" s="624" t="s">
        <v>712</v>
      </c>
      <c r="AS64" s="624"/>
      <c r="AT64" s="624"/>
      <c r="AU64" s="625"/>
      <c r="AV64" s="625">
        <f>K39</f>
        <v>147.11000000000001</v>
      </c>
      <c r="AW64" s="606" t="s">
        <v>592</v>
      </c>
      <c r="AX64" s="453"/>
      <c r="AY64" s="606"/>
      <c r="AZ64" s="606"/>
      <c r="BA64" s="606"/>
      <c r="BB64" s="606"/>
      <c r="BC64" s="453"/>
      <c r="BD64" s="571">
        <v>13</v>
      </c>
      <c r="BE64" s="572">
        <v>2.12</v>
      </c>
      <c r="BF64" s="573">
        <v>1.36</v>
      </c>
      <c r="BG64" s="573"/>
      <c r="BH64" s="432"/>
    </row>
    <row r="65" spans="1:60" ht="18" customHeight="1" outlineLevel="1">
      <c r="A65" s="626"/>
      <c r="B65" s="626"/>
      <c r="C65" s="778" t="s">
        <v>677</v>
      </c>
      <c r="D65" s="778"/>
      <c r="E65" s="778"/>
      <c r="F65" s="778"/>
      <c r="G65" s="778"/>
      <c r="H65" s="778"/>
      <c r="I65" s="627"/>
      <c r="J65" s="627"/>
      <c r="K65" s="617"/>
      <c r="L65" s="453"/>
      <c r="M65" s="453"/>
      <c r="N65" s="596"/>
      <c r="O65" s="618"/>
      <c r="P65" s="618"/>
      <c r="Q65" s="618"/>
      <c r="R65" s="628"/>
      <c r="S65" s="628"/>
      <c r="T65" s="628"/>
      <c r="U65" s="628"/>
      <c r="V65" s="628"/>
      <c r="W65" s="619"/>
      <c r="X65" s="619"/>
      <c r="Y65" s="619"/>
      <c r="Z65" s="453"/>
      <c r="AA65" s="453"/>
      <c r="AB65" s="453"/>
      <c r="AC65" s="609" t="s">
        <v>61</v>
      </c>
      <c r="AD65" s="610" t="s">
        <v>36</v>
      </c>
      <c r="AE65" s="610"/>
      <c r="AF65" s="629">
        <v>2.52E-2</v>
      </c>
      <c r="AG65" s="612"/>
      <c r="AH65" s="600"/>
      <c r="AI65" s="600"/>
      <c r="AJ65" s="600"/>
      <c r="AK65" s="600"/>
      <c r="AL65" s="600"/>
      <c r="AM65" s="600"/>
      <c r="AN65" s="601"/>
      <c r="AO65" s="623"/>
      <c r="AP65" s="601"/>
      <c r="AQ65" s="613"/>
      <c r="AR65" s="630"/>
      <c r="AS65" s="630"/>
      <c r="AT65" s="630"/>
      <c r="AU65" s="630"/>
      <c r="AV65" s="631"/>
      <c r="AW65" s="606"/>
      <c r="AX65" s="453"/>
      <c r="AY65" s="606"/>
      <c r="AZ65" s="606"/>
      <c r="BA65" s="606"/>
      <c r="BB65" s="606"/>
      <c r="BC65" s="453"/>
      <c r="BD65" s="571">
        <v>14</v>
      </c>
      <c r="BE65" s="572">
        <v>2.1800000000000002</v>
      </c>
      <c r="BF65" s="573">
        <v>1.35</v>
      </c>
      <c r="BG65" s="573"/>
      <c r="BH65" s="432"/>
    </row>
    <row r="66" spans="1:60" ht="18" customHeight="1" outlineLevel="1">
      <c r="A66" s="626"/>
      <c r="B66" s="626"/>
      <c r="C66" s="632" t="s">
        <v>81</v>
      </c>
      <c r="D66" s="633">
        <f>D39</f>
        <v>0</v>
      </c>
      <c r="E66" s="634" t="str">
        <f>F3</f>
        <v>Rua Dona Carmem, 89</v>
      </c>
      <c r="F66" s="632"/>
      <c r="G66" s="635">
        <f>AVERAGE(G68:G73)</f>
        <v>1</v>
      </c>
      <c r="H66" s="632"/>
      <c r="I66" s="627"/>
      <c r="J66" s="627"/>
      <c r="K66" s="617"/>
      <c r="L66" s="453"/>
      <c r="M66" s="453"/>
      <c r="N66" s="596"/>
      <c r="O66" s="618"/>
      <c r="P66" s="618"/>
      <c r="Q66" s="618"/>
      <c r="R66" s="628"/>
      <c r="S66" s="628"/>
      <c r="T66" s="628"/>
      <c r="U66" s="628"/>
      <c r="V66" s="628"/>
      <c r="W66" s="619"/>
      <c r="X66" s="619"/>
      <c r="Y66" s="619"/>
      <c r="Z66" s="453"/>
      <c r="AA66" s="453"/>
      <c r="AB66" s="453"/>
      <c r="AC66" s="620" t="s">
        <v>62</v>
      </c>
      <c r="AD66" s="621" t="s">
        <v>713</v>
      </c>
      <c r="AE66" s="621"/>
      <c r="AF66" s="622">
        <v>8.09E-2</v>
      </c>
      <c r="AG66" s="612"/>
      <c r="AH66" s="600"/>
      <c r="AI66" s="600"/>
      <c r="AJ66" s="600"/>
      <c r="AK66" s="600"/>
      <c r="AL66" s="600"/>
      <c r="AM66" s="600"/>
      <c r="AN66" s="601"/>
      <c r="AO66" s="623"/>
      <c r="AP66" s="601"/>
      <c r="AQ66" s="613"/>
      <c r="AR66" s="636" t="s">
        <v>714</v>
      </c>
      <c r="AS66" s="636"/>
      <c r="AT66" s="636"/>
      <c r="AU66" s="604"/>
      <c r="AV66" s="605">
        <f>AVERAGE(AV41:AV60)</f>
        <v>3422.6527495591727</v>
      </c>
      <c r="AW66" s="606" t="s">
        <v>706</v>
      </c>
      <c r="AX66" s="453"/>
      <c r="AY66" s="606"/>
      <c r="AZ66" s="606"/>
      <c r="BA66" s="606"/>
      <c r="BB66" s="606"/>
      <c r="BC66" s="453"/>
      <c r="BD66" s="571">
        <v>15</v>
      </c>
      <c r="BE66" s="572">
        <v>2.23</v>
      </c>
      <c r="BF66" s="573">
        <v>1.34</v>
      </c>
      <c r="BG66" s="573"/>
      <c r="BH66" s="432"/>
    </row>
    <row r="67" spans="1:60" ht="16.5" customHeight="1" outlineLevel="1">
      <c r="A67" s="580"/>
      <c r="B67" s="580"/>
      <c r="C67" s="785" t="s">
        <v>715</v>
      </c>
      <c r="D67" s="785"/>
      <c r="E67" s="785"/>
      <c r="F67" s="785"/>
      <c r="G67" s="785"/>
      <c r="H67" s="785"/>
      <c r="I67" s="627"/>
      <c r="J67" s="627"/>
      <c r="K67" s="453"/>
      <c r="L67" s="453"/>
      <c r="M67" s="453"/>
      <c r="N67" s="453"/>
      <c r="O67" s="453"/>
      <c r="P67" s="453"/>
      <c r="Q67" s="592"/>
      <c r="R67" s="453"/>
      <c r="S67" s="453"/>
      <c r="T67" s="453"/>
      <c r="U67" s="453"/>
      <c r="V67" s="453"/>
      <c r="W67" s="619"/>
      <c r="X67" s="619"/>
      <c r="Y67" s="619"/>
      <c r="Z67" s="453"/>
      <c r="AA67" s="453"/>
      <c r="AB67" s="453"/>
      <c r="AC67" s="609" t="s">
        <v>63</v>
      </c>
      <c r="AD67" s="610" t="s">
        <v>716</v>
      </c>
      <c r="AE67" s="610"/>
      <c r="AF67" s="629">
        <v>0.18099999999999999</v>
      </c>
      <c r="AG67" s="612"/>
      <c r="AH67" s="600"/>
      <c r="AI67" s="600"/>
      <c r="AJ67" s="600"/>
      <c r="AK67" s="600"/>
      <c r="AL67" s="600"/>
      <c r="AM67" s="600"/>
      <c r="AN67" s="601"/>
      <c r="AO67" s="637"/>
      <c r="AP67" s="601"/>
      <c r="AQ67" s="630"/>
      <c r="AR67" s="638" t="s">
        <v>717</v>
      </c>
      <c r="AS67" s="638"/>
      <c r="AT67" s="639"/>
      <c r="AU67" s="613">
        <v>-0.3</v>
      </c>
      <c r="AV67" s="640">
        <f>$AV$66*(1+AU67)</f>
        <v>2395.8569246914208</v>
      </c>
      <c r="AW67" s="606" t="s">
        <v>706</v>
      </c>
      <c r="AX67" s="453"/>
      <c r="AY67" s="606"/>
      <c r="AZ67" s="606"/>
      <c r="BA67" s="606"/>
      <c r="BB67" s="606"/>
      <c r="BC67" s="453"/>
      <c r="BD67" s="571">
        <v>16</v>
      </c>
      <c r="BE67" s="572">
        <v>2.29</v>
      </c>
      <c r="BF67" s="573">
        <v>1.34</v>
      </c>
      <c r="BG67" s="573"/>
      <c r="BH67" s="432"/>
    </row>
    <row r="68" spans="1:60" ht="16.5" customHeight="1" outlineLevel="1">
      <c r="A68" s="641"/>
      <c r="B68" s="641"/>
      <c r="C68" s="511">
        <v>1</v>
      </c>
      <c r="D68" s="509" t="s">
        <v>643</v>
      </c>
      <c r="E68" s="642" t="s">
        <v>691</v>
      </c>
      <c r="F68" s="513"/>
      <c r="G68" s="513">
        <v>1</v>
      </c>
      <c r="H68" s="513" t="s">
        <v>718</v>
      </c>
      <c r="I68" s="643"/>
      <c r="J68" s="643"/>
      <c r="K68" s="644"/>
      <c r="L68" s="453"/>
      <c r="M68" s="453"/>
      <c r="N68" s="453"/>
      <c r="O68" s="453"/>
      <c r="P68" s="453"/>
      <c r="Q68" s="453"/>
      <c r="R68" s="453"/>
      <c r="S68" s="453"/>
      <c r="T68" s="453"/>
      <c r="U68" s="453"/>
      <c r="V68" s="453"/>
      <c r="W68" s="453"/>
      <c r="X68" s="453"/>
      <c r="Y68" s="453"/>
      <c r="Z68" s="645"/>
      <c r="AA68" s="645"/>
      <c r="AB68" s="453"/>
      <c r="AC68" s="620" t="s">
        <v>719</v>
      </c>
      <c r="AD68" s="621" t="s">
        <v>720</v>
      </c>
      <c r="AE68" s="621"/>
      <c r="AF68" s="622">
        <v>0.33200000000000002</v>
      </c>
      <c r="AG68" s="612"/>
      <c r="AH68" s="600"/>
      <c r="AI68" s="600"/>
      <c r="AJ68" s="600"/>
      <c r="AK68" s="600"/>
      <c r="AL68" s="600"/>
      <c r="AM68" s="600"/>
      <c r="AN68" s="601"/>
      <c r="AO68" s="637"/>
      <c r="AP68" s="601"/>
      <c r="AQ68" s="646"/>
      <c r="AR68" s="647" t="s">
        <v>721</v>
      </c>
      <c r="AS68" s="647"/>
      <c r="AT68" s="647"/>
      <c r="AU68" s="648">
        <v>0.3</v>
      </c>
      <c r="AV68" s="649">
        <f>$AV$66*(1+AU68)</f>
        <v>4449.448574426925</v>
      </c>
      <c r="AW68" s="606" t="s">
        <v>706</v>
      </c>
      <c r="AX68" s="453"/>
      <c r="AY68" s="606"/>
      <c r="AZ68" s="606"/>
      <c r="BA68" s="606"/>
      <c r="BB68" s="606"/>
      <c r="BC68" s="453"/>
      <c r="BD68" s="571">
        <v>17</v>
      </c>
      <c r="BE68" s="572">
        <v>2.35</v>
      </c>
      <c r="BF68" s="573">
        <v>1.34</v>
      </c>
      <c r="BG68" s="573"/>
      <c r="BH68" s="432"/>
    </row>
    <row r="69" spans="1:60" ht="16.5" customHeight="1" outlineLevel="1">
      <c r="A69" s="641"/>
      <c r="B69" s="641"/>
      <c r="C69" s="650">
        <v>2</v>
      </c>
      <c r="D69" s="651" t="s">
        <v>643</v>
      </c>
      <c r="E69" s="652" t="s">
        <v>691</v>
      </c>
      <c r="F69" s="653"/>
      <c r="G69" s="653">
        <v>1</v>
      </c>
      <c r="H69" s="653" t="s">
        <v>722</v>
      </c>
      <c r="I69" s="643"/>
      <c r="J69" s="643"/>
      <c r="K69" s="453"/>
      <c r="L69" s="453"/>
      <c r="M69" s="453"/>
      <c r="N69" s="453"/>
      <c r="O69" s="453"/>
      <c r="P69" s="453"/>
      <c r="Q69" s="453"/>
      <c r="R69" s="453"/>
      <c r="S69" s="453"/>
      <c r="T69" s="453"/>
      <c r="U69" s="453"/>
      <c r="V69" s="453"/>
      <c r="W69" s="453"/>
      <c r="X69" s="453"/>
      <c r="Y69" s="453"/>
      <c r="Z69" s="453"/>
      <c r="AA69" s="453"/>
      <c r="AB69" s="453"/>
      <c r="AC69" s="609" t="s">
        <v>723</v>
      </c>
      <c r="AD69" s="610" t="s">
        <v>724</v>
      </c>
      <c r="AE69" s="610"/>
      <c r="AF69" s="629">
        <v>0.52600000000000002</v>
      </c>
      <c r="AG69" s="612"/>
      <c r="AH69" s="600"/>
      <c r="AI69" s="600"/>
      <c r="AJ69" s="600"/>
      <c r="AK69" s="600"/>
      <c r="AL69" s="600"/>
      <c r="AM69" s="600"/>
      <c r="AN69" s="601"/>
      <c r="AO69" s="601"/>
      <c r="AP69" s="601"/>
      <c r="AQ69" s="613"/>
      <c r="AR69" s="631"/>
      <c r="AS69" s="631"/>
      <c r="AT69" s="631"/>
      <c r="AU69" s="630"/>
      <c r="AV69" s="640"/>
      <c r="AW69" s="606"/>
      <c r="AX69" s="453"/>
      <c r="AY69" s="606"/>
      <c r="AZ69" s="606"/>
      <c r="BA69" s="606"/>
      <c r="BB69" s="606"/>
      <c r="BC69" s="453"/>
      <c r="BD69" s="571">
        <v>18</v>
      </c>
      <c r="BE69" s="572">
        <v>2.4</v>
      </c>
      <c r="BF69" s="573">
        <v>1.33</v>
      </c>
      <c r="BG69" s="573"/>
      <c r="BH69" s="432"/>
    </row>
    <row r="70" spans="1:60" ht="16.5" customHeight="1" outlineLevel="1">
      <c r="A70" s="641"/>
      <c r="B70" s="641"/>
      <c r="C70" s="511">
        <v>3</v>
      </c>
      <c r="D70" s="509"/>
      <c r="E70" s="513"/>
      <c r="F70" s="513"/>
      <c r="G70" s="513">
        <v>1</v>
      </c>
      <c r="H70" s="513" t="s">
        <v>725</v>
      </c>
      <c r="I70" s="643"/>
      <c r="J70" s="643"/>
      <c r="K70" s="453"/>
      <c r="L70" s="453"/>
      <c r="M70" s="453"/>
      <c r="N70" s="453"/>
      <c r="O70" s="453"/>
      <c r="P70" s="453"/>
      <c r="Q70" s="453"/>
      <c r="R70" s="453"/>
      <c r="S70" s="453"/>
      <c r="T70" s="453"/>
      <c r="U70" s="453"/>
      <c r="V70" s="453"/>
      <c r="W70" s="453"/>
      <c r="X70" s="453"/>
      <c r="Y70" s="453"/>
      <c r="Z70" s="453"/>
      <c r="AA70" s="453"/>
      <c r="AB70" s="453"/>
      <c r="AC70" s="620" t="s">
        <v>726</v>
      </c>
      <c r="AD70" s="621" t="s">
        <v>727</v>
      </c>
      <c r="AE70" s="621"/>
      <c r="AF70" s="622">
        <v>0.752</v>
      </c>
      <c r="AG70" s="612"/>
      <c r="AH70" s="600"/>
      <c r="AI70" s="600"/>
      <c r="AJ70" s="600"/>
      <c r="AK70" s="600"/>
      <c r="AL70" s="600"/>
      <c r="AM70" s="600"/>
      <c r="AN70" s="601"/>
      <c r="AO70" s="601"/>
      <c r="AP70" s="601"/>
      <c r="AQ70" s="654"/>
      <c r="AR70" s="655" t="str">
        <f>IF($AV$39="Sim","Valor total sem vagas","Valor Total")</f>
        <v>Valor total sem vagas</v>
      </c>
      <c r="AS70" s="603"/>
      <c r="AT70" s="603"/>
      <c r="AU70" s="656"/>
      <c r="AV70" s="656">
        <f>ROUND(AV64*AV66,-3)</f>
        <v>504000</v>
      </c>
      <c r="AW70" s="606"/>
      <c r="AX70" s="453"/>
      <c r="AY70" s="606"/>
      <c r="AZ70" s="606"/>
      <c r="BA70" s="606"/>
      <c r="BB70" s="606"/>
      <c r="BC70" s="453"/>
      <c r="BD70" s="571">
        <v>19</v>
      </c>
      <c r="BE70" s="572">
        <v>2.46</v>
      </c>
      <c r="BF70" s="573">
        <v>1.33</v>
      </c>
      <c r="BG70" s="573"/>
      <c r="BH70" s="432"/>
    </row>
    <row r="71" spans="1:60" ht="16.5" customHeight="1" outlineLevel="1">
      <c r="A71" s="641"/>
      <c r="B71" s="641"/>
      <c r="C71" s="650">
        <v>4</v>
      </c>
      <c r="D71" s="651"/>
      <c r="E71" s="653"/>
      <c r="F71" s="653"/>
      <c r="G71" s="653">
        <v>1</v>
      </c>
      <c r="H71" s="653"/>
      <c r="I71" s="643"/>
      <c r="J71" s="643"/>
      <c r="K71" s="453"/>
      <c r="L71" s="453"/>
      <c r="M71" s="453"/>
      <c r="N71" s="657"/>
      <c r="O71" s="453"/>
      <c r="P71" s="453"/>
      <c r="Q71" s="453"/>
      <c r="R71" s="453"/>
      <c r="S71" s="453"/>
      <c r="T71" s="453"/>
      <c r="U71" s="453"/>
      <c r="V71" s="453"/>
      <c r="W71" s="453"/>
      <c r="X71" s="453"/>
      <c r="Y71" s="453"/>
      <c r="Z71" s="453"/>
      <c r="AA71" s="453"/>
      <c r="AB71" s="453"/>
      <c r="AC71" s="609" t="s">
        <v>728</v>
      </c>
      <c r="AD71" s="610" t="s">
        <v>729</v>
      </c>
      <c r="AE71" s="610"/>
      <c r="AF71" s="629">
        <v>1</v>
      </c>
      <c r="AG71" s="600"/>
      <c r="AH71" s="600"/>
      <c r="AI71" s="600"/>
      <c r="AJ71" s="600"/>
      <c r="AK71" s="600"/>
      <c r="AL71" s="600"/>
      <c r="AM71" s="600"/>
      <c r="AN71" s="601"/>
      <c r="AO71" s="601"/>
      <c r="AP71" s="601"/>
      <c r="AQ71" s="613"/>
      <c r="AR71" s="658" t="s">
        <v>730</v>
      </c>
      <c r="AS71" s="658"/>
      <c r="AT71" s="659"/>
      <c r="AU71" s="660"/>
      <c r="AV71" s="660">
        <f>ROUND(AV70*0.9,-3)</f>
        <v>454000</v>
      </c>
      <c r="AW71" s="606"/>
      <c r="AX71" s="453"/>
      <c r="AY71" s="606"/>
      <c r="AZ71" s="606"/>
      <c r="BA71" s="606"/>
      <c r="BB71" s="606"/>
      <c r="BC71" s="453"/>
      <c r="BD71" s="571">
        <v>20</v>
      </c>
      <c r="BE71" s="572">
        <v>2.5099999999999998</v>
      </c>
      <c r="BF71" s="573">
        <v>1.33</v>
      </c>
      <c r="BG71" s="573"/>
      <c r="BH71" s="432"/>
    </row>
    <row r="72" spans="1:60" ht="16.5" customHeight="1" outlineLevel="1">
      <c r="A72" s="580"/>
      <c r="B72" s="580"/>
      <c r="C72" s="511">
        <v>5</v>
      </c>
      <c r="D72" s="509"/>
      <c r="E72" s="513"/>
      <c r="F72" s="513"/>
      <c r="G72" s="513">
        <v>1</v>
      </c>
      <c r="H72" s="513"/>
      <c r="I72" s="643"/>
      <c r="J72" s="643"/>
      <c r="K72" s="453"/>
      <c r="L72" s="453"/>
      <c r="M72" s="453"/>
      <c r="N72" s="657"/>
      <c r="O72" s="453"/>
      <c r="P72" s="453"/>
      <c r="Q72" s="453"/>
      <c r="R72" s="453"/>
      <c r="S72" s="453"/>
      <c r="T72" s="453"/>
      <c r="U72" s="453"/>
      <c r="V72" s="453"/>
      <c r="W72" s="453"/>
      <c r="X72" s="453"/>
      <c r="Y72" s="453"/>
      <c r="Z72" s="453"/>
      <c r="AA72" s="453"/>
      <c r="AB72" s="453"/>
      <c r="AC72" s="600"/>
      <c r="AD72" s="661"/>
      <c r="AE72" s="612"/>
      <c r="AF72" s="600"/>
      <c r="AG72" s="600"/>
      <c r="AH72" s="600"/>
      <c r="AI72" s="600"/>
      <c r="AJ72" s="600"/>
      <c r="AK72" s="600"/>
      <c r="AL72" s="600"/>
      <c r="AM72" s="600"/>
      <c r="AN72" s="601"/>
      <c r="AO72" s="601"/>
      <c r="AP72" s="601"/>
      <c r="AQ72" s="630"/>
      <c r="AR72" s="662" t="s">
        <v>731</v>
      </c>
      <c r="AS72" s="662"/>
      <c r="AT72" s="663"/>
      <c r="AU72" s="664"/>
      <c r="AV72" s="664">
        <f>ROUND(AV70*1.1,-3)</f>
        <v>554000</v>
      </c>
      <c r="AW72" s="606"/>
      <c r="AX72" s="453"/>
      <c r="AY72" s="606"/>
      <c r="AZ72" s="606"/>
      <c r="BA72" s="606"/>
      <c r="BB72" s="606"/>
      <c r="BC72" s="453"/>
      <c r="BD72" s="453"/>
      <c r="BE72" s="453"/>
      <c r="BF72" s="453"/>
      <c r="BG72" s="453"/>
      <c r="BH72" s="432"/>
    </row>
    <row r="73" spans="1:60" ht="16.5" customHeight="1" outlineLevel="1">
      <c r="A73" s="580"/>
      <c r="B73" s="580"/>
      <c r="C73" s="650">
        <v>6</v>
      </c>
      <c r="D73" s="651"/>
      <c r="E73" s="653"/>
      <c r="F73" s="653"/>
      <c r="G73" s="653">
        <v>1</v>
      </c>
      <c r="H73" s="653"/>
      <c r="I73" s="643"/>
      <c r="J73" s="643"/>
      <c r="K73" s="453"/>
      <c r="L73" s="453"/>
      <c r="M73" s="453"/>
      <c r="N73" s="657"/>
      <c r="O73" s="453"/>
      <c r="P73" s="453"/>
      <c r="Q73" s="453"/>
      <c r="R73" s="453"/>
      <c r="S73" s="453"/>
      <c r="T73" s="453"/>
      <c r="U73" s="453"/>
      <c r="V73" s="453"/>
      <c r="W73" s="453"/>
      <c r="X73" s="453"/>
      <c r="Y73" s="453"/>
      <c r="Z73" s="453"/>
      <c r="AA73" s="453"/>
      <c r="AB73" s="453"/>
      <c r="AC73" s="665" t="s">
        <v>732</v>
      </c>
      <c r="AD73" s="665" t="s">
        <v>235</v>
      </c>
      <c r="AE73" s="612"/>
      <c r="AF73" s="600"/>
      <c r="AG73" s="600"/>
      <c r="AH73" s="600"/>
      <c r="AI73" s="600"/>
      <c r="AJ73" s="600"/>
      <c r="AK73" s="600"/>
      <c r="AL73" s="600"/>
      <c r="AM73" s="600"/>
      <c r="AN73" s="601"/>
      <c r="AO73" s="601"/>
      <c r="AP73" s="601"/>
      <c r="AQ73" s="658"/>
      <c r="AR73" s="601"/>
      <c r="AS73" s="601"/>
      <c r="AT73" s="601"/>
      <c r="AU73" s="614"/>
      <c r="AV73" s="614"/>
      <c r="AW73" s="606"/>
      <c r="AX73" s="453"/>
      <c r="AY73" s="606"/>
      <c r="AZ73" s="606"/>
      <c r="BA73" s="606"/>
      <c r="BB73" s="606"/>
      <c r="BC73" s="453"/>
      <c r="BD73" s="453"/>
      <c r="BE73" s="453"/>
      <c r="BF73" s="453"/>
      <c r="BG73" s="453"/>
      <c r="BH73" s="432"/>
    </row>
    <row r="74" spans="1:60" ht="16.5" customHeight="1" outlineLevel="1">
      <c r="A74" s="580"/>
      <c r="B74" s="580"/>
      <c r="C74" s="580"/>
      <c r="D74" s="580"/>
      <c r="E74" s="643"/>
      <c r="F74" s="643"/>
      <c r="G74" s="643"/>
      <c r="H74" s="643"/>
      <c r="I74" s="666"/>
      <c r="J74" s="666"/>
      <c r="K74" s="453"/>
      <c r="L74" s="453"/>
      <c r="M74" s="453"/>
      <c r="N74" s="667"/>
      <c r="O74" s="453"/>
      <c r="P74" s="453"/>
      <c r="Q74" s="453"/>
      <c r="R74" s="453"/>
      <c r="S74" s="453"/>
      <c r="T74" s="453"/>
      <c r="U74" s="453"/>
      <c r="V74" s="453"/>
      <c r="W74" s="453"/>
      <c r="X74" s="453"/>
      <c r="Y74" s="453"/>
      <c r="Z74" s="453"/>
      <c r="AA74" s="453"/>
      <c r="AB74" s="453"/>
      <c r="AC74" s="668">
        <v>67</v>
      </c>
      <c r="AD74" s="668">
        <v>75</v>
      </c>
      <c r="AE74" s="600"/>
      <c r="AF74" s="600"/>
      <c r="AG74" s="600"/>
      <c r="AH74" s="600"/>
      <c r="AI74" s="600"/>
      <c r="AJ74" s="600"/>
      <c r="AK74" s="600"/>
      <c r="AL74" s="600"/>
      <c r="AM74" s="600"/>
      <c r="AN74" s="601"/>
      <c r="AO74" s="601"/>
      <c r="AP74" s="601"/>
      <c r="AQ74" s="669"/>
      <c r="AR74" s="662" t="s">
        <v>733</v>
      </c>
      <c r="AS74" s="662"/>
      <c r="AT74" s="663"/>
      <c r="AU74" s="670">
        <f>L39</f>
        <v>2</v>
      </c>
      <c r="AV74" s="664">
        <f>AU74*N39</f>
        <v>0</v>
      </c>
      <c r="AW74" s="453"/>
      <c r="AX74" s="453"/>
      <c r="AY74" s="606"/>
      <c r="AZ74" s="606"/>
      <c r="BA74" s="606"/>
      <c r="BB74" s="606"/>
      <c r="BC74" s="453"/>
      <c r="BD74" s="453"/>
      <c r="BE74" s="453"/>
      <c r="BF74" s="453"/>
      <c r="BG74" s="453"/>
      <c r="BH74" s="432"/>
    </row>
    <row r="75" spans="1:60" ht="16.5" customHeight="1" outlineLevel="1">
      <c r="A75" s="453"/>
      <c r="B75" s="453"/>
      <c r="C75" s="580"/>
      <c r="D75" s="580"/>
      <c r="E75" s="666"/>
      <c r="F75" s="666"/>
      <c r="G75" s="666"/>
      <c r="H75" s="666"/>
      <c r="I75" s="453"/>
      <c r="J75" s="453"/>
      <c r="K75" s="453"/>
      <c r="L75" s="453"/>
      <c r="M75" s="453"/>
      <c r="N75" s="453"/>
      <c r="O75" s="453"/>
      <c r="P75" s="453"/>
      <c r="Q75" s="453"/>
      <c r="R75" s="453"/>
      <c r="S75" s="453"/>
      <c r="T75" s="453"/>
      <c r="U75" s="453"/>
      <c r="V75" s="453"/>
      <c r="W75" s="453"/>
      <c r="X75" s="453"/>
      <c r="Y75" s="453"/>
      <c r="Z75" s="453"/>
      <c r="AA75" s="453"/>
      <c r="AB75" s="453"/>
      <c r="AC75" s="600"/>
      <c r="AD75" s="600"/>
      <c r="AE75" s="600"/>
      <c r="AF75" s="600"/>
      <c r="AG75" s="600"/>
      <c r="AH75" s="600"/>
      <c r="AI75" s="600"/>
      <c r="AJ75" s="600"/>
      <c r="AK75" s="600"/>
      <c r="AL75" s="600"/>
      <c r="AM75" s="600"/>
      <c r="AN75" s="601"/>
      <c r="AO75" s="601"/>
      <c r="AP75" s="601"/>
      <c r="AQ75" s="601"/>
      <c r="AR75" s="671" t="s">
        <v>734</v>
      </c>
      <c r="AS75" s="671"/>
      <c r="AT75" s="672"/>
      <c r="AU75" s="673"/>
      <c r="AV75" s="605">
        <f>ROUND(AV74+AU70,-3)</f>
        <v>0</v>
      </c>
      <c r="AW75" s="606"/>
      <c r="AX75" s="453"/>
      <c r="AY75" s="606"/>
      <c r="AZ75" s="606"/>
      <c r="BA75" s="606"/>
      <c r="BB75" s="606"/>
      <c r="BC75" s="453"/>
      <c r="BD75" s="453"/>
      <c r="BE75" s="453"/>
      <c r="BF75" s="453"/>
      <c r="BG75" s="453"/>
      <c r="BH75" s="432"/>
    </row>
    <row r="76" spans="1:60" ht="16.5" customHeight="1" outlineLevel="1">
      <c r="C76" s="453"/>
      <c r="D76" s="453"/>
      <c r="E76" s="674" t="s">
        <v>735</v>
      </c>
      <c r="F76" s="675">
        <v>0.05</v>
      </c>
      <c r="G76" s="675">
        <f>F76+1%</f>
        <v>6.0000000000000005E-2</v>
      </c>
      <c r="H76" s="675">
        <f>G76+1%</f>
        <v>7.0000000000000007E-2</v>
      </c>
      <c r="I76" s="432"/>
      <c r="J76" s="432"/>
      <c r="K76" s="432"/>
      <c r="L76" s="432"/>
      <c r="M76" s="432"/>
      <c r="N76" s="432"/>
      <c r="O76" s="432"/>
      <c r="P76" s="432"/>
      <c r="Q76" s="432"/>
      <c r="R76" s="432"/>
      <c r="S76" s="432"/>
      <c r="T76" s="432"/>
      <c r="U76" s="432"/>
      <c r="V76" s="432"/>
      <c r="W76" s="432"/>
      <c r="X76" s="432"/>
      <c r="Y76" s="432"/>
      <c r="Z76" s="432"/>
      <c r="AA76" s="432"/>
      <c r="AB76" s="432"/>
      <c r="AC76" s="676" t="s">
        <v>604</v>
      </c>
      <c r="AD76" s="676" t="s">
        <v>605</v>
      </c>
      <c r="AE76" s="376"/>
      <c r="AF76" s="376"/>
      <c r="AG76" s="376"/>
      <c r="AH76" s="376"/>
      <c r="AI76" s="376"/>
      <c r="AJ76" s="376"/>
      <c r="AK76" s="376"/>
      <c r="AL76" s="376"/>
      <c r="AM76" s="376"/>
      <c r="AN76" s="677"/>
      <c r="AO76" s="677"/>
      <c r="AP76" s="677"/>
      <c r="AQ76" s="677"/>
      <c r="AR76" s="678" t="s">
        <v>736</v>
      </c>
      <c r="AS76" s="678"/>
      <c r="AT76" s="679"/>
      <c r="AU76" s="680"/>
      <c r="AV76" s="680">
        <f>AV75/AV64</f>
        <v>0</v>
      </c>
      <c r="AW76" s="681"/>
      <c r="AX76" s="432"/>
      <c r="AY76" s="432"/>
      <c r="AZ76" s="432"/>
      <c r="BA76" s="432"/>
      <c r="BB76" s="432"/>
      <c r="BC76" s="432"/>
      <c r="BD76" s="432"/>
      <c r="BE76" s="432"/>
      <c r="BF76" s="432"/>
      <c r="BG76" s="432"/>
      <c r="BH76" s="432"/>
    </row>
    <row r="77" spans="1:60" ht="16.5" customHeight="1" outlineLevel="1">
      <c r="C77" s="453"/>
      <c r="D77" s="453"/>
      <c r="E77" s="682" t="s">
        <v>737</v>
      </c>
      <c r="F77" s="683">
        <f>($G$66*12)/F76</f>
        <v>240</v>
      </c>
      <c r="G77" s="684">
        <f>($G$66*12)/G76</f>
        <v>199.99999999999997</v>
      </c>
      <c r="H77" s="683">
        <f>($G$66*12)/H76</f>
        <v>171.42857142857142</v>
      </c>
      <c r="I77" s="432"/>
      <c r="J77" s="432"/>
      <c r="K77" s="432"/>
      <c r="L77" s="432"/>
      <c r="M77" s="432"/>
      <c r="N77" s="432"/>
      <c r="O77" s="432"/>
      <c r="P77" s="432"/>
      <c r="Q77" s="432"/>
      <c r="R77" s="432"/>
      <c r="S77" s="432"/>
      <c r="T77" s="432"/>
      <c r="U77" s="432"/>
      <c r="V77" s="432"/>
      <c r="W77" s="432"/>
      <c r="X77" s="432"/>
      <c r="Y77" s="432"/>
      <c r="Z77" s="432"/>
      <c r="AA77" s="432"/>
      <c r="AB77" s="432"/>
      <c r="AC77" s="376" t="s">
        <v>738</v>
      </c>
      <c r="AD77" s="376" t="s">
        <v>26</v>
      </c>
      <c r="AE77" s="376"/>
      <c r="AF77" s="376"/>
      <c r="AG77" s="376"/>
      <c r="AH77" s="376"/>
      <c r="AI77" s="376"/>
      <c r="AJ77" s="376"/>
      <c r="AK77" s="376"/>
      <c r="AL77" s="376"/>
      <c r="AM77" s="376"/>
      <c r="AN77" s="376"/>
      <c r="AO77" s="376"/>
      <c r="AP77" s="376"/>
      <c r="AQ77" s="376"/>
      <c r="AR77" s="685"/>
      <c r="AS77" s="685"/>
      <c r="AT77" s="685"/>
      <c r="AU77" s="686"/>
      <c r="AV77" s="686"/>
      <c r="AW77" s="681"/>
      <c r="AX77" s="432"/>
      <c r="AY77" s="432"/>
      <c r="AZ77" s="432"/>
      <c r="BA77" s="432"/>
      <c r="BB77" s="432"/>
      <c r="BC77" s="432"/>
      <c r="BD77" s="432"/>
      <c r="BE77" s="432"/>
      <c r="BF77" s="432"/>
      <c r="BG77" s="432"/>
      <c r="BH77" s="432"/>
    </row>
    <row r="78" spans="1:60" ht="16.5" customHeight="1">
      <c r="C78" s="453"/>
      <c r="D78" s="453"/>
      <c r="E78" s="453"/>
      <c r="F78" s="453"/>
      <c r="G78" s="453"/>
      <c r="H78" s="453"/>
      <c r="I78" s="432"/>
      <c r="J78" s="432"/>
      <c r="K78" s="432"/>
      <c r="L78" s="432"/>
      <c r="M78" s="432"/>
      <c r="N78" s="432"/>
      <c r="O78" s="432"/>
      <c r="P78" s="432"/>
      <c r="Q78" s="432"/>
      <c r="R78" s="432"/>
      <c r="S78" s="432"/>
      <c r="T78" s="432"/>
      <c r="U78" s="432"/>
      <c r="V78" s="432"/>
      <c r="W78" s="432"/>
      <c r="X78" s="432"/>
      <c r="Y78" s="432"/>
      <c r="Z78" s="432"/>
      <c r="AA78" s="432"/>
      <c r="AB78" s="432"/>
      <c r="AC78" s="376" t="s">
        <v>607</v>
      </c>
      <c r="AD78" s="376" t="s">
        <v>25</v>
      </c>
      <c r="AE78" s="376"/>
      <c r="AF78" s="376"/>
      <c r="AG78" s="376"/>
      <c r="AH78" s="376"/>
      <c r="AI78" s="376"/>
      <c r="AJ78" s="376"/>
      <c r="AK78" s="376"/>
      <c r="AL78" s="376"/>
      <c r="AM78" s="376"/>
      <c r="AN78" s="677"/>
      <c r="AO78" s="677"/>
      <c r="AP78" s="677"/>
      <c r="AQ78" s="677"/>
      <c r="AR78" s="687"/>
      <c r="AS78" s="687"/>
      <c r="AT78" s="687"/>
      <c r="AU78" s="688"/>
      <c r="AV78" s="688"/>
      <c r="AW78" s="689"/>
      <c r="AX78" s="432"/>
      <c r="AY78" s="681"/>
      <c r="AZ78" s="681"/>
      <c r="BA78" s="681"/>
      <c r="BB78" s="681"/>
      <c r="BC78" s="432"/>
      <c r="BD78" s="432"/>
      <c r="BE78" s="432"/>
      <c r="BF78" s="432"/>
      <c r="BG78" s="432"/>
      <c r="BH78" s="432"/>
    </row>
    <row r="79" spans="1:60">
      <c r="C79" s="432"/>
      <c r="D79" s="432"/>
      <c r="E79" s="432"/>
      <c r="F79" s="432"/>
      <c r="G79" s="432"/>
      <c r="H79" s="432"/>
      <c r="I79" s="432"/>
      <c r="J79" s="432"/>
      <c r="K79" s="432"/>
      <c r="L79" s="432"/>
      <c r="M79" s="432"/>
      <c r="N79" s="432"/>
      <c r="O79" s="432"/>
      <c r="P79" s="432"/>
      <c r="Q79" s="432"/>
      <c r="R79" s="432"/>
      <c r="S79" s="432"/>
      <c r="T79" s="432"/>
      <c r="U79" s="432"/>
      <c r="V79" s="432"/>
      <c r="W79" s="432"/>
      <c r="X79" s="432"/>
      <c r="Y79" s="432"/>
      <c r="Z79" s="432"/>
      <c r="AA79" s="432"/>
      <c r="AB79" s="432"/>
      <c r="AC79" s="376" t="s">
        <v>739</v>
      </c>
      <c r="AD79" s="376" t="s">
        <v>608</v>
      </c>
      <c r="AE79" s="376"/>
      <c r="AF79" s="376"/>
      <c r="AG79" s="376"/>
      <c r="AH79" s="376"/>
      <c r="AI79" s="376"/>
      <c r="AJ79" s="376"/>
      <c r="AK79" s="376"/>
      <c r="AL79" s="376"/>
      <c r="AM79" s="376"/>
      <c r="AN79" s="376"/>
      <c r="AO79" s="376"/>
      <c r="AP79" s="376"/>
      <c r="AQ79" s="376"/>
      <c r="AR79" s="376"/>
      <c r="AS79" s="376"/>
      <c r="AT79" s="376"/>
      <c r="AU79" s="376"/>
      <c r="AV79" s="376"/>
      <c r="AW79" s="681"/>
      <c r="AX79" s="432"/>
      <c r="AY79" s="681"/>
      <c r="AZ79" s="681"/>
      <c r="BA79" s="681"/>
      <c r="BB79" s="681"/>
      <c r="BC79" s="432"/>
      <c r="BD79" s="432"/>
      <c r="BE79" s="432"/>
      <c r="BF79" s="432"/>
      <c r="BG79" s="432"/>
      <c r="BH79" s="432"/>
    </row>
    <row r="80" spans="1:60">
      <c r="C80" s="432"/>
      <c r="D80" s="432"/>
      <c r="E80" s="432"/>
      <c r="F80" s="432"/>
      <c r="G80" s="432"/>
      <c r="H80" s="432"/>
      <c r="I80" s="432"/>
      <c r="J80" s="432"/>
      <c r="K80" s="432"/>
      <c r="L80" s="432"/>
      <c r="M80" s="432"/>
      <c r="N80" s="432"/>
      <c r="O80" s="432"/>
      <c r="P80" s="432"/>
      <c r="Q80" s="432"/>
      <c r="R80" s="432"/>
      <c r="S80" s="432"/>
      <c r="T80" s="432"/>
      <c r="U80" s="432"/>
      <c r="V80" s="432"/>
      <c r="W80" s="432"/>
      <c r="X80" s="432"/>
      <c r="Y80" s="432"/>
      <c r="Z80" s="432"/>
      <c r="AA80" s="432"/>
      <c r="AB80" s="432"/>
      <c r="AC80" s="376" t="s">
        <v>610</v>
      </c>
      <c r="AD80" s="376"/>
      <c r="AE80" s="376"/>
      <c r="AF80" s="376"/>
      <c r="AG80" s="376"/>
      <c r="AH80" s="376"/>
      <c r="AI80" s="376"/>
      <c r="AJ80" s="376"/>
      <c r="AK80" s="376"/>
      <c r="AL80" s="376"/>
      <c r="AM80" s="376"/>
      <c r="AN80" s="376"/>
      <c r="AO80" s="376"/>
      <c r="AP80" s="376"/>
      <c r="AQ80" s="376"/>
      <c r="AR80" s="376"/>
      <c r="AS80" s="376"/>
      <c r="AT80" s="376"/>
      <c r="AU80" s="376"/>
      <c r="AV80" s="376"/>
      <c r="AW80" s="432"/>
      <c r="AX80" s="432"/>
      <c r="AY80" s="681"/>
      <c r="AZ80" s="681"/>
      <c r="BA80" s="681"/>
      <c r="BB80" s="681"/>
      <c r="BC80" s="432"/>
      <c r="BD80" s="432"/>
      <c r="BE80" s="432"/>
      <c r="BF80" s="432"/>
      <c r="BG80" s="432"/>
      <c r="BH80" s="432"/>
    </row>
    <row r="81" spans="3:60">
      <c r="C81" s="432"/>
      <c r="D81" s="432"/>
      <c r="E81" s="432"/>
      <c r="F81" s="432"/>
      <c r="G81" s="432"/>
      <c r="H81" s="432"/>
      <c r="I81" s="432"/>
      <c r="J81" s="432"/>
      <c r="K81" s="432"/>
      <c r="L81" s="432"/>
      <c r="M81" s="432"/>
      <c r="N81" s="432"/>
      <c r="O81" s="432"/>
      <c r="P81" s="432"/>
      <c r="Q81" s="432"/>
      <c r="R81" s="432"/>
      <c r="S81" s="432"/>
      <c r="T81" s="432"/>
      <c r="U81" s="432"/>
      <c r="V81" s="432"/>
      <c r="W81" s="432"/>
      <c r="X81" s="432"/>
      <c r="Y81" s="432"/>
      <c r="Z81" s="432"/>
      <c r="AA81" s="432"/>
      <c r="AB81" s="432"/>
      <c r="AC81" s="376" t="s">
        <v>740</v>
      </c>
      <c r="AD81" s="376"/>
      <c r="AE81" s="376"/>
      <c r="AF81" s="376"/>
      <c r="AG81" s="376"/>
      <c r="AH81" s="376"/>
      <c r="AI81" s="376"/>
      <c r="AJ81" s="376"/>
      <c r="AK81" s="376"/>
      <c r="AL81" s="376"/>
      <c r="AM81" s="376"/>
      <c r="AN81" s="376"/>
      <c r="AO81" s="376"/>
      <c r="AP81" s="376"/>
      <c r="AQ81" s="376"/>
      <c r="AR81" s="376"/>
      <c r="AS81" s="376"/>
      <c r="AT81" s="376"/>
      <c r="AU81" s="376"/>
      <c r="AV81" s="376"/>
      <c r="AW81" s="432"/>
      <c r="AX81" s="432"/>
      <c r="AY81" s="681"/>
      <c r="AZ81" s="681"/>
      <c r="BA81" s="681"/>
      <c r="BB81" s="681"/>
      <c r="BC81" s="432"/>
      <c r="BD81" s="432"/>
      <c r="BE81" s="432"/>
      <c r="BF81" s="432"/>
      <c r="BG81" s="432"/>
      <c r="BH81" s="432"/>
    </row>
    <row r="82" spans="3:60">
      <c r="AC82" s="376" t="s">
        <v>741</v>
      </c>
      <c r="AD82" s="376"/>
      <c r="AE82" s="376"/>
      <c r="AF82" s="376"/>
      <c r="AG82" s="376"/>
      <c r="AH82" s="376"/>
      <c r="AI82" s="376"/>
      <c r="AJ82" s="376"/>
      <c r="AK82" s="376"/>
      <c r="AL82" s="376"/>
      <c r="AM82" s="376"/>
      <c r="AN82" s="677"/>
      <c r="AO82" s="677"/>
      <c r="AP82" s="677"/>
      <c r="AQ82" s="677"/>
      <c r="AR82" s="376"/>
      <c r="AS82" s="376"/>
      <c r="AT82" s="376"/>
      <c r="AU82" s="376"/>
      <c r="AV82" s="376"/>
      <c r="AW82" s="375"/>
      <c r="AY82" s="681"/>
      <c r="AZ82" s="681"/>
      <c r="BA82" s="681"/>
      <c r="BB82" s="681"/>
    </row>
    <row r="83" spans="3:60">
      <c r="AC83" s="376" t="s">
        <v>742</v>
      </c>
      <c r="AD83" s="376"/>
      <c r="AE83" s="376"/>
      <c r="AF83" s="376"/>
      <c r="AG83" s="376"/>
      <c r="AH83" s="376"/>
      <c r="AI83" s="376"/>
      <c r="AJ83" s="376"/>
      <c r="AK83" s="376"/>
      <c r="AL83" s="376"/>
      <c r="AM83" s="376"/>
      <c r="AN83" s="376"/>
      <c r="AO83" s="376"/>
      <c r="AP83" s="376"/>
      <c r="AQ83" s="376"/>
      <c r="AR83" s="376"/>
      <c r="AS83" s="376"/>
      <c r="AT83" s="376"/>
      <c r="AU83" s="376"/>
      <c r="AV83" s="690"/>
      <c r="AW83" s="375"/>
      <c r="AY83" s="681"/>
      <c r="AZ83" s="681"/>
      <c r="BA83" s="681"/>
      <c r="BB83" s="681"/>
    </row>
    <row r="84" spans="3:60">
      <c r="AC84" s="376" t="s">
        <v>743</v>
      </c>
    </row>
  </sheetData>
  <sheetProtection formatCells="0" formatColumns="0" formatRows="0" insertHyperlinks="0"/>
  <mergeCells count="87">
    <mergeCell ref="C65:H65"/>
    <mergeCell ref="C67:H67"/>
    <mergeCell ref="BD46:BG46"/>
    <mergeCell ref="BD49:BE49"/>
    <mergeCell ref="BF49:BG49"/>
    <mergeCell ref="BF50:BG50"/>
    <mergeCell ref="C63:C64"/>
    <mergeCell ref="D63:D64"/>
    <mergeCell ref="E63:E64"/>
    <mergeCell ref="F63:F64"/>
    <mergeCell ref="G63:G64"/>
    <mergeCell ref="H63:H64"/>
    <mergeCell ref="AO36:AO37"/>
    <mergeCell ref="AP36:AS36"/>
    <mergeCell ref="AT36:AT37"/>
    <mergeCell ref="AU36:AU37"/>
    <mergeCell ref="AV36:AV37"/>
    <mergeCell ref="AD38:AE38"/>
    <mergeCell ref="AD36:AD37"/>
    <mergeCell ref="AE36:AE37"/>
    <mergeCell ref="AF36:AF37"/>
    <mergeCell ref="AH36:AK36"/>
    <mergeCell ref="AL36:AL37"/>
    <mergeCell ref="AN36:AN37"/>
    <mergeCell ref="O36:R36"/>
    <mergeCell ref="T36:V36"/>
    <mergeCell ref="W36:W37"/>
    <mergeCell ref="X36:Y36"/>
    <mergeCell ref="Z36:Z37"/>
    <mergeCell ref="AC36:AC37"/>
    <mergeCell ref="N36:N37"/>
    <mergeCell ref="C34:K34"/>
    <mergeCell ref="AD35:AE35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J36:J37"/>
    <mergeCell ref="K36:K37"/>
    <mergeCell ref="L36:L37"/>
    <mergeCell ref="M36:M37"/>
    <mergeCell ref="K20:M20"/>
    <mergeCell ref="N20:O20"/>
    <mergeCell ref="K28:N31"/>
    <mergeCell ref="Z20:AA20"/>
    <mergeCell ref="AB20:AD20"/>
    <mergeCell ref="K21:M21"/>
    <mergeCell ref="N21:O21"/>
    <mergeCell ref="K24:L24"/>
    <mergeCell ref="M24:N24"/>
    <mergeCell ref="K25:L25"/>
    <mergeCell ref="M25:N25"/>
    <mergeCell ref="K26:L26"/>
    <mergeCell ref="M26:N26"/>
    <mergeCell ref="K27:N27"/>
    <mergeCell ref="M10:N10"/>
    <mergeCell ref="M11:N11"/>
    <mergeCell ref="K17:M17"/>
    <mergeCell ref="N17:O17"/>
    <mergeCell ref="K19:M19"/>
    <mergeCell ref="N19:O19"/>
    <mergeCell ref="K7:L7"/>
    <mergeCell ref="M7:O7"/>
    <mergeCell ref="F8:H8"/>
    <mergeCell ref="K9:L9"/>
    <mergeCell ref="M9:N9"/>
    <mergeCell ref="AP1:AS1"/>
    <mergeCell ref="T2:Y2"/>
    <mergeCell ref="F3:H3"/>
    <mergeCell ref="K3:L3"/>
    <mergeCell ref="M3:N3"/>
    <mergeCell ref="T3:Y16"/>
    <mergeCell ref="F4:H4"/>
    <mergeCell ref="K4:L4"/>
    <mergeCell ref="M4:N4"/>
    <mergeCell ref="F5:H5"/>
    <mergeCell ref="K16:M16"/>
    <mergeCell ref="N16:O16"/>
    <mergeCell ref="F6:H6"/>
    <mergeCell ref="K6:L6"/>
    <mergeCell ref="M6:N6"/>
    <mergeCell ref="F7:H7"/>
  </mergeCells>
  <conditionalFormatting sqref="F39">
    <cfRule type="cellIs" dxfId="17" priority="16" stopIfTrue="1" operator="equal">
      <formula>#REF!</formula>
    </cfRule>
  </conditionalFormatting>
  <conditionalFormatting sqref="AD39:AF39">
    <cfRule type="cellIs" dxfId="16" priority="15" stopIfTrue="1" operator="equal">
      <formula>#REF!</formula>
    </cfRule>
  </conditionalFormatting>
  <conditionalFormatting sqref="AC39:AC40">
    <cfRule type="cellIs" dxfId="15" priority="14" stopIfTrue="1" operator="equal">
      <formula>#REF!</formula>
    </cfRule>
  </conditionalFormatting>
  <conditionalFormatting sqref="Q39 AN39:AP39">
    <cfRule type="cellIs" dxfId="14" priority="13" stopIfTrue="1" operator="equal">
      <formula>#REF!</formula>
    </cfRule>
  </conditionalFormatting>
  <conditionalFormatting sqref="AA39">
    <cfRule type="cellIs" dxfId="13" priority="12" stopIfTrue="1" operator="equal">
      <formula>#REF!</formula>
    </cfRule>
  </conditionalFormatting>
  <conditionalFormatting sqref="AW39">
    <cfRule type="cellIs" dxfId="12" priority="11" stopIfTrue="1" operator="equal">
      <formula>#REF!</formula>
    </cfRule>
  </conditionalFormatting>
  <conditionalFormatting sqref="C39:E39 O39:P39 AD40:AE40 G39:M39 R39:Z39 AT39:AU39">
    <cfRule type="cellIs" dxfId="11" priority="17" stopIfTrue="1" operator="equal">
      <formula>#REF!</formula>
    </cfRule>
  </conditionalFormatting>
  <conditionalFormatting sqref="C66:H66">
    <cfRule type="cellIs" dxfId="10" priority="10" stopIfTrue="1" operator="equal">
      <formula>#REF!</formula>
    </cfRule>
  </conditionalFormatting>
  <conditionalFormatting sqref="AV39">
    <cfRule type="cellIs" dxfId="9" priority="9" stopIfTrue="1" operator="equal">
      <formula>#REF!</formula>
    </cfRule>
  </conditionalFormatting>
  <conditionalFormatting sqref="AQ39:AS39">
    <cfRule type="cellIs" dxfId="8" priority="8" stopIfTrue="1" operator="equal">
      <formula>#REF!</formula>
    </cfRule>
  </conditionalFormatting>
  <conditionalFormatting sqref="AW41:AW60">
    <cfRule type="containsText" dxfId="7" priority="5" operator="containsText" text="ok">
      <formula>NOT(ISERROR(SEARCH("ok",AW41)))</formula>
    </cfRule>
    <cfRule type="containsText" dxfId="6" priority="7" operator="containsText" text="DELETAR">
      <formula>NOT(ISERROR(SEARCH("DELETAR",AW41)))</formula>
    </cfRule>
  </conditionalFormatting>
  <conditionalFormatting sqref="AW41:AW60">
    <cfRule type="containsText" dxfId="5" priority="6" operator="containsText" text="VOLTA">
      <formula>NOT(ISERROR(SEARCH("VOLTA",AW41)))</formula>
    </cfRule>
  </conditionalFormatting>
  <conditionalFormatting sqref="AT41:AT42">
    <cfRule type="cellIs" dxfId="4" priority="3" operator="lessThan">
      <formula>0.4</formula>
    </cfRule>
    <cfRule type="cellIs" dxfId="3" priority="4" operator="greaterThan">
      <formula>2.5</formula>
    </cfRule>
  </conditionalFormatting>
  <conditionalFormatting sqref="AT43:AT60">
    <cfRule type="cellIs" dxfId="2" priority="1" operator="lessThan">
      <formula>0.4</formula>
    </cfRule>
    <cfRule type="cellIs" dxfId="1" priority="2" operator="greaterThan">
      <formula>2.5</formula>
    </cfRule>
  </conditionalFormatting>
  <dataValidations disablePrompts="1" count="4">
    <dataValidation type="list" allowBlank="1" showInputMessage="1" showErrorMessage="1" sqref="H9" xr:uid="{226C3723-F980-490D-B937-048814593DC9}">
      <formula1>"Recente, Antiga"</formula1>
    </dataValidation>
    <dataValidation type="list" allowBlank="1" showInputMessage="1" showErrorMessage="1" sqref="F25" xr:uid="{95D2F057-9B44-4C7C-82F0-DD9DDEF4AEBD}">
      <formula1>$AC$73:$AD$73</formula1>
    </dataValidation>
    <dataValidation type="list" allowBlank="1" showInputMessage="1" showErrorMessage="1" sqref="F17:F22" xr:uid="{7816F5B1-5BD4-4F81-BED9-FD497A009168}">
      <formula1>$AC$77:$AC$83</formula1>
    </dataValidation>
    <dataValidation type="list" allowBlank="1" showInputMessage="1" showErrorMessage="1" sqref="G17:G22" xr:uid="{50348DD4-BD33-40F5-8F5E-3FA8E5B1E324}">
      <formula1>$AD$77:$AD$79</formula1>
    </dataValidation>
  </dataValidations>
  <hyperlinks>
    <hyperlink ref="AA41" r:id="rId1" xr:uid="{F380553A-23CE-4501-9036-CC16C51B6B8D}"/>
    <hyperlink ref="AA42" r:id="rId2" xr:uid="{3128DEE7-AAA9-42BD-AA3E-F848285AB4AA}"/>
    <hyperlink ref="AA43" r:id="rId3" xr:uid="{9BCFE835-FC99-4C47-9244-01F743DBCD27}"/>
    <hyperlink ref="AA44" r:id="rId4" xr:uid="{3B5BF0C6-40E4-416C-93F8-F1383D65C1F7}"/>
    <hyperlink ref="AA45" r:id="rId5" xr:uid="{6AE8B911-9F89-44E6-B1BF-28AE2DAAE159}"/>
  </hyperlinks>
  <pageMargins left="0.511811024" right="0.511811024" top="0.78740157499999996" bottom="0.78740157499999996" header="0.31496062000000002" footer="0.31496062000000002"/>
  <pageSetup paperSize="9" orientation="portrait" r:id="rId6"/>
  <drawing r:id="rId7"/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95"/>
  <sheetViews>
    <sheetView showGridLines="0" zoomScaleNormal="100" workbookViewId="0">
      <selection activeCell="I2" sqref="I2:K11"/>
    </sheetView>
  </sheetViews>
  <sheetFormatPr defaultColWidth="8.77734375" defaultRowHeight="14.25" customHeight="1"/>
  <cols>
    <col min="1" max="1" width="28.21875" customWidth="1"/>
    <col min="2" max="2" width="16.77734375" customWidth="1"/>
    <col min="3" max="3" width="9.21875" bestFit="1" customWidth="1"/>
    <col min="5" max="5" width="32.77734375" customWidth="1"/>
    <col min="6" max="6" width="14.21875" bestFit="1" customWidth="1"/>
    <col min="9" max="9" width="34.77734375" customWidth="1"/>
    <col min="10" max="10" width="13.77734375" customWidth="1"/>
    <col min="11" max="11" width="10" bestFit="1" customWidth="1"/>
    <col min="12" max="12" width="9.44140625" customWidth="1"/>
    <col min="13" max="13" width="16.77734375" customWidth="1"/>
    <col min="14" max="17" width="12.44140625" customWidth="1"/>
    <col min="19" max="19" width="11" bestFit="1" customWidth="1"/>
    <col min="20" max="20" width="12.44140625" customWidth="1"/>
    <col min="21" max="21" width="10" customWidth="1"/>
  </cols>
  <sheetData>
    <row r="1" spans="1:18" ht="14.4">
      <c r="E1" s="6"/>
      <c r="F1" s="6"/>
      <c r="G1" s="6"/>
    </row>
    <row r="2" spans="1:18" ht="14.4">
      <c r="B2" s="60" t="s">
        <v>159</v>
      </c>
      <c r="E2" s="46" t="s">
        <v>197</v>
      </c>
      <c r="F2" s="46" t="s">
        <v>288</v>
      </c>
      <c r="G2" s="46" t="s">
        <v>81</v>
      </c>
    </row>
    <row r="3" spans="1:18" ht="14.4">
      <c r="E3" s="67" t="s">
        <v>156</v>
      </c>
      <c r="F3" s="304">
        <v>6.4000000000000003E-3</v>
      </c>
      <c r="G3" s="304">
        <v>6.6E-3</v>
      </c>
    </row>
    <row r="4" spans="1:18" ht="14.4">
      <c r="E4" s="67" t="s">
        <v>59</v>
      </c>
      <c r="F4" s="304">
        <v>6.7000000000000002E-3</v>
      </c>
      <c r="G4" s="304">
        <v>6.7999999999999996E-3</v>
      </c>
    </row>
    <row r="5" spans="1:18" ht="15" thickBot="1">
      <c r="A5" s="68" t="s">
        <v>181</v>
      </c>
      <c r="B5" s="68" t="str">
        <f ca="1">INDEX($M$16:$R$21,MATCH($K$22,$M$16:$M$21,0),MATCH($C$23,$M$16:$R$16,0))</f>
        <v>A</v>
      </c>
      <c r="E5" s="67" t="s">
        <v>60</v>
      </c>
      <c r="F5" s="304">
        <v>7.0000000000000001E-3</v>
      </c>
      <c r="G5" s="304">
        <v>7.1999999999999998E-3</v>
      </c>
    </row>
    <row r="6" spans="1:18" ht="14.4">
      <c r="A6" s="68" t="s">
        <v>183</v>
      </c>
      <c r="B6" s="68" t="s">
        <v>59</v>
      </c>
      <c r="C6" s="151" t="s">
        <v>81</v>
      </c>
      <c r="E6" s="69" t="s">
        <v>157</v>
      </c>
      <c r="F6" s="305">
        <v>7.4000000000000003E-3</v>
      </c>
      <c r="G6" s="306">
        <v>7.4999999999999997E-3</v>
      </c>
    </row>
    <row r="7" spans="1:18" ht="14.4">
      <c r="A7" s="61" t="s">
        <v>186</v>
      </c>
      <c r="B7" s="64">
        <f>(IF(C6="-",VLOOKUP(B6,E3:G10,3,0),VLOOKUP(B6,E3:G10,2,0)))</f>
        <v>6.7999999999999996E-3</v>
      </c>
      <c r="E7" s="70" t="s">
        <v>61</v>
      </c>
      <c r="F7" s="304">
        <v>7.6E-3</v>
      </c>
      <c r="G7" s="307">
        <v>7.7999999999999996E-3</v>
      </c>
    </row>
    <row r="8" spans="1:18" ht="15" thickBot="1">
      <c r="D8" s="245"/>
      <c r="E8" s="71" t="s">
        <v>158</v>
      </c>
      <c r="F8" s="308">
        <v>7.9000000000000008E-3</v>
      </c>
      <c r="G8" s="309">
        <v>8.0000000000000002E-3</v>
      </c>
    </row>
    <row r="9" spans="1:18" ht="14.4">
      <c r="E9" s="5" t="s">
        <v>62</v>
      </c>
      <c r="F9" s="310">
        <v>8.0999999999999996E-3</v>
      </c>
      <c r="G9" s="310">
        <v>8.2000000000000007E-3</v>
      </c>
    </row>
    <row r="10" spans="1:18" ht="14.4">
      <c r="E10" s="4" t="s">
        <v>63</v>
      </c>
      <c r="F10" s="311">
        <v>8.3000000000000001E-3</v>
      </c>
      <c r="G10" s="311">
        <v>8.6999999999999994E-3</v>
      </c>
    </row>
    <row r="11" spans="1:18" ht="14.4">
      <c r="E11" s="63" t="s">
        <v>171</v>
      </c>
    </row>
    <row r="12" spans="1:18" ht="14.4"/>
    <row r="13" spans="1:18" ht="14.4"/>
    <row r="14" spans="1:18" ht="14.4">
      <c r="A14" s="72" t="s">
        <v>198</v>
      </c>
      <c r="B14" s="73"/>
      <c r="C14" s="73"/>
      <c r="E14" s="221" t="s">
        <v>199</v>
      </c>
      <c r="F14" s="222"/>
      <c r="G14" s="222"/>
      <c r="I14" s="72" t="s">
        <v>200</v>
      </c>
      <c r="J14" s="72"/>
      <c r="K14" s="72"/>
      <c r="M14" s="74" t="s">
        <v>201</v>
      </c>
      <c r="N14" s="75"/>
      <c r="O14" s="75"/>
      <c r="P14" s="76"/>
      <c r="Q14" s="76"/>
      <c r="R14" s="76"/>
    </row>
    <row r="15" spans="1:18" ht="14.25" customHeight="1">
      <c r="A15" s="44" t="s">
        <v>8</v>
      </c>
      <c r="B15" s="157">
        <f ca="1">Resumo!C40</f>
        <v>43</v>
      </c>
      <c r="C15" s="158">
        <f ca="1">B77</f>
        <v>8.6</v>
      </c>
      <c r="E15" s="44" t="s">
        <v>57</v>
      </c>
      <c r="F15" s="120">
        <f ca="1">Resumo!F25</f>
        <v>0.14761552045385656</v>
      </c>
      <c r="G15" s="158">
        <f ca="1">F35</f>
        <v>42.28613755045167</v>
      </c>
      <c r="I15" s="44" t="s">
        <v>431</v>
      </c>
      <c r="J15" s="157" t="s">
        <v>433</v>
      </c>
      <c r="K15" s="158">
        <f>IFERROR(VLOOKUP(J15,$I$94:$J$95,2,0),"")</f>
        <v>0</v>
      </c>
      <c r="M15" s="6"/>
      <c r="N15" s="77" t="s">
        <v>202</v>
      </c>
      <c r="O15" s="77"/>
      <c r="P15" s="77"/>
      <c r="Q15" s="77"/>
      <c r="R15" s="77"/>
    </row>
    <row r="16" spans="1:18" ht="14.25" customHeight="1">
      <c r="A16" s="44" t="s">
        <v>27</v>
      </c>
      <c r="B16" s="118" t="s">
        <v>25</v>
      </c>
      <c r="C16" s="159">
        <f>IFERROR(VLOOKUP(B16,$A$68:$B$69,2,0),"")</f>
        <v>10</v>
      </c>
      <c r="E16" s="44" t="s">
        <v>53</v>
      </c>
      <c r="F16" s="223">
        <v>915</v>
      </c>
      <c r="G16" s="158">
        <f>F44</f>
        <v>17.875</v>
      </c>
      <c r="I16" s="44" t="s">
        <v>163</v>
      </c>
      <c r="J16" s="157" t="s">
        <v>175</v>
      </c>
      <c r="K16" s="158">
        <f>IFERROR(VLOOKUP(J16,$I$30:$J$56,2,0),"")</f>
        <v>15</v>
      </c>
      <c r="M16" s="78" t="s">
        <v>203</v>
      </c>
      <c r="N16" s="79" t="s">
        <v>59</v>
      </c>
      <c r="O16" s="80" t="s">
        <v>60</v>
      </c>
      <c r="P16" s="81" t="s">
        <v>61</v>
      </c>
      <c r="Q16" s="81" t="s">
        <v>62</v>
      </c>
      <c r="R16" s="81" t="s">
        <v>63</v>
      </c>
    </row>
    <row r="17" spans="1:18" ht="14.25" customHeight="1">
      <c r="A17" s="44" t="s">
        <v>24</v>
      </c>
      <c r="B17" s="118" t="s">
        <v>22</v>
      </c>
      <c r="C17" s="161">
        <f>IFERROR(VLOOKUP(B17,$A$62:$B$65,2,0),"")</f>
        <v>15</v>
      </c>
      <c r="E17" s="44" t="s">
        <v>55</v>
      </c>
      <c r="F17" s="223" t="s">
        <v>51</v>
      </c>
      <c r="G17" s="161">
        <f>IFERROR(VLOOKUP(F17,$E$65:$F$66,2,0),"")</f>
        <v>15</v>
      </c>
      <c r="I17" s="44" t="s">
        <v>39</v>
      </c>
      <c r="J17" s="157" t="s">
        <v>36</v>
      </c>
      <c r="K17" s="159">
        <f>IFERROR(VLOOKUP(J17,$I$64:$J$68,2,0),"")</f>
        <v>0</v>
      </c>
      <c r="M17" s="82" t="s">
        <v>59</v>
      </c>
      <c r="N17" s="5" t="s">
        <v>59</v>
      </c>
      <c r="O17" s="5" t="s">
        <v>59</v>
      </c>
      <c r="P17" s="5" t="s">
        <v>60</v>
      </c>
      <c r="Q17" s="5" t="s">
        <v>61</v>
      </c>
      <c r="R17" s="5" t="s">
        <v>62</v>
      </c>
    </row>
    <row r="18" spans="1:18" ht="14.25" customHeight="1">
      <c r="A18" s="44" t="s">
        <v>37</v>
      </c>
      <c r="B18" s="118" t="s">
        <v>35</v>
      </c>
      <c r="C18" s="159">
        <f>IFERROR(VLOOKUP(B18,$A$29:$B$32,2,0),"")</f>
        <v>25</v>
      </c>
      <c r="E18" s="44" t="s">
        <v>429</v>
      </c>
      <c r="F18" s="120">
        <f>(Resumo!K23+Resumo!J23+Resumo!K33+Resumo!J33+Resumo!K43+Resumo!J43+Resumo!K53+Resumo!J53+Resumo!K63+Resumo!J63)/Resumo!C12</f>
        <v>1.8991853360488798E-2</v>
      </c>
      <c r="G18" s="158">
        <f>F73</f>
        <v>34.935505770536324</v>
      </c>
      <c r="I18" s="44" t="s">
        <v>46</v>
      </c>
      <c r="J18" s="157" t="s">
        <v>45</v>
      </c>
      <c r="K18" s="161">
        <f>IFERROR(VLOOKUP(J18,$I$59:$J$61,2,0),"")</f>
        <v>10</v>
      </c>
      <c r="M18" s="82" t="s">
        <v>60</v>
      </c>
      <c r="N18" s="5" t="s">
        <v>60</v>
      </c>
      <c r="O18" s="5" t="s">
        <v>60</v>
      </c>
      <c r="P18" s="5" t="s">
        <v>61</v>
      </c>
      <c r="Q18" s="83" t="s">
        <v>61</v>
      </c>
      <c r="R18" s="83" t="s">
        <v>62</v>
      </c>
    </row>
    <row r="19" spans="1:18" ht="13.5" customHeight="1">
      <c r="A19" s="44" t="s">
        <v>54</v>
      </c>
      <c r="B19" s="118" t="s">
        <v>204</v>
      </c>
      <c r="C19" s="161">
        <f>IFERROR(VLOOKUP(B19,$A$39:$B$42,2,0),"")</f>
        <v>5</v>
      </c>
      <c r="E19" s="44" t="s">
        <v>205</v>
      </c>
      <c r="F19" s="120">
        <f>IFERROR(SUM(Resumo!O16,Resumo!O26,Resumo!O36,Resumo!O46,Resumo!O56)/(Resumo!I6+ SUM(Resumo!O16,Resumo!O26,Resumo!O36,Resumo!O46,Resumo!O56)),0)</f>
        <v>0.47578241350938427</v>
      </c>
      <c r="G19" s="158">
        <f>F52</f>
        <v>4.5156482701876852</v>
      </c>
      <c r="I19" s="44" t="s">
        <v>58</v>
      </c>
      <c r="J19" s="157" t="s">
        <v>29</v>
      </c>
      <c r="K19" s="159">
        <f>IFERROR(VLOOKUP(J19,$I$72:$J$73,2,0),"")</f>
        <v>10</v>
      </c>
      <c r="M19" s="82" t="s">
        <v>61</v>
      </c>
      <c r="N19" s="5" t="s">
        <v>60</v>
      </c>
      <c r="O19" s="5" t="s">
        <v>61</v>
      </c>
      <c r="P19" s="5" t="s">
        <v>61</v>
      </c>
      <c r="Q19" s="5" t="s">
        <v>62</v>
      </c>
      <c r="R19" s="5" t="s">
        <v>63</v>
      </c>
    </row>
    <row r="20" spans="1:18" ht="14.25" customHeight="1">
      <c r="A20" s="44" t="s">
        <v>206</v>
      </c>
      <c r="B20" s="118"/>
      <c r="C20" s="159" t="str">
        <f>IFERROR(VLOOKUP(B20,$A$35:$B$36,2,0),"")</f>
        <v/>
      </c>
      <c r="E20" s="44" t="s">
        <v>207</v>
      </c>
      <c r="F20" s="120">
        <f ca="1">SUM(Resumo!O16,Resumo!O26,Resumo!O36,Resumo!O46,Resumo!O56)/Resumo!F6</f>
        <v>0.31142580223270588</v>
      </c>
      <c r="G20" s="158">
        <f ca="1">F61</f>
        <v>1.2285160446541177</v>
      </c>
      <c r="I20" s="44" t="s">
        <v>56</v>
      </c>
      <c r="J20" s="120">
        <f ca="1">MAX(Sim_SAC!G22:G34)/MIN(Resumo!C12:C13)</f>
        <v>0.75636750608131897</v>
      </c>
      <c r="K20" s="161">
        <f ca="1">J90</f>
        <v>53.726498783736211</v>
      </c>
      <c r="M20" s="82" t="s">
        <v>62</v>
      </c>
      <c r="N20" s="5" t="s">
        <v>61</v>
      </c>
      <c r="O20" s="5" t="s">
        <v>62</v>
      </c>
      <c r="P20" s="5" t="s">
        <v>62</v>
      </c>
      <c r="Q20" s="5" t="s">
        <v>62</v>
      </c>
      <c r="R20" s="5" t="s">
        <v>63</v>
      </c>
    </row>
    <row r="21" spans="1:18" ht="14.25" customHeight="1">
      <c r="A21" s="44" t="s">
        <v>208</v>
      </c>
      <c r="B21" s="118"/>
      <c r="C21" s="161" t="str">
        <f>IFERROR(VLOOKUP(B21,$A$44:$B$46,2,0),"")</f>
        <v/>
      </c>
      <c r="I21" s="44" t="s">
        <v>20</v>
      </c>
      <c r="J21" s="157">
        <v>141</v>
      </c>
      <c r="K21" s="160">
        <f>J82</f>
        <v>8.6875</v>
      </c>
      <c r="M21" s="82" t="s">
        <v>63</v>
      </c>
      <c r="N21" s="5" t="s">
        <v>63</v>
      </c>
      <c r="O21" s="5" t="s">
        <v>63</v>
      </c>
      <c r="P21" s="5" t="s">
        <v>63</v>
      </c>
      <c r="Q21" s="5" t="s">
        <v>63</v>
      </c>
      <c r="R21" s="5" t="s">
        <v>63</v>
      </c>
    </row>
    <row r="22" spans="1:18" ht="14.25" customHeight="1">
      <c r="A22" s="44" t="s">
        <v>210</v>
      </c>
      <c r="B22" s="157">
        <v>10</v>
      </c>
      <c r="C22" s="159">
        <f>IFERROR(VLOOKUP(B22,$A$51:$B$59,2,0),"")</f>
        <v>20</v>
      </c>
      <c r="I22" s="162" t="s">
        <v>209</v>
      </c>
      <c r="J22" s="162">
        <f ca="1">SUM(K15:K21)</f>
        <v>97.413998783736218</v>
      </c>
      <c r="K22" s="162" t="str">
        <f ca="1">IFERROR(LOOKUP(J22,M46:O50),"")</f>
        <v>A</v>
      </c>
    </row>
    <row r="23" spans="1:18" ht="14.25" customHeight="1">
      <c r="A23" s="68" t="s">
        <v>211</v>
      </c>
      <c r="B23" s="68">
        <f ca="1">SUM(C15:C22)+SUM(G15:G20)</f>
        <v>199.4408076358298</v>
      </c>
      <c r="C23" s="68" t="str">
        <f ca="1">IFERROR(LOOKUP(B23,Q35:S39),"")</f>
        <v>A</v>
      </c>
    </row>
    <row r="27" spans="1:18" ht="14.25" customHeight="1">
      <c r="A27" s="6"/>
      <c r="B27" s="6"/>
      <c r="C27" s="6"/>
    </row>
    <row r="28" spans="1:18" ht="14.25" customHeight="1">
      <c r="A28" s="84" t="s">
        <v>37</v>
      </c>
      <c r="B28" s="85" t="s">
        <v>19</v>
      </c>
      <c r="E28" s="84" t="s">
        <v>57</v>
      </c>
      <c r="F28" s="85" t="s">
        <v>19</v>
      </c>
      <c r="M28" s="46" t="s">
        <v>212</v>
      </c>
      <c r="N28" s="46"/>
      <c r="O28" s="7"/>
    </row>
    <row r="29" spans="1:18" ht="14.25" customHeight="1">
      <c r="A29" s="11" t="s">
        <v>35</v>
      </c>
      <c r="B29" s="60">
        <v>25</v>
      </c>
      <c r="E29" s="11">
        <v>1E-10</v>
      </c>
      <c r="F29" s="60">
        <v>60</v>
      </c>
      <c r="I29" s="84" t="s">
        <v>64</v>
      </c>
      <c r="J29" s="84" t="s">
        <v>19</v>
      </c>
      <c r="M29" s="14" t="s">
        <v>19</v>
      </c>
      <c r="N29" s="8"/>
      <c r="O29" s="5" t="s">
        <v>65</v>
      </c>
    </row>
    <row r="30" spans="1:18" ht="14.25" customHeight="1">
      <c r="A30" s="11" t="s">
        <v>33</v>
      </c>
      <c r="B30" s="60">
        <v>15</v>
      </c>
      <c r="E30" s="11">
        <v>0.25</v>
      </c>
      <c r="F30" s="60">
        <v>30</v>
      </c>
      <c r="I30" s="12" t="s">
        <v>160</v>
      </c>
      <c r="J30" s="60">
        <v>0</v>
      </c>
      <c r="M30" s="5">
        <v>0</v>
      </c>
      <c r="N30" s="5">
        <v>20</v>
      </c>
      <c r="O30" s="60" t="s">
        <v>63</v>
      </c>
    </row>
    <row r="31" spans="1:18" ht="14.25" customHeight="1">
      <c r="A31" s="11" t="s">
        <v>32</v>
      </c>
      <c r="B31" s="60">
        <v>5</v>
      </c>
      <c r="E31" s="11">
        <v>0.3</v>
      </c>
      <c r="F31" s="60">
        <v>20</v>
      </c>
      <c r="I31" s="12" t="s">
        <v>161</v>
      </c>
      <c r="J31" s="60">
        <v>0</v>
      </c>
      <c r="M31" s="13">
        <f>N30+0.000001</f>
        <v>20.000001000000001</v>
      </c>
      <c r="N31" s="5">
        <v>40</v>
      </c>
      <c r="O31" s="60" t="s">
        <v>62</v>
      </c>
    </row>
    <row r="32" spans="1:18" ht="14.25" customHeight="1">
      <c r="A32" s="11" t="s">
        <v>30</v>
      </c>
      <c r="B32" s="60">
        <v>-5</v>
      </c>
      <c r="E32" s="11">
        <v>0.35</v>
      </c>
      <c r="F32" s="60">
        <v>10</v>
      </c>
      <c r="I32" s="12" t="s">
        <v>162</v>
      </c>
      <c r="J32" s="60">
        <v>0</v>
      </c>
      <c r="M32" s="13">
        <f>N31+0.000001</f>
        <v>40.000000999999997</v>
      </c>
      <c r="N32" s="5">
        <v>60</v>
      </c>
      <c r="O32" s="60" t="s">
        <v>61</v>
      </c>
    </row>
    <row r="33" spans="1:19" ht="14.25" customHeight="1">
      <c r="E33" s="11">
        <v>0.4</v>
      </c>
      <c r="F33" s="60">
        <v>-10</v>
      </c>
      <c r="I33" s="12" t="s">
        <v>165</v>
      </c>
      <c r="J33" s="60">
        <v>5</v>
      </c>
      <c r="M33" s="13">
        <f>N32+0.000001</f>
        <v>60.000000999999997</v>
      </c>
      <c r="N33" s="5">
        <v>80</v>
      </c>
      <c r="O33" s="60" t="s">
        <v>60</v>
      </c>
      <c r="Q33" s="46" t="s">
        <v>213</v>
      </c>
      <c r="R33" s="46"/>
      <c r="S33" s="7"/>
    </row>
    <row r="34" spans="1:19" ht="14.25" customHeight="1">
      <c r="A34" s="84" t="s">
        <v>44</v>
      </c>
      <c r="B34" s="85" t="s">
        <v>19</v>
      </c>
      <c r="E34" s="11">
        <v>0.6</v>
      </c>
      <c r="F34" s="60">
        <v>-20</v>
      </c>
      <c r="I34" s="12" t="s">
        <v>166</v>
      </c>
      <c r="J34" s="60">
        <v>10</v>
      </c>
      <c r="M34" s="13">
        <f>N33+0.000001</f>
        <v>80.000000999999997</v>
      </c>
      <c r="N34" s="5">
        <v>100</v>
      </c>
      <c r="O34" s="60" t="s">
        <v>59</v>
      </c>
      <c r="Q34" s="14" t="s">
        <v>19</v>
      </c>
      <c r="R34" s="8"/>
      <c r="S34" s="5" t="s">
        <v>65</v>
      </c>
    </row>
    <row r="35" spans="1:19" ht="14.25" customHeight="1">
      <c r="A35" s="11" t="s">
        <v>42</v>
      </c>
      <c r="B35" s="60">
        <v>25</v>
      </c>
      <c r="E35" s="64">
        <f ca="1">F15</f>
        <v>0.14761552045385656</v>
      </c>
      <c r="F35" s="86">
        <f ca="1">IF(AND(E35&lt;=E30,E35&gt;=E29),F29+((F30-F29)/(E30-E29))*(E35-E29),IF(AND(E35&lt;=E31,E35&gt;=E30),F30+((F31-F30)/(E31-E30))*(E35-E30),IF(AND(E35&lt;=E32,E35&gt;=E31),F31+((F32-F31)/(E32-E31))*(E35-E31),IF(AND(E35&lt;=E33,E35&gt;=E32),F32+((F33-F32)/(E33-E32))*(E35-E32),F33+((F34-F33)/(E34-E33))*(E35-E33)))))</f>
        <v>42.28613755045167</v>
      </c>
      <c r="I35" s="12" t="s">
        <v>167</v>
      </c>
      <c r="J35" s="60">
        <v>10</v>
      </c>
      <c r="M35" s="5"/>
      <c r="N35" s="62"/>
      <c r="Q35" s="13">
        <v>0</v>
      </c>
      <c r="R35" s="5">
        <v>40</v>
      </c>
      <c r="S35" s="60" t="s">
        <v>63</v>
      </c>
    </row>
    <row r="36" spans="1:19" ht="14.25" customHeight="1">
      <c r="A36" s="11" t="s">
        <v>40</v>
      </c>
      <c r="B36" s="60">
        <v>15</v>
      </c>
      <c r="I36" s="12" t="s">
        <v>168</v>
      </c>
      <c r="J36" s="60">
        <v>15</v>
      </c>
      <c r="M36" s="46" t="s">
        <v>214</v>
      </c>
      <c r="N36" s="46"/>
      <c r="O36" s="7"/>
      <c r="Q36" s="13">
        <v>40.000002000000002</v>
      </c>
      <c r="R36" s="5">
        <v>80</v>
      </c>
      <c r="S36" s="60" t="s">
        <v>62</v>
      </c>
    </row>
    <row r="37" spans="1:19" ht="14.25" customHeight="1">
      <c r="A37" s="11"/>
      <c r="B37" s="11"/>
      <c r="E37" s="84" t="s">
        <v>53</v>
      </c>
      <c r="F37" s="85" t="s">
        <v>19</v>
      </c>
      <c r="I37" s="12" t="s">
        <v>169</v>
      </c>
      <c r="J37" s="60">
        <v>10</v>
      </c>
      <c r="M37" s="14" t="s">
        <v>19</v>
      </c>
      <c r="N37" s="8"/>
      <c r="O37" s="5" t="s">
        <v>65</v>
      </c>
      <c r="Q37" s="13">
        <v>80.000001999999995</v>
      </c>
      <c r="R37" s="5">
        <v>120</v>
      </c>
      <c r="S37" s="60" t="s">
        <v>61</v>
      </c>
    </row>
    <row r="38" spans="1:19" ht="14.25" customHeight="1">
      <c r="A38" s="10" t="s">
        <v>49</v>
      </c>
      <c r="B38" s="9" t="s">
        <v>19</v>
      </c>
      <c r="E38" s="5">
        <v>0</v>
      </c>
      <c r="F38" s="60">
        <v>-5</v>
      </c>
      <c r="I38" s="12" t="s">
        <v>170</v>
      </c>
      <c r="J38" s="60">
        <v>10</v>
      </c>
      <c r="M38" s="5">
        <v>0</v>
      </c>
      <c r="N38" s="5">
        <v>20</v>
      </c>
      <c r="O38" s="60" t="s">
        <v>63</v>
      </c>
      <c r="Q38" s="13">
        <v>120.00000199999999</v>
      </c>
      <c r="R38" s="5">
        <v>160</v>
      </c>
      <c r="S38" s="60" t="s">
        <v>60</v>
      </c>
    </row>
    <row r="39" spans="1:19" ht="14.25" customHeight="1">
      <c r="A39" s="11" t="s">
        <v>48</v>
      </c>
      <c r="B39" s="60">
        <v>10</v>
      </c>
      <c r="E39" s="5">
        <v>200</v>
      </c>
      <c r="F39" s="60">
        <v>0</v>
      </c>
      <c r="I39" s="12" t="s">
        <v>172</v>
      </c>
      <c r="J39" s="60">
        <v>0</v>
      </c>
      <c r="M39" s="13">
        <f>N38+0.000001</f>
        <v>20.000001000000001</v>
      </c>
      <c r="N39" s="5">
        <v>40</v>
      </c>
      <c r="O39" s="60" t="s">
        <v>62</v>
      </c>
      <c r="Q39" s="13">
        <v>160.00000199999999</v>
      </c>
      <c r="R39" s="5">
        <v>200</v>
      </c>
      <c r="S39" s="60" t="s">
        <v>59</v>
      </c>
    </row>
    <row r="40" spans="1:19" ht="14.25" customHeight="1">
      <c r="A40" s="11" t="s">
        <v>47</v>
      </c>
      <c r="B40" s="60">
        <v>20</v>
      </c>
      <c r="E40" s="5">
        <v>400</v>
      </c>
      <c r="F40" s="60">
        <v>5</v>
      </c>
      <c r="I40" s="12" t="s">
        <v>173</v>
      </c>
      <c r="J40" s="60">
        <v>10</v>
      </c>
      <c r="M40" s="13">
        <f>N39+0.000001</f>
        <v>40.000000999999997</v>
      </c>
      <c r="N40" s="5">
        <v>60</v>
      </c>
      <c r="O40" s="60" t="s">
        <v>61</v>
      </c>
    </row>
    <row r="41" spans="1:19" ht="14.25" customHeight="1">
      <c r="A41" s="11" t="s">
        <v>204</v>
      </c>
      <c r="B41" s="60">
        <v>5</v>
      </c>
      <c r="E41" s="5">
        <v>600</v>
      </c>
      <c r="F41" s="60">
        <v>10</v>
      </c>
      <c r="I41" s="12" t="s">
        <v>174</v>
      </c>
      <c r="J41" s="60">
        <v>10</v>
      </c>
      <c r="M41" s="13">
        <f>N40+0.000001</f>
        <v>60.000000999999997</v>
      </c>
      <c r="N41" s="5">
        <v>80</v>
      </c>
      <c r="O41" s="60" t="s">
        <v>60</v>
      </c>
    </row>
    <row r="42" spans="1:19" ht="14.25" customHeight="1">
      <c r="A42" s="11" t="s">
        <v>243</v>
      </c>
      <c r="B42" s="60">
        <v>20</v>
      </c>
      <c r="E42" s="5">
        <v>800</v>
      </c>
      <c r="F42" s="60">
        <v>15</v>
      </c>
      <c r="I42" s="12" t="s">
        <v>175</v>
      </c>
      <c r="J42" s="60">
        <v>15</v>
      </c>
      <c r="M42" s="13">
        <f>N41+0.000001</f>
        <v>80.000000999999997</v>
      </c>
      <c r="N42" s="5">
        <v>100</v>
      </c>
      <c r="O42" s="60" t="s">
        <v>59</v>
      </c>
    </row>
    <row r="43" spans="1:19" ht="14.25" customHeight="1">
      <c r="A43" s="84" t="s">
        <v>215</v>
      </c>
      <c r="B43" s="85" t="s">
        <v>19</v>
      </c>
      <c r="E43" s="5">
        <v>1000</v>
      </c>
      <c r="F43" s="60">
        <v>20</v>
      </c>
      <c r="I43" s="12" t="s">
        <v>176</v>
      </c>
      <c r="J43" s="60">
        <v>5</v>
      </c>
    </row>
    <row r="44" spans="1:19" ht="14.25" customHeight="1">
      <c r="A44" s="11" t="s">
        <v>216</v>
      </c>
      <c r="B44" s="60">
        <v>-5</v>
      </c>
      <c r="E44" s="61">
        <f>F16</f>
        <v>915</v>
      </c>
      <c r="F44" s="86">
        <f>IF(AND(E44&lt;=E39,E44&gt;=E38),F38+((F39-F38)/(E39-E38))*(E44-E38),IF(AND(E44&lt;=E40,E44&gt;=E39),F39+((F40-F39)/(E40-E39))*(E44-E39),IF(AND(E44&lt;=E41,E44&gt;=E40),F40+((F41-F40)/(E41-E40))*(E44-E40),IF(AND(E44&lt;=E42,E44&gt;=E41),F41+((F42-F41)/(E42-E41))*(E44-E41),IF(AND(E44&lt;=E43,E44&gt;=E42),F42+((F43-F42)/(E43-E42))*(E44-E42))))))</f>
        <v>17.875</v>
      </c>
      <c r="I44" s="12" t="s">
        <v>177</v>
      </c>
      <c r="J44" s="60">
        <v>0</v>
      </c>
      <c r="M44" s="46" t="s">
        <v>217</v>
      </c>
      <c r="N44" s="46"/>
      <c r="O44" s="7"/>
    </row>
    <row r="45" spans="1:19" ht="14.25" customHeight="1">
      <c r="A45" s="11" t="s">
        <v>33</v>
      </c>
      <c r="B45" s="60">
        <v>10</v>
      </c>
      <c r="I45" s="12" t="s">
        <v>178</v>
      </c>
      <c r="J45" s="60">
        <v>15</v>
      </c>
      <c r="M45" s="14" t="s">
        <v>19</v>
      </c>
      <c r="N45" s="8"/>
      <c r="O45" s="5" t="s">
        <v>65</v>
      </c>
    </row>
    <row r="46" spans="1:19" ht="14.25" customHeight="1">
      <c r="A46" s="11" t="s">
        <v>45</v>
      </c>
      <c r="B46" s="60">
        <v>20</v>
      </c>
      <c r="E46" s="84" t="s">
        <v>218</v>
      </c>
      <c r="F46" s="85" t="s">
        <v>19</v>
      </c>
      <c r="I46" s="12" t="s">
        <v>179</v>
      </c>
      <c r="J46" s="60">
        <v>10</v>
      </c>
      <c r="M46" s="5">
        <v>0</v>
      </c>
      <c r="N46" s="5">
        <v>20</v>
      </c>
      <c r="O46" s="60" t="s">
        <v>63</v>
      </c>
    </row>
    <row r="47" spans="1:19" ht="14.25" customHeight="1">
      <c r="E47" s="11">
        <v>0</v>
      </c>
      <c r="F47" s="60">
        <v>-5</v>
      </c>
      <c r="I47" s="12" t="s">
        <v>180</v>
      </c>
      <c r="J47" s="60">
        <v>0</v>
      </c>
      <c r="M47" s="13">
        <f>N46+0.000001</f>
        <v>20.000001000000001</v>
      </c>
      <c r="N47" s="5">
        <v>40</v>
      </c>
      <c r="O47" s="60" t="s">
        <v>62</v>
      </c>
    </row>
    <row r="48" spans="1:19" ht="14.25" customHeight="1">
      <c r="A48" s="87" t="s">
        <v>219</v>
      </c>
      <c r="E48" s="11">
        <v>0.25</v>
      </c>
      <c r="F48" s="60">
        <v>0</v>
      </c>
      <c r="I48" s="12" t="s">
        <v>182</v>
      </c>
      <c r="J48" s="60">
        <v>15</v>
      </c>
      <c r="M48" s="13">
        <f>N47+0.000001</f>
        <v>40.000000999999997</v>
      </c>
      <c r="N48" s="5">
        <v>60</v>
      </c>
      <c r="O48" s="60" t="s">
        <v>61</v>
      </c>
    </row>
    <row r="49" spans="1:15" ht="14.25" customHeight="1">
      <c r="E49" s="11">
        <v>0.5</v>
      </c>
      <c r="F49" s="60">
        <v>5</v>
      </c>
      <c r="I49" s="12" t="s">
        <v>184</v>
      </c>
      <c r="J49" s="60">
        <v>0</v>
      </c>
      <c r="M49" s="13">
        <f>N48+0.000001</f>
        <v>60.000000999999997</v>
      </c>
      <c r="N49" s="5">
        <v>80</v>
      </c>
      <c r="O49" s="60" t="s">
        <v>60</v>
      </c>
    </row>
    <row r="50" spans="1:15" ht="14.25" customHeight="1">
      <c r="A50" s="88" t="s">
        <v>220</v>
      </c>
      <c r="B50" s="85" t="s">
        <v>19</v>
      </c>
      <c r="E50" s="11">
        <v>0.75</v>
      </c>
      <c r="F50" s="60">
        <v>10</v>
      </c>
      <c r="I50" s="12" t="s">
        <v>185</v>
      </c>
      <c r="J50" s="60">
        <v>5</v>
      </c>
      <c r="M50" s="13">
        <f>N49+0.000001</f>
        <v>80.000000999999997</v>
      </c>
      <c r="N50" s="5">
        <v>100</v>
      </c>
      <c r="O50" s="60" t="s">
        <v>59</v>
      </c>
    </row>
    <row r="51" spans="1:15" ht="14.25" customHeight="1">
      <c r="A51" s="11" t="s">
        <v>221</v>
      </c>
      <c r="B51" s="60">
        <v>-5</v>
      </c>
      <c r="E51" s="11">
        <v>1</v>
      </c>
      <c r="F51" s="60">
        <v>15</v>
      </c>
      <c r="I51" s="12" t="s">
        <v>187</v>
      </c>
      <c r="J51" s="60">
        <v>0</v>
      </c>
    </row>
    <row r="52" spans="1:15" ht="14.25" customHeight="1">
      <c r="A52" s="90" t="s">
        <v>222</v>
      </c>
      <c r="B52" s="60">
        <v>5</v>
      </c>
      <c r="E52" s="89">
        <f>F19</f>
        <v>0.47578241350938427</v>
      </c>
      <c r="F52" s="86">
        <f>IF(AND(E52&lt;=E48,E52&gt;=E47),F47+((F48-F47)/(E48-E47))*(E52-E47),IF(AND(E52&lt;=E49,E52&gt;=E48),F48+((F49-F48)/(E49-E48))*(E52-E48),IF(AND(E52&lt;=E50,E52&gt;=E49),F49+((F50-F49)/(E50-E49))*(E52-E49),IF(AND(E52&lt;=E51,E52&gt;=E50),F50+((F51-F50)/(E51-E50))*(E52-E50)))))</f>
        <v>4.5156482701876852</v>
      </c>
      <c r="I52" s="12" t="s">
        <v>188</v>
      </c>
      <c r="J52" s="60">
        <v>0</v>
      </c>
    </row>
    <row r="53" spans="1:15" ht="14.25" customHeight="1">
      <c r="A53" s="90" t="s">
        <v>224</v>
      </c>
      <c r="B53" s="60">
        <v>10</v>
      </c>
      <c r="E53" s="87" t="s">
        <v>223</v>
      </c>
      <c r="I53" s="12" t="s">
        <v>189</v>
      </c>
      <c r="J53" s="60">
        <v>15</v>
      </c>
    </row>
    <row r="54" spans="1:15" ht="14.25" customHeight="1">
      <c r="A54" s="90">
        <v>6</v>
      </c>
      <c r="B54" s="91">
        <f>B53+(($B$58-B53)/($A$58-A53))</f>
        <v>12</v>
      </c>
      <c r="I54" s="12" t="s">
        <v>164</v>
      </c>
      <c r="J54" s="60">
        <v>15</v>
      </c>
    </row>
    <row r="55" spans="1:15" ht="14.25" customHeight="1">
      <c r="A55" s="90">
        <v>7</v>
      </c>
      <c r="B55" s="91">
        <f>B54+(($B$58-B54)/($A$58-A54))</f>
        <v>14</v>
      </c>
      <c r="E55" s="84" t="s">
        <v>427</v>
      </c>
      <c r="F55" s="85" t="s">
        <v>19</v>
      </c>
      <c r="I55" s="12" t="s">
        <v>190</v>
      </c>
      <c r="J55" s="60">
        <v>0</v>
      </c>
    </row>
    <row r="56" spans="1:15" ht="14.25" customHeight="1">
      <c r="A56" s="90">
        <v>8</v>
      </c>
      <c r="B56" s="91">
        <f>B55+(($B$58-B55)/($A$58-A55))</f>
        <v>16</v>
      </c>
      <c r="E56" s="11">
        <v>0</v>
      </c>
      <c r="F56" s="60">
        <v>-5</v>
      </c>
      <c r="I56" s="12" t="s">
        <v>191</v>
      </c>
      <c r="J56" s="60">
        <v>0</v>
      </c>
    </row>
    <row r="57" spans="1:15" ht="14.25" customHeight="1">
      <c r="A57" s="90">
        <v>9</v>
      </c>
      <c r="B57" s="91">
        <f>B56+(($B$58-B56)/($A$58-A56))</f>
        <v>18</v>
      </c>
      <c r="E57" s="11">
        <v>0.25</v>
      </c>
      <c r="F57" s="60">
        <v>0</v>
      </c>
    </row>
    <row r="58" spans="1:15" ht="14.25" customHeight="1">
      <c r="A58" s="90">
        <v>10</v>
      </c>
      <c r="B58" s="60">
        <v>20</v>
      </c>
      <c r="E58" s="11">
        <v>0.5</v>
      </c>
      <c r="F58" s="60">
        <v>5</v>
      </c>
      <c r="I58" s="10" t="s">
        <v>46</v>
      </c>
      <c r="J58" s="10" t="s">
        <v>19</v>
      </c>
    </row>
    <row r="59" spans="1:15" ht="14.25" customHeight="1">
      <c r="A59" s="90" t="s">
        <v>225</v>
      </c>
      <c r="B59" s="60">
        <v>20</v>
      </c>
      <c r="E59" s="11">
        <v>0.75</v>
      </c>
      <c r="F59" s="60">
        <v>10</v>
      </c>
      <c r="I59" s="12" t="s">
        <v>45</v>
      </c>
      <c r="J59" s="60">
        <v>10</v>
      </c>
    </row>
    <row r="60" spans="1:15" ht="14.25" customHeight="1">
      <c r="E60" s="11">
        <v>1</v>
      </c>
      <c r="F60" s="60">
        <v>15</v>
      </c>
      <c r="I60" s="12" t="s">
        <v>43</v>
      </c>
      <c r="J60" s="60">
        <v>5</v>
      </c>
    </row>
    <row r="61" spans="1:15" ht="14.25" customHeight="1">
      <c r="A61" s="84" t="s">
        <v>24</v>
      </c>
      <c r="B61" s="85" t="s">
        <v>19</v>
      </c>
      <c r="E61" s="89">
        <f ca="1">F20</f>
        <v>0.31142580223270588</v>
      </c>
      <c r="F61" s="86">
        <f ca="1">IF(AND(E61&lt;=E57,E61&gt;=E56),F56+((F57-F56)/(E57-E56))*(E61-E56),IF(AND(E61&lt;=E58,E61&gt;=E57),F57+((F58-F57)/(E58-E57))*(E61-E57),IF(AND(E61&lt;=E59,E61&gt;=E58),F58+((F59-F58)/(E59-E58))*(E61-E58),IF(AND(E61&lt;=E60,E61&gt;=E59),F59+((F60-F59)/(E60-E59))*(E61-E59)))))</f>
        <v>1.2285160446541177</v>
      </c>
      <c r="I61" s="12" t="s">
        <v>41</v>
      </c>
      <c r="J61" s="60">
        <v>0</v>
      </c>
    </row>
    <row r="62" spans="1:15" ht="14.25" customHeight="1">
      <c r="A62" s="11" t="s">
        <v>23</v>
      </c>
      <c r="B62" s="60">
        <v>15</v>
      </c>
      <c r="E62" s="87" t="s">
        <v>226</v>
      </c>
    </row>
    <row r="63" spans="1:15" ht="14.25" customHeight="1">
      <c r="A63" s="11" t="s">
        <v>22</v>
      </c>
      <c r="B63" s="60">
        <v>15</v>
      </c>
      <c r="I63" s="10" t="s">
        <v>39</v>
      </c>
      <c r="J63" s="10" t="s">
        <v>19</v>
      </c>
    </row>
    <row r="64" spans="1:15" ht="14.25" customHeight="1">
      <c r="A64" s="11" t="s">
        <v>67</v>
      </c>
      <c r="B64" s="60">
        <v>10</v>
      </c>
      <c r="E64" s="84" t="s">
        <v>52</v>
      </c>
      <c r="F64" s="85" t="s">
        <v>19</v>
      </c>
      <c r="I64" s="204" t="s">
        <v>435</v>
      </c>
      <c r="J64" s="60">
        <v>10</v>
      </c>
    </row>
    <row r="65" spans="1:10" ht="14.25" customHeight="1">
      <c r="A65" s="11" t="s">
        <v>21</v>
      </c>
      <c r="B65" s="60">
        <v>5</v>
      </c>
      <c r="E65" s="11" t="s">
        <v>51</v>
      </c>
      <c r="F65" s="60">
        <v>15</v>
      </c>
      <c r="I65" s="12" t="s">
        <v>38</v>
      </c>
      <c r="J65" s="60">
        <v>5</v>
      </c>
    </row>
    <row r="66" spans="1:10" ht="14.25" customHeight="1">
      <c r="E66" s="11" t="s">
        <v>50</v>
      </c>
      <c r="F66" s="60">
        <v>-5</v>
      </c>
      <c r="I66" s="12" t="s">
        <v>36</v>
      </c>
      <c r="J66" s="60">
        <v>0</v>
      </c>
    </row>
    <row r="67" spans="1:10" ht="14.25" customHeight="1">
      <c r="A67" s="84" t="s">
        <v>27</v>
      </c>
      <c r="B67" s="85" t="s">
        <v>19</v>
      </c>
      <c r="I67" s="12" t="s">
        <v>34</v>
      </c>
      <c r="J67" s="60">
        <v>-5</v>
      </c>
    </row>
    <row r="68" spans="1:10" ht="14.25" customHeight="1">
      <c r="A68" s="11" t="s">
        <v>26</v>
      </c>
      <c r="B68" s="60">
        <v>5</v>
      </c>
      <c r="E68" s="84" t="s">
        <v>428</v>
      </c>
      <c r="F68" s="85" t="s">
        <v>19</v>
      </c>
      <c r="I68" s="204" t="s">
        <v>389</v>
      </c>
      <c r="J68" s="60">
        <v>-10</v>
      </c>
    </row>
    <row r="69" spans="1:10" ht="14.25" customHeight="1">
      <c r="A69" s="11" t="s">
        <v>25</v>
      </c>
      <c r="B69" s="60">
        <v>10</v>
      </c>
      <c r="E69" s="11">
        <v>0</v>
      </c>
      <c r="F69" s="60">
        <v>40</v>
      </c>
    </row>
    <row r="70" spans="1:10" ht="14.25" customHeight="1">
      <c r="E70" s="11">
        <v>0.15</v>
      </c>
      <c r="F70" s="60">
        <v>0</v>
      </c>
    </row>
    <row r="71" spans="1:10" ht="14.25" customHeight="1">
      <c r="A71" s="84" t="s">
        <v>8</v>
      </c>
      <c r="B71" s="85" t="s">
        <v>19</v>
      </c>
      <c r="E71" s="11">
        <v>0.5</v>
      </c>
      <c r="F71" s="60">
        <v>-20</v>
      </c>
      <c r="I71" s="10" t="s">
        <v>31</v>
      </c>
      <c r="J71" s="10" t="s">
        <v>19</v>
      </c>
    </row>
    <row r="72" spans="1:10" ht="14.25" customHeight="1">
      <c r="A72" s="5">
        <v>18</v>
      </c>
      <c r="B72" s="60">
        <v>5</v>
      </c>
      <c r="E72" s="11">
        <v>1</v>
      </c>
      <c r="F72" s="60">
        <v>-40</v>
      </c>
      <c r="I72" s="225" t="s">
        <v>29</v>
      </c>
      <c r="J72" s="226">
        <v>10</v>
      </c>
    </row>
    <row r="73" spans="1:10" ht="14.25" customHeight="1">
      <c r="A73" s="5">
        <v>35</v>
      </c>
      <c r="B73" s="60">
        <v>7</v>
      </c>
      <c r="E73" s="89">
        <f>F18</f>
        <v>1.8991853360488798E-2</v>
      </c>
      <c r="F73" s="86">
        <f>IF(AND(E73&lt;=E69,E73&gt;=E68),F68+((F69-F68)/(E69-E68))*(E73-E68),IF(AND(E73&lt;=E70,E73&gt;=E69),F69+((F70-F69)/(E70-E69))*(E73-E69),IF(AND(E73&lt;=E71,E73&gt;=E70),F70+((F71-F70)/(E71-E70))*(E73-E70),IF(AND(E73&lt;=E72,E73&gt;=E71),F71+((F72-F71)/(E72-E71))*(E73-E71),"Fora da Politica"))))</f>
        <v>34.935505770536324</v>
      </c>
      <c r="I73" s="225" t="s">
        <v>28</v>
      </c>
      <c r="J73" s="226">
        <v>0</v>
      </c>
    </row>
    <row r="74" spans="1:10" ht="14.25" customHeight="1">
      <c r="A74" s="5">
        <v>50</v>
      </c>
      <c r="B74" s="60">
        <v>10</v>
      </c>
    </row>
    <row r="75" spans="1:10" ht="14.25" customHeight="1">
      <c r="A75" s="5">
        <v>65</v>
      </c>
      <c r="B75" s="60">
        <v>6</v>
      </c>
      <c r="I75" s="10" t="s">
        <v>20</v>
      </c>
      <c r="J75" s="9" t="s">
        <v>19</v>
      </c>
    </row>
    <row r="76" spans="1:10" ht="14.25" customHeight="1">
      <c r="A76" s="5">
        <v>75</v>
      </c>
      <c r="B76" s="60">
        <v>2</v>
      </c>
      <c r="I76" s="5">
        <v>15</v>
      </c>
      <c r="J76" s="60">
        <v>15</v>
      </c>
    </row>
    <row r="77" spans="1:10" ht="14.25" customHeight="1">
      <c r="A77" s="148">
        <f ca="1">B15</f>
        <v>43</v>
      </c>
      <c r="B77" s="86">
        <f ca="1">IF(AND(A77&lt;=A73,A77&gt;=A72),B72+((B73-B72)/(A73-A72))*(A77-A72),IF(AND(A77&lt;=A74,A77&gt;=A73),B73+((B74-B73)/(A74-A73))*(A77-A73),IF(AND(A77&lt;=A75,A77&gt;=A74),B74+((B75-B74)/(A75-A74))*(A77-A74),IF(AND(A77&lt;=A76,A77&gt;=A75),B75+((B76-B75)/(A76-A75))*(A77-A75)))))</f>
        <v>8.6</v>
      </c>
      <c r="I77" s="5">
        <v>120</v>
      </c>
      <c r="J77" s="60">
        <v>10</v>
      </c>
    </row>
    <row r="78" spans="1:10" ht="14.25" customHeight="1">
      <c r="I78" s="1">
        <v>200</v>
      </c>
      <c r="J78" s="60">
        <v>5</v>
      </c>
    </row>
    <row r="79" spans="1:10" ht="14.25" customHeight="1">
      <c r="I79" s="5">
        <v>400</v>
      </c>
      <c r="J79" s="60">
        <v>0</v>
      </c>
    </row>
    <row r="80" spans="1:10" ht="14.25" customHeight="1">
      <c r="A80" s="92" t="s">
        <v>228</v>
      </c>
      <c r="B80" s="92"/>
      <c r="C80" s="5"/>
      <c r="E80" s="92" t="s">
        <v>228</v>
      </c>
      <c r="F80" s="92"/>
      <c r="I80" s="5">
        <v>1000</v>
      </c>
      <c r="J80" s="60">
        <v>-10</v>
      </c>
    </row>
    <row r="81" spans="1:17" ht="14.25" customHeight="1">
      <c r="I81" s="5">
        <v>10000</v>
      </c>
      <c r="J81" s="60">
        <v>-30</v>
      </c>
      <c r="Q81" s="93"/>
    </row>
    <row r="82" spans="1:17" ht="14.25" customHeight="1">
      <c r="A82" s="84" t="s">
        <v>236</v>
      </c>
      <c r="B82" s="10"/>
      <c r="E82" s="84" t="s">
        <v>229</v>
      </c>
      <c r="F82" s="10"/>
      <c r="I82" s="61">
        <f>J21</f>
        <v>141</v>
      </c>
      <c r="J82" s="86">
        <f>IF(AND(I82&lt;=I77,I82&gt;=I76),J76+((J77-J76)/(I77-I76))*(I82-I76),IF(AND(I82&lt;=I78,I82&gt;=I77),J77+((J78-J77)/(I78-I77))*(I82-I77),IF(AND(I82&lt;=I79,I82&gt;=I78),J78+((J79-J78)/(I79-I78))*(I82-I78),IF(AND(I82&lt;=I80,I82&gt;=I79),J79+((J80-J79)/(I80-I79))*(I82-I79),IF(AND(I82&lt;=I81,I82&gt;=I80),J80+((J81-J80)/(I81-I80))*(I82-I80))))))</f>
        <v>8.6875</v>
      </c>
    </row>
    <row r="83" spans="1:17" ht="14.25" customHeight="1">
      <c r="A83" s="5" t="s">
        <v>237</v>
      </c>
      <c r="B83" s="60"/>
      <c r="E83" s="5" t="s">
        <v>230</v>
      </c>
      <c r="F83" s="60"/>
    </row>
    <row r="84" spans="1:17" ht="14.25" customHeight="1">
      <c r="A84" s="5" t="s">
        <v>238</v>
      </c>
      <c r="B84" s="60"/>
      <c r="E84" s="5" t="s">
        <v>231</v>
      </c>
      <c r="F84" s="60"/>
      <c r="I84" s="227" t="s">
        <v>1</v>
      </c>
      <c r="J84" s="227" t="s">
        <v>19</v>
      </c>
      <c r="K84" s="231" t="s">
        <v>425</v>
      </c>
    </row>
    <row r="85" spans="1:17" ht="14.25" customHeight="1">
      <c r="A85" s="5" t="s">
        <v>239</v>
      </c>
      <c r="B85" s="60" t="s">
        <v>240</v>
      </c>
      <c r="E85" s="5" t="s">
        <v>232</v>
      </c>
      <c r="F85" s="60"/>
      <c r="I85" s="228">
        <v>0</v>
      </c>
      <c r="J85" s="226">
        <v>100</v>
      </c>
      <c r="K85" s="226">
        <v>70</v>
      </c>
    </row>
    <row r="86" spans="1:17" ht="14.25" customHeight="1">
      <c r="A86" s="5" t="s">
        <v>241</v>
      </c>
      <c r="B86" s="60"/>
      <c r="E86" s="5" t="s">
        <v>233</v>
      </c>
      <c r="F86" s="60"/>
      <c r="I86" s="228">
        <v>0.6</v>
      </c>
      <c r="J86" s="226">
        <v>85</v>
      </c>
      <c r="K86" s="226">
        <v>60</v>
      </c>
    </row>
    <row r="87" spans="1:17" ht="14.25" customHeight="1">
      <c r="A87" s="5" t="s">
        <v>242</v>
      </c>
      <c r="B87" s="60"/>
      <c r="E87" s="5" t="s">
        <v>234</v>
      </c>
      <c r="F87" s="60"/>
      <c r="I87" s="228">
        <v>0.8</v>
      </c>
      <c r="J87" s="226">
        <v>45</v>
      </c>
      <c r="K87" s="226">
        <v>50</v>
      </c>
    </row>
    <row r="88" spans="1:17" ht="14.25" customHeight="1">
      <c r="E88" s="5" t="s">
        <v>235</v>
      </c>
      <c r="F88" s="60"/>
      <c r="I88" s="228">
        <v>0.85</v>
      </c>
      <c r="J88" s="226">
        <v>35</v>
      </c>
      <c r="K88" s="226">
        <v>-50</v>
      </c>
    </row>
    <row r="89" spans="1:17" ht="14.25" customHeight="1">
      <c r="I89" s="228">
        <v>1</v>
      </c>
      <c r="J89" s="226">
        <v>-10</v>
      </c>
      <c r="K89" s="226">
        <v>-100</v>
      </c>
    </row>
    <row r="90" spans="1:17" ht="14.25" customHeight="1">
      <c r="I90" s="229">
        <f ca="1">J20</f>
        <v>0.75636750608131897</v>
      </c>
      <c r="J90" s="230">
        <f ca="1">IF(AND(I90&lt;=I85,I90&gt;=I84),J84+((J85-J84)/(I85-I84))*(I90-I84),IF(AND(I90&lt;=I86,I90&gt;=I85),J85+((J86-J85)/(I86-I85))*(I90-I85),IF(AND(I90&lt;=I87,I90&gt;=I86),J86+((J87-J86)/(I87-I86))*(I90-I86),IF(AND(I90&lt;=I88,I90&gt;=I87),J87+((J88-J87)/(I88-I87))*(I90-I87),IF(AND(I90&lt;=I89,I90&gt;=I88),J88+((J89-J88)/(I89-I88))*(I90-I88))))))</f>
        <v>53.726498783736211</v>
      </c>
    </row>
    <row r="92" spans="1:17" ht="14.25" customHeight="1">
      <c r="N92" s="94"/>
    </row>
    <row r="93" spans="1:17" ht="14.25" customHeight="1">
      <c r="I93" s="84" t="s">
        <v>432</v>
      </c>
      <c r="J93" s="85" t="s">
        <v>19</v>
      </c>
    </row>
    <row r="94" spans="1:17" ht="14.25" customHeight="1">
      <c r="I94" s="11" t="s">
        <v>433</v>
      </c>
      <c r="J94" s="60">
        <v>0</v>
      </c>
    </row>
    <row r="95" spans="1:17" ht="14.25" customHeight="1">
      <c r="I95" s="11" t="s">
        <v>25</v>
      </c>
      <c r="J95" s="60">
        <v>-20</v>
      </c>
    </row>
  </sheetData>
  <dataConsolidate/>
  <conditionalFormatting sqref="C15">
    <cfRule type="containsText" dxfId="0" priority="1" operator="containsText" text="FALSO">
      <formula>NOT(ISERROR(SEARCH("FALSO",C15)))</formula>
    </cfRule>
  </conditionalFormatting>
  <dataValidations count="15">
    <dataValidation type="list" allowBlank="1" showInputMessage="1" showErrorMessage="1" sqref="B6" xr:uid="{00000000-0002-0000-0700-000000000000}">
      <formula1>$E$3:$E$10</formula1>
    </dataValidation>
    <dataValidation type="list" allowBlank="1" showInputMessage="1" showErrorMessage="1" sqref="B22" xr:uid="{00000000-0002-0000-0700-000005000000}">
      <formula1>$A$51:$A$59</formula1>
    </dataValidation>
    <dataValidation type="list" allowBlank="1" showInputMessage="1" showErrorMessage="1" sqref="B17" xr:uid="{00000000-0002-0000-0700-000006000000}">
      <formula1>$A$62:$A$66</formula1>
    </dataValidation>
    <dataValidation type="list" allowBlank="1" showInputMessage="1" showErrorMessage="1" sqref="B16" xr:uid="{00000000-0002-0000-0700-000007000000}">
      <formula1>$A$68:$A$69</formula1>
    </dataValidation>
    <dataValidation type="list" allowBlank="1" showInputMessage="1" showErrorMessage="1" sqref="B20" xr:uid="{00000000-0002-0000-0700-000008000000}">
      <formula1>$A$35:$A$37</formula1>
    </dataValidation>
    <dataValidation type="list" allowBlank="1" showInputMessage="1" showErrorMessage="1" sqref="B21" xr:uid="{00000000-0002-0000-0700-000009000000}">
      <formula1>$A$44:$A$47</formula1>
    </dataValidation>
    <dataValidation type="list" allowBlank="1" showInputMessage="1" showErrorMessage="1" sqref="A30:A32 B18" xr:uid="{00000000-0002-0000-0700-00000A000000}">
      <formula1>$A$29:$A$32</formula1>
    </dataValidation>
    <dataValidation type="list" allowBlank="1" showInputMessage="1" showErrorMessage="1" sqref="B19" xr:uid="{00000000-0002-0000-0700-00000B000000}">
      <formula1>$A$39:$A$42</formula1>
    </dataValidation>
    <dataValidation type="list" allowBlank="1" showInputMessage="1" showErrorMessage="1" sqref="C6" xr:uid="{00000000-0002-0000-0700-00000C000000}">
      <formula1>$F$2:$G$2</formula1>
    </dataValidation>
    <dataValidation type="list" allowBlank="1" showInputMessage="1" showErrorMessage="1" sqref="J19" xr:uid="{00000000-0002-0000-0700-000004000000}">
      <formula1>$I$72:$I$73</formula1>
    </dataValidation>
    <dataValidation type="list" allowBlank="1" showInputMessage="1" showErrorMessage="1" sqref="F17" xr:uid="{3FB6A682-2277-4D12-B5A2-71E13D69E3FE}">
      <formula1>$E$65:$E$66</formula1>
    </dataValidation>
    <dataValidation type="list" allowBlank="1" showInputMessage="1" showErrorMessage="1" sqref="J17" xr:uid="{07DCCF83-1270-471A-BD2A-56F15EF73E26}">
      <formula1>$I$64:$I$68</formula1>
    </dataValidation>
    <dataValidation type="list" allowBlank="1" showInputMessage="1" showErrorMessage="1" sqref="J18" xr:uid="{6F7F4636-5571-4353-A5E9-55B3577AEC73}">
      <formula1>$I$59:$I$61</formula1>
    </dataValidation>
    <dataValidation type="list" allowBlank="1" showInputMessage="1" showErrorMessage="1" sqref="J16" xr:uid="{37DA30B4-52A4-43DC-A08A-B6034ADDDC3E}">
      <formula1>$I$30:$I$56</formula1>
    </dataValidation>
    <dataValidation type="list" allowBlank="1" showInputMessage="1" showErrorMessage="1" sqref="J15" xr:uid="{60CF28FC-D2D5-4533-8FA3-22ACAE41197C}">
      <formula1>$I$94:$I$95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7747E-80A8-48EC-A325-021EB162472B}">
  <sheetPr codeName="Planilha2"/>
  <dimension ref="A1:G27"/>
  <sheetViews>
    <sheetView showGridLines="0" topLeftCell="A6" workbookViewId="0">
      <selection activeCell="K15" sqref="K15"/>
    </sheetView>
  </sheetViews>
  <sheetFormatPr defaultColWidth="8.77734375" defaultRowHeight="14.4"/>
  <sheetData>
    <row r="1" spans="1:7" ht="15" thickBot="1">
      <c r="A1" s="217" t="s">
        <v>413</v>
      </c>
      <c r="B1" s="216"/>
      <c r="C1" s="216"/>
      <c r="D1" s="216"/>
      <c r="E1" s="216"/>
      <c r="F1" s="216"/>
      <c r="G1" s="216"/>
    </row>
    <row r="2" spans="1:7">
      <c r="A2" s="791" t="s">
        <v>767</v>
      </c>
      <c r="B2" s="792"/>
      <c r="C2" s="792"/>
      <c r="D2" s="792"/>
      <c r="E2" s="792"/>
      <c r="F2" s="792"/>
      <c r="G2" s="793"/>
    </row>
    <row r="3" spans="1:7">
      <c r="A3" s="794"/>
      <c r="B3" s="795"/>
      <c r="C3" s="795"/>
      <c r="D3" s="795"/>
      <c r="E3" s="795"/>
      <c r="F3" s="795"/>
      <c r="G3" s="796"/>
    </row>
    <row r="4" spans="1:7">
      <c r="A4" s="794"/>
      <c r="B4" s="795"/>
      <c r="C4" s="795"/>
      <c r="D4" s="795"/>
      <c r="E4" s="795"/>
      <c r="F4" s="795"/>
      <c r="G4" s="796"/>
    </row>
    <row r="5" spans="1:7">
      <c r="A5" s="794"/>
      <c r="B5" s="795"/>
      <c r="C5" s="795"/>
      <c r="D5" s="795"/>
      <c r="E5" s="795"/>
      <c r="F5" s="795"/>
      <c r="G5" s="796"/>
    </row>
    <row r="6" spans="1:7">
      <c r="A6" s="794"/>
      <c r="B6" s="795"/>
      <c r="C6" s="795"/>
      <c r="D6" s="795"/>
      <c r="E6" s="795"/>
      <c r="F6" s="795"/>
      <c r="G6" s="796"/>
    </row>
    <row r="7" spans="1:7">
      <c r="A7" s="794"/>
      <c r="B7" s="795"/>
      <c r="C7" s="795"/>
      <c r="D7" s="795"/>
      <c r="E7" s="795"/>
      <c r="F7" s="795"/>
      <c r="G7" s="796"/>
    </row>
    <row r="8" spans="1:7">
      <c r="A8" s="794"/>
      <c r="B8" s="795"/>
      <c r="C8" s="795"/>
      <c r="D8" s="795"/>
      <c r="E8" s="795"/>
      <c r="F8" s="795"/>
      <c r="G8" s="796"/>
    </row>
    <row r="9" spans="1:7" ht="15" thickBot="1">
      <c r="A9" s="797"/>
      <c r="B9" s="798"/>
      <c r="C9" s="798"/>
      <c r="D9" s="798"/>
      <c r="E9" s="798"/>
      <c r="F9" s="798"/>
      <c r="G9" s="799"/>
    </row>
    <row r="10" spans="1:7" ht="15" thickBot="1">
      <c r="A10" s="217" t="s">
        <v>414</v>
      </c>
      <c r="B10" s="216"/>
      <c r="C10" s="216"/>
      <c r="D10" s="216"/>
      <c r="E10" s="216"/>
      <c r="F10" s="216"/>
      <c r="G10" s="216"/>
    </row>
    <row r="11" spans="1:7">
      <c r="A11" s="791" t="s">
        <v>768</v>
      </c>
      <c r="B11" s="792"/>
      <c r="C11" s="792"/>
      <c r="D11" s="792"/>
      <c r="E11" s="792"/>
      <c r="F11" s="792"/>
      <c r="G11" s="793"/>
    </row>
    <row r="12" spans="1:7">
      <c r="A12" s="794"/>
      <c r="B12" s="795"/>
      <c r="C12" s="795"/>
      <c r="D12" s="795"/>
      <c r="E12" s="795"/>
      <c r="F12" s="795"/>
      <c r="G12" s="796"/>
    </row>
    <row r="13" spans="1:7">
      <c r="A13" s="794"/>
      <c r="B13" s="795"/>
      <c r="C13" s="795"/>
      <c r="D13" s="795"/>
      <c r="E13" s="795"/>
      <c r="F13" s="795"/>
      <c r="G13" s="796"/>
    </row>
    <row r="14" spans="1:7">
      <c r="A14" s="794"/>
      <c r="B14" s="795"/>
      <c r="C14" s="795"/>
      <c r="D14" s="795"/>
      <c r="E14" s="795"/>
      <c r="F14" s="795"/>
      <c r="G14" s="796"/>
    </row>
    <row r="15" spans="1:7">
      <c r="A15" s="794"/>
      <c r="B15" s="795"/>
      <c r="C15" s="795"/>
      <c r="D15" s="795"/>
      <c r="E15" s="795"/>
      <c r="F15" s="795"/>
      <c r="G15" s="796"/>
    </row>
    <row r="16" spans="1:7">
      <c r="A16" s="794"/>
      <c r="B16" s="795"/>
      <c r="C16" s="795"/>
      <c r="D16" s="795"/>
      <c r="E16" s="795"/>
      <c r="F16" s="795"/>
      <c r="G16" s="796"/>
    </row>
    <row r="17" spans="1:7">
      <c r="A17" s="794"/>
      <c r="B17" s="795"/>
      <c r="C17" s="795"/>
      <c r="D17" s="795"/>
      <c r="E17" s="795"/>
      <c r="F17" s="795"/>
      <c r="G17" s="796"/>
    </row>
    <row r="18" spans="1:7" ht="75" customHeight="1" thickBot="1">
      <c r="A18" s="797"/>
      <c r="B18" s="798"/>
      <c r="C18" s="798"/>
      <c r="D18" s="798"/>
      <c r="E18" s="798"/>
      <c r="F18" s="798"/>
      <c r="G18" s="799"/>
    </row>
    <row r="19" spans="1:7" ht="15" thickBot="1">
      <c r="A19" s="217" t="s">
        <v>415</v>
      </c>
      <c r="B19" s="216"/>
      <c r="C19" s="216"/>
      <c r="D19" s="216"/>
      <c r="E19" s="216"/>
      <c r="F19" s="216"/>
      <c r="G19" s="216"/>
    </row>
    <row r="20" spans="1:7">
      <c r="A20" s="791" t="s">
        <v>769</v>
      </c>
      <c r="B20" s="792"/>
      <c r="C20" s="792"/>
      <c r="D20" s="792"/>
      <c r="E20" s="792"/>
      <c r="F20" s="792"/>
      <c r="G20" s="793"/>
    </row>
    <row r="21" spans="1:7">
      <c r="A21" s="794"/>
      <c r="B21" s="795"/>
      <c r="C21" s="795"/>
      <c r="D21" s="795"/>
      <c r="E21" s="795"/>
      <c r="F21" s="795"/>
      <c r="G21" s="796"/>
    </row>
    <row r="22" spans="1:7">
      <c r="A22" s="794"/>
      <c r="B22" s="795"/>
      <c r="C22" s="795"/>
      <c r="D22" s="795"/>
      <c r="E22" s="795"/>
      <c r="F22" s="795"/>
      <c r="G22" s="796"/>
    </row>
    <row r="23" spans="1:7">
      <c r="A23" s="794"/>
      <c r="B23" s="795"/>
      <c r="C23" s="795"/>
      <c r="D23" s="795"/>
      <c r="E23" s="795"/>
      <c r="F23" s="795"/>
      <c r="G23" s="796"/>
    </row>
    <row r="24" spans="1:7">
      <c r="A24" s="794"/>
      <c r="B24" s="795"/>
      <c r="C24" s="795"/>
      <c r="D24" s="795"/>
      <c r="E24" s="795"/>
      <c r="F24" s="795"/>
      <c r="G24" s="796"/>
    </row>
    <row r="25" spans="1:7">
      <c r="A25" s="794"/>
      <c r="B25" s="795"/>
      <c r="C25" s="795"/>
      <c r="D25" s="795"/>
      <c r="E25" s="795"/>
      <c r="F25" s="795"/>
      <c r="G25" s="796"/>
    </row>
    <row r="26" spans="1:7">
      <c r="A26" s="794"/>
      <c r="B26" s="795"/>
      <c r="C26" s="795"/>
      <c r="D26" s="795"/>
      <c r="E26" s="795"/>
      <c r="F26" s="795"/>
      <c r="G26" s="796"/>
    </row>
    <row r="27" spans="1:7" ht="15" thickBot="1">
      <c r="A27" s="797"/>
      <c r="B27" s="798"/>
      <c r="C27" s="798"/>
      <c r="D27" s="798"/>
      <c r="E27" s="798"/>
      <c r="F27" s="798"/>
      <c r="G27" s="799"/>
    </row>
  </sheetData>
  <mergeCells count="3">
    <mergeCell ref="A2:G9"/>
    <mergeCell ref="A20:G27"/>
    <mergeCell ref="A11:G18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4"/>
  <dimension ref="A1:K50"/>
  <sheetViews>
    <sheetView workbookViewId="0">
      <selection activeCell="D19" sqref="D19"/>
    </sheetView>
  </sheetViews>
  <sheetFormatPr defaultColWidth="8.77734375" defaultRowHeight="14.4"/>
  <cols>
    <col min="2" max="2" width="12.21875" bestFit="1" customWidth="1"/>
    <col min="3" max="3" width="16.77734375" bestFit="1" customWidth="1"/>
    <col min="4" max="4" width="10.77734375" bestFit="1" customWidth="1"/>
  </cols>
  <sheetData>
    <row r="1" spans="1:11" ht="15.6">
      <c r="A1" s="47" t="s">
        <v>84</v>
      </c>
      <c r="B1" s="47"/>
      <c r="C1" s="47"/>
      <c r="D1" s="48"/>
      <c r="E1" s="47"/>
      <c r="F1" s="47"/>
      <c r="G1" s="47"/>
      <c r="H1" s="47"/>
      <c r="I1" s="47"/>
      <c r="J1" s="47"/>
      <c r="K1" s="47"/>
    </row>
    <row r="2" spans="1:11" ht="30.6">
      <c r="A2" s="208" t="s">
        <v>85</v>
      </c>
      <c r="B2" s="208"/>
      <c r="C2" s="208"/>
      <c r="D2" s="49" t="s">
        <v>0</v>
      </c>
      <c r="E2" s="205" t="s">
        <v>86</v>
      </c>
      <c r="F2" s="205" t="s">
        <v>64</v>
      </c>
      <c r="G2" s="205" t="s">
        <v>390</v>
      </c>
      <c r="H2" s="205" t="s">
        <v>87</v>
      </c>
      <c r="I2" s="205" t="s">
        <v>88</v>
      </c>
      <c r="J2" s="205" t="s">
        <v>89</v>
      </c>
      <c r="K2" s="205" t="s">
        <v>90</v>
      </c>
    </row>
    <row r="3" spans="1:11">
      <c r="A3" s="205" t="s">
        <v>91</v>
      </c>
      <c r="B3" s="206">
        <v>0.01</v>
      </c>
      <c r="C3" s="207">
        <v>1592</v>
      </c>
      <c r="D3" s="50">
        <v>179.8</v>
      </c>
      <c r="E3" s="206">
        <v>107.77</v>
      </c>
      <c r="F3" s="206">
        <v>30.63</v>
      </c>
      <c r="G3" s="206">
        <v>20.96</v>
      </c>
      <c r="H3" s="206">
        <v>5.67</v>
      </c>
      <c r="I3" s="206">
        <v>7.4</v>
      </c>
      <c r="J3" s="206">
        <v>5.17</v>
      </c>
      <c r="K3" s="206">
        <v>2.2000000000000002</v>
      </c>
    </row>
    <row r="4" spans="1:11">
      <c r="A4" s="205" t="s">
        <v>92</v>
      </c>
      <c r="B4" s="207">
        <v>1592.01</v>
      </c>
      <c r="C4" s="207">
        <v>3978</v>
      </c>
      <c r="D4" s="50">
        <v>288.52</v>
      </c>
      <c r="E4" s="206">
        <v>172.93</v>
      </c>
      <c r="F4" s="206">
        <v>49.15</v>
      </c>
      <c r="G4" s="206">
        <v>33.64</v>
      </c>
      <c r="H4" s="206">
        <v>9.1</v>
      </c>
      <c r="I4" s="206">
        <v>11.87</v>
      </c>
      <c r="J4" s="206">
        <v>8.3000000000000007</v>
      </c>
      <c r="K4" s="206">
        <v>3.53</v>
      </c>
    </row>
    <row r="5" spans="1:11">
      <c r="A5" s="205" t="s">
        <v>93</v>
      </c>
      <c r="B5" s="207">
        <v>3978.01</v>
      </c>
      <c r="C5" s="207">
        <v>6631</v>
      </c>
      <c r="D5" s="50">
        <v>517.6</v>
      </c>
      <c r="E5" s="206">
        <v>310.24</v>
      </c>
      <c r="F5" s="206">
        <v>88.17</v>
      </c>
      <c r="G5" s="206">
        <v>60.35</v>
      </c>
      <c r="H5" s="206">
        <v>16.329999999999998</v>
      </c>
      <c r="I5" s="206">
        <v>21.29</v>
      </c>
      <c r="J5" s="206">
        <v>14.89</v>
      </c>
      <c r="K5" s="206">
        <v>6.33</v>
      </c>
    </row>
    <row r="6" spans="1:11">
      <c r="A6" s="205" t="s">
        <v>94</v>
      </c>
      <c r="B6" s="207">
        <v>6631.01</v>
      </c>
      <c r="C6" s="207">
        <v>13265</v>
      </c>
      <c r="D6" s="50">
        <v>767.98</v>
      </c>
      <c r="E6" s="206">
        <v>460.31</v>
      </c>
      <c r="F6" s="206">
        <v>130.83000000000001</v>
      </c>
      <c r="G6" s="206">
        <v>89.54</v>
      </c>
      <c r="H6" s="206">
        <v>24.23</v>
      </c>
      <c r="I6" s="206">
        <v>31.59</v>
      </c>
      <c r="J6" s="206">
        <v>22.09</v>
      </c>
      <c r="K6" s="206">
        <v>9.39</v>
      </c>
    </row>
    <row r="7" spans="1:11">
      <c r="A7" s="205" t="s">
        <v>95</v>
      </c>
      <c r="B7" s="207">
        <v>13265.01</v>
      </c>
      <c r="C7" s="207">
        <v>26530</v>
      </c>
      <c r="D7" s="50">
        <v>933.68</v>
      </c>
      <c r="E7" s="206">
        <v>559.63</v>
      </c>
      <c r="F7" s="206">
        <v>159.05000000000001</v>
      </c>
      <c r="G7" s="206">
        <v>108.86</v>
      </c>
      <c r="H7" s="206">
        <v>29.45</v>
      </c>
      <c r="I7" s="206">
        <v>38.409999999999997</v>
      </c>
      <c r="J7" s="206">
        <v>26.86</v>
      </c>
      <c r="K7" s="206">
        <v>11.42</v>
      </c>
    </row>
    <row r="8" spans="1:11">
      <c r="A8" s="205" t="s">
        <v>96</v>
      </c>
      <c r="B8" s="207">
        <v>26530.01</v>
      </c>
      <c r="C8" s="207">
        <v>79590</v>
      </c>
      <c r="D8" s="51">
        <v>1041.26</v>
      </c>
      <c r="E8" s="206">
        <v>624.1</v>
      </c>
      <c r="F8" s="206">
        <v>177.38</v>
      </c>
      <c r="G8" s="206">
        <v>121.4</v>
      </c>
      <c r="H8" s="206">
        <v>32.85</v>
      </c>
      <c r="I8" s="206">
        <v>42.83</v>
      </c>
      <c r="J8" s="206">
        <v>29.96</v>
      </c>
      <c r="K8" s="206">
        <v>12.74</v>
      </c>
    </row>
    <row r="9" spans="1:11">
      <c r="A9" s="205" t="s">
        <v>97</v>
      </c>
      <c r="B9" s="207">
        <v>79590.009999999995</v>
      </c>
      <c r="C9" s="207">
        <v>132650</v>
      </c>
      <c r="D9" s="51">
        <v>1329</v>
      </c>
      <c r="E9" s="206">
        <v>796.57</v>
      </c>
      <c r="F9" s="206">
        <v>226.39</v>
      </c>
      <c r="G9" s="206">
        <v>154.94999999999999</v>
      </c>
      <c r="H9" s="206">
        <v>41.92</v>
      </c>
      <c r="I9" s="206">
        <v>54.67</v>
      </c>
      <c r="J9" s="206">
        <v>38.24</v>
      </c>
      <c r="K9" s="206">
        <v>16.260000000000002</v>
      </c>
    </row>
    <row r="10" spans="1:11">
      <c r="A10" s="205" t="s">
        <v>98</v>
      </c>
      <c r="B10" s="207">
        <v>132650.01</v>
      </c>
      <c r="C10" s="207">
        <v>159180</v>
      </c>
      <c r="D10" s="51">
        <v>1616.18</v>
      </c>
      <c r="E10" s="206">
        <v>968.7</v>
      </c>
      <c r="F10" s="206">
        <v>275.31</v>
      </c>
      <c r="G10" s="206">
        <v>188.44</v>
      </c>
      <c r="H10" s="206">
        <v>50.98</v>
      </c>
      <c r="I10" s="206">
        <v>66.48</v>
      </c>
      <c r="J10" s="206">
        <v>46.5</v>
      </c>
      <c r="K10" s="206">
        <v>19.77</v>
      </c>
    </row>
    <row r="11" spans="1:11">
      <c r="A11" s="205" t="s">
        <v>99</v>
      </c>
      <c r="B11" s="207">
        <v>159180.01</v>
      </c>
      <c r="C11" s="207">
        <v>185710</v>
      </c>
      <c r="D11" s="51">
        <v>1759.48</v>
      </c>
      <c r="E11" s="207">
        <v>1054.5899999999999</v>
      </c>
      <c r="F11" s="206">
        <v>299.72000000000003</v>
      </c>
      <c r="G11" s="206">
        <v>205.15</v>
      </c>
      <c r="H11" s="206">
        <v>55.5</v>
      </c>
      <c r="I11" s="206">
        <v>72.38</v>
      </c>
      <c r="J11" s="206">
        <v>50.62</v>
      </c>
      <c r="K11" s="206">
        <v>21.52</v>
      </c>
    </row>
    <row r="12" spans="1:11">
      <c r="A12" s="205" t="s">
        <v>100</v>
      </c>
      <c r="B12" s="207">
        <v>185710.01</v>
      </c>
      <c r="C12" s="207">
        <v>212240</v>
      </c>
      <c r="D12" s="51">
        <v>1903.62</v>
      </c>
      <c r="E12" s="207">
        <v>1140.97</v>
      </c>
      <c r="F12" s="206">
        <v>324.27999999999997</v>
      </c>
      <c r="G12" s="206">
        <v>221.95</v>
      </c>
      <c r="H12" s="206">
        <v>60.05</v>
      </c>
      <c r="I12" s="206">
        <v>78.31</v>
      </c>
      <c r="J12" s="206">
        <v>54.77</v>
      </c>
      <c r="K12" s="206">
        <v>23.29</v>
      </c>
    </row>
    <row r="13" spans="1:11">
      <c r="A13" s="205" t="s">
        <v>101</v>
      </c>
      <c r="B13" s="207">
        <v>212240.01</v>
      </c>
      <c r="C13" s="207">
        <v>238770</v>
      </c>
      <c r="D13" s="51">
        <v>2006.78</v>
      </c>
      <c r="E13" s="207">
        <v>1202.81</v>
      </c>
      <c r="F13" s="206">
        <v>341.85</v>
      </c>
      <c r="G13" s="206">
        <v>233.98</v>
      </c>
      <c r="H13" s="206">
        <v>63.31</v>
      </c>
      <c r="I13" s="206">
        <v>82.55</v>
      </c>
      <c r="J13" s="206">
        <v>57.73</v>
      </c>
      <c r="K13" s="206">
        <v>24.55</v>
      </c>
    </row>
    <row r="14" spans="1:11">
      <c r="A14" s="205" t="s">
        <v>102</v>
      </c>
      <c r="B14" s="207">
        <v>238770.01</v>
      </c>
      <c r="C14" s="207">
        <v>265300</v>
      </c>
      <c r="D14" s="51">
        <v>2059.09</v>
      </c>
      <c r="E14" s="207">
        <v>1234.1600000000001</v>
      </c>
      <c r="F14" s="206">
        <v>350.76</v>
      </c>
      <c r="G14" s="206">
        <v>240.08</v>
      </c>
      <c r="H14" s="206">
        <v>64.959999999999994</v>
      </c>
      <c r="I14" s="206">
        <v>84.7</v>
      </c>
      <c r="J14" s="206">
        <v>59.24</v>
      </c>
      <c r="K14" s="206">
        <v>25.19</v>
      </c>
    </row>
    <row r="15" spans="1:11">
      <c r="A15" s="205" t="s">
        <v>103</v>
      </c>
      <c r="B15" s="207">
        <v>265300.01</v>
      </c>
      <c r="C15" s="207">
        <v>530600</v>
      </c>
      <c r="D15" s="51">
        <v>2295.88</v>
      </c>
      <c r="E15" s="207">
        <v>1376.09</v>
      </c>
      <c r="F15" s="206">
        <v>391.1</v>
      </c>
      <c r="G15" s="206">
        <v>267.69</v>
      </c>
      <c r="H15" s="206">
        <v>72.430000000000007</v>
      </c>
      <c r="I15" s="206">
        <v>94.44</v>
      </c>
      <c r="J15" s="206">
        <v>66.05</v>
      </c>
      <c r="K15" s="206">
        <v>28.08</v>
      </c>
    </row>
    <row r="16" spans="1:11">
      <c r="A16" s="205" t="s">
        <v>104</v>
      </c>
      <c r="B16" s="207">
        <v>530600.01</v>
      </c>
      <c r="C16" s="207">
        <v>795900</v>
      </c>
      <c r="D16" s="51">
        <v>2688.72</v>
      </c>
      <c r="E16" s="207">
        <v>1611.55</v>
      </c>
      <c r="F16" s="206">
        <v>458.02</v>
      </c>
      <c r="G16" s="206">
        <v>313.49</v>
      </c>
      <c r="H16" s="206">
        <v>84.82</v>
      </c>
      <c r="I16" s="206">
        <v>110.6</v>
      </c>
      <c r="J16" s="206">
        <v>77.349999999999994</v>
      </c>
      <c r="K16" s="206">
        <v>32.89</v>
      </c>
    </row>
    <row r="17" spans="1:11">
      <c r="A17" s="205" t="s">
        <v>105</v>
      </c>
      <c r="B17" s="207">
        <v>795900.01</v>
      </c>
      <c r="C17" s="207">
        <v>1061200</v>
      </c>
      <c r="D17" s="51">
        <v>3095.36</v>
      </c>
      <c r="E17" s="207">
        <v>1855.28</v>
      </c>
      <c r="F17" s="206">
        <v>527.29</v>
      </c>
      <c r="G17" s="206">
        <v>360.9</v>
      </c>
      <c r="H17" s="206">
        <v>97.65</v>
      </c>
      <c r="I17" s="206">
        <v>127.33</v>
      </c>
      <c r="J17" s="206">
        <v>89.05</v>
      </c>
      <c r="K17" s="206">
        <v>37.86</v>
      </c>
    </row>
    <row r="18" spans="1:11">
      <c r="A18" s="205" t="s">
        <v>106</v>
      </c>
      <c r="B18" s="207">
        <v>1061200.01</v>
      </c>
      <c r="C18" s="207">
        <v>1326500</v>
      </c>
      <c r="D18" s="51">
        <v>3502.06</v>
      </c>
      <c r="E18" s="207">
        <v>2099.04</v>
      </c>
      <c r="F18" s="206">
        <v>596.57000000000005</v>
      </c>
      <c r="G18" s="206">
        <v>408.32</v>
      </c>
      <c r="H18" s="206">
        <v>110.48</v>
      </c>
      <c r="I18" s="206">
        <v>144.06</v>
      </c>
      <c r="J18" s="206">
        <v>100.75</v>
      </c>
      <c r="K18" s="206">
        <v>42.84</v>
      </c>
    </row>
    <row r="19" spans="1:11">
      <c r="A19" s="205" t="s">
        <v>107</v>
      </c>
      <c r="B19" s="207">
        <v>1326500.01</v>
      </c>
      <c r="C19" s="207">
        <v>1591800</v>
      </c>
      <c r="D19" s="51">
        <v>3712.31</v>
      </c>
      <c r="E19" s="207">
        <v>2225.06</v>
      </c>
      <c r="F19" s="206">
        <v>632.39</v>
      </c>
      <c r="G19" s="206">
        <v>432.83</v>
      </c>
      <c r="H19" s="206">
        <v>117.11</v>
      </c>
      <c r="I19" s="206">
        <v>152.71</v>
      </c>
      <c r="J19" s="206">
        <v>106.8</v>
      </c>
      <c r="K19" s="206">
        <v>45.41</v>
      </c>
    </row>
    <row r="20" spans="1:11">
      <c r="A20" s="205" t="s">
        <v>108</v>
      </c>
      <c r="B20" s="207">
        <v>1591800.01</v>
      </c>
      <c r="C20" s="207">
        <v>2653000</v>
      </c>
      <c r="D20" s="51">
        <v>4763.55</v>
      </c>
      <c r="E20" s="207">
        <v>2855.15</v>
      </c>
      <c r="F20" s="206">
        <v>811.46</v>
      </c>
      <c r="G20" s="206">
        <v>555.4</v>
      </c>
      <c r="H20" s="206">
        <v>150.27000000000001</v>
      </c>
      <c r="I20" s="206">
        <v>195.95</v>
      </c>
      <c r="J20" s="206">
        <v>137.05000000000001</v>
      </c>
      <c r="K20" s="206">
        <v>58.27</v>
      </c>
    </row>
    <row r="21" spans="1:11">
      <c r="A21" s="205" t="s">
        <v>109</v>
      </c>
      <c r="B21" s="207">
        <v>2653000.0099999998</v>
      </c>
      <c r="C21" s="207">
        <v>3979500</v>
      </c>
      <c r="D21" s="51">
        <v>6655.77</v>
      </c>
      <c r="E21" s="207">
        <v>3989.3</v>
      </c>
      <c r="F21" s="207">
        <v>1133.8</v>
      </c>
      <c r="G21" s="206">
        <v>776.02</v>
      </c>
      <c r="H21" s="206">
        <v>209.96</v>
      </c>
      <c r="I21" s="206">
        <v>273.79000000000002</v>
      </c>
      <c r="J21" s="206">
        <v>191.49</v>
      </c>
      <c r="K21" s="206">
        <v>81.41</v>
      </c>
    </row>
    <row r="22" spans="1:11">
      <c r="A22" s="205" t="s">
        <v>110</v>
      </c>
      <c r="B22" s="207">
        <v>3979500.01</v>
      </c>
      <c r="C22" s="207">
        <v>5306000</v>
      </c>
      <c r="D22" s="51">
        <v>8758.27</v>
      </c>
      <c r="E22" s="207">
        <v>5249.48</v>
      </c>
      <c r="F22" s="207">
        <v>1491.96</v>
      </c>
      <c r="G22" s="207">
        <v>1021.16</v>
      </c>
      <c r="H22" s="206">
        <v>276.29000000000002</v>
      </c>
      <c r="I22" s="206">
        <v>360.28</v>
      </c>
      <c r="J22" s="206">
        <v>251.97</v>
      </c>
      <c r="K22" s="206">
        <v>107.13</v>
      </c>
    </row>
    <row r="23" spans="1:11">
      <c r="A23" s="205" t="s">
        <v>111</v>
      </c>
      <c r="B23" s="207">
        <v>5306000.01</v>
      </c>
      <c r="C23" s="207">
        <v>6632500</v>
      </c>
      <c r="D23" s="51">
        <v>10860.75</v>
      </c>
      <c r="E23" s="207">
        <v>6509.65</v>
      </c>
      <c r="F23" s="207">
        <v>1850.11</v>
      </c>
      <c r="G23" s="207">
        <v>1266.3</v>
      </c>
      <c r="H23" s="206">
        <v>342.61</v>
      </c>
      <c r="I23" s="206">
        <v>446.77</v>
      </c>
      <c r="J23" s="206">
        <v>312.45999999999998</v>
      </c>
      <c r="K23" s="206">
        <v>132.85</v>
      </c>
    </row>
    <row r="24" spans="1:11">
      <c r="A24" s="205" t="s">
        <v>112</v>
      </c>
      <c r="B24" s="207">
        <v>6632500.0099999998</v>
      </c>
      <c r="C24" s="207">
        <v>7959000</v>
      </c>
      <c r="D24" s="51">
        <v>12963.26</v>
      </c>
      <c r="E24" s="207">
        <v>7769.83</v>
      </c>
      <c r="F24" s="207">
        <v>2208.27</v>
      </c>
      <c r="G24" s="207">
        <v>1511.44</v>
      </c>
      <c r="H24" s="206">
        <v>408.94</v>
      </c>
      <c r="I24" s="206">
        <v>533.26</v>
      </c>
      <c r="J24" s="206">
        <v>372.95</v>
      </c>
      <c r="K24" s="206">
        <v>158.57</v>
      </c>
    </row>
    <row r="25" spans="1:11">
      <c r="A25" s="205" t="s">
        <v>113</v>
      </c>
      <c r="B25" s="207">
        <v>7959000.0099999998</v>
      </c>
      <c r="C25" s="207">
        <v>9285500</v>
      </c>
      <c r="D25" s="51">
        <v>15065.72</v>
      </c>
      <c r="E25" s="207">
        <v>9030</v>
      </c>
      <c r="F25" s="207">
        <v>2566.42</v>
      </c>
      <c r="G25" s="207">
        <v>1756.57</v>
      </c>
      <c r="H25" s="206">
        <v>475.26</v>
      </c>
      <c r="I25" s="206">
        <v>619.74</v>
      </c>
      <c r="J25" s="206">
        <v>433.44</v>
      </c>
      <c r="K25" s="206">
        <v>184.29</v>
      </c>
    </row>
    <row r="26" spans="1:11">
      <c r="A26" s="205" t="s">
        <v>83</v>
      </c>
      <c r="B26" s="207">
        <v>9285500.0099999998</v>
      </c>
      <c r="C26" s="207">
        <v>10612000</v>
      </c>
      <c r="D26" s="51">
        <v>17168.22</v>
      </c>
      <c r="E26" s="207">
        <v>10290.18</v>
      </c>
      <c r="F26" s="207">
        <v>2924.58</v>
      </c>
      <c r="G26" s="207">
        <v>2001.71</v>
      </c>
      <c r="H26" s="206">
        <v>541.59</v>
      </c>
      <c r="I26" s="206">
        <v>706.23</v>
      </c>
      <c r="J26" s="206">
        <v>493.93</v>
      </c>
      <c r="K26" s="206">
        <v>210</v>
      </c>
    </row>
    <row r="27" spans="1:11">
      <c r="A27" s="205" t="s">
        <v>114</v>
      </c>
      <c r="B27" s="207">
        <v>10612000.01</v>
      </c>
      <c r="C27" s="207">
        <v>11938500</v>
      </c>
      <c r="D27" s="51">
        <v>19270.7</v>
      </c>
      <c r="E27" s="207">
        <v>11550.35</v>
      </c>
      <c r="F27" s="207">
        <v>3282.73</v>
      </c>
      <c r="G27" s="207">
        <v>2246.85</v>
      </c>
      <c r="H27" s="206">
        <v>607.91</v>
      </c>
      <c r="I27" s="206">
        <v>792.72</v>
      </c>
      <c r="J27" s="206">
        <v>554.41999999999996</v>
      </c>
      <c r="K27" s="206">
        <v>235.72</v>
      </c>
    </row>
    <row r="28" spans="1:11">
      <c r="A28" s="205" t="s">
        <v>115</v>
      </c>
      <c r="B28" s="207">
        <v>11938500.01</v>
      </c>
      <c r="C28" s="207">
        <v>13265000</v>
      </c>
      <c r="D28" s="51">
        <v>21373.200000000001</v>
      </c>
      <c r="E28" s="207">
        <v>12810.53</v>
      </c>
      <c r="F28" s="207">
        <v>3640.89</v>
      </c>
      <c r="G28" s="207">
        <v>2491.98</v>
      </c>
      <c r="H28" s="206">
        <v>674.24</v>
      </c>
      <c r="I28" s="206">
        <v>879.21</v>
      </c>
      <c r="J28" s="206">
        <v>614.91</v>
      </c>
      <c r="K28" s="206">
        <v>261.44</v>
      </c>
    </row>
    <row r="29" spans="1:11">
      <c r="A29" s="205" t="s">
        <v>116</v>
      </c>
      <c r="B29" s="207">
        <v>13265000.01</v>
      </c>
      <c r="C29" s="207">
        <v>15918000</v>
      </c>
      <c r="D29" s="51">
        <v>24526.93</v>
      </c>
      <c r="E29" s="207">
        <v>14700.79</v>
      </c>
      <c r="F29" s="207">
        <v>4178.12</v>
      </c>
      <c r="G29" s="207">
        <v>2859.69</v>
      </c>
      <c r="H29" s="206">
        <v>773.73</v>
      </c>
      <c r="I29" s="207">
        <v>1008.94</v>
      </c>
      <c r="J29" s="206">
        <v>705.64</v>
      </c>
      <c r="K29" s="206">
        <v>300.02</v>
      </c>
    </row>
    <row r="30" spans="1:11">
      <c r="A30" s="205" t="s">
        <v>117</v>
      </c>
      <c r="B30" s="207">
        <v>15918000.01</v>
      </c>
      <c r="C30" s="207">
        <v>18571000</v>
      </c>
      <c r="D30" s="51">
        <v>28731.88</v>
      </c>
      <c r="E30" s="207">
        <v>17221.14</v>
      </c>
      <c r="F30" s="207">
        <v>4894.43</v>
      </c>
      <c r="G30" s="207">
        <v>3349.96</v>
      </c>
      <c r="H30" s="206">
        <v>906.38</v>
      </c>
      <c r="I30" s="207">
        <v>1181.9100000000001</v>
      </c>
      <c r="J30" s="206">
        <v>826.61</v>
      </c>
      <c r="K30" s="206">
        <v>351.45</v>
      </c>
    </row>
    <row r="31" spans="1:11">
      <c r="A31" s="205" t="s">
        <v>118</v>
      </c>
      <c r="B31" s="207">
        <v>18571000.010000002</v>
      </c>
      <c r="C31" s="207">
        <v>21224000</v>
      </c>
      <c r="D31" s="51">
        <v>32936.870000000003</v>
      </c>
      <c r="E31" s="207">
        <v>19741.490000000002</v>
      </c>
      <c r="F31" s="207">
        <v>5610.74</v>
      </c>
      <c r="G31" s="207">
        <v>3840.24</v>
      </c>
      <c r="H31" s="207">
        <v>1039.03</v>
      </c>
      <c r="I31" s="207">
        <v>1354.89</v>
      </c>
      <c r="J31" s="206">
        <v>947.59</v>
      </c>
      <c r="K31" s="206">
        <v>402.89</v>
      </c>
    </row>
    <row r="32" spans="1:11">
      <c r="A32" s="205" t="s">
        <v>119</v>
      </c>
      <c r="B32" s="207">
        <v>21224000.010000002</v>
      </c>
      <c r="C32" s="207">
        <v>23877000</v>
      </c>
      <c r="D32" s="51">
        <v>37141.83</v>
      </c>
      <c r="E32" s="207">
        <v>22261.84</v>
      </c>
      <c r="F32" s="207">
        <v>6327.05</v>
      </c>
      <c r="G32" s="207">
        <v>4330.51</v>
      </c>
      <c r="H32" s="207">
        <v>1171.68</v>
      </c>
      <c r="I32" s="207">
        <v>1527.86</v>
      </c>
      <c r="J32" s="207">
        <v>1068.57</v>
      </c>
      <c r="K32" s="206">
        <v>454.32</v>
      </c>
    </row>
    <row r="33" spans="1:11">
      <c r="A33" s="205" t="s">
        <v>120</v>
      </c>
      <c r="B33" s="207">
        <v>23877000.010000002</v>
      </c>
      <c r="C33" s="207">
        <v>26530000</v>
      </c>
      <c r="D33" s="51">
        <v>41346.82</v>
      </c>
      <c r="E33" s="207">
        <v>24782.19</v>
      </c>
      <c r="F33" s="207">
        <v>7043.36</v>
      </c>
      <c r="G33" s="207">
        <v>4820.79</v>
      </c>
      <c r="H33" s="207">
        <v>1304.33</v>
      </c>
      <c r="I33" s="207">
        <v>1700.84</v>
      </c>
      <c r="J33" s="207">
        <v>1189.55</v>
      </c>
      <c r="K33" s="206">
        <v>505.76</v>
      </c>
    </row>
    <row r="34" spans="1:11">
      <c r="A34" s="205" t="s">
        <v>121</v>
      </c>
      <c r="B34" s="207">
        <v>26530000.010000002</v>
      </c>
      <c r="C34" s="207">
        <v>29183000</v>
      </c>
      <c r="D34" s="51">
        <v>45551.78</v>
      </c>
      <c r="E34" s="207">
        <v>27302.54</v>
      </c>
      <c r="F34" s="207">
        <v>7759.67</v>
      </c>
      <c r="G34" s="207">
        <v>5311.06</v>
      </c>
      <c r="H34" s="207">
        <v>1436.98</v>
      </c>
      <c r="I34" s="207">
        <v>1873.82</v>
      </c>
      <c r="J34" s="207">
        <v>1310.52</v>
      </c>
      <c r="K34" s="206">
        <v>557.19000000000005</v>
      </c>
    </row>
    <row r="35" spans="1:11">
      <c r="A35" s="205" t="s">
        <v>122</v>
      </c>
      <c r="B35" s="207">
        <v>29183000.010000002</v>
      </c>
      <c r="C35" s="207">
        <v>31836000</v>
      </c>
      <c r="D35" s="51">
        <v>49756.76</v>
      </c>
      <c r="E35" s="207">
        <v>29822.89</v>
      </c>
      <c r="F35" s="207">
        <v>8475.98</v>
      </c>
      <c r="G35" s="207">
        <v>5801.34</v>
      </c>
      <c r="H35" s="207">
        <v>1569.63</v>
      </c>
      <c r="I35" s="207">
        <v>2046.79</v>
      </c>
      <c r="J35" s="207">
        <v>1431.5</v>
      </c>
      <c r="K35" s="206">
        <v>608.63</v>
      </c>
    </row>
    <row r="36" spans="1:11">
      <c r="A36" s="205" t="s">
        <v>123</v>
      </c>
      <c r="B36" s="207">
        <v>31836000.010000002</v>
      </c>
      <c r="C36" s="207">
        <v>34489000</v>
      </c>
      <c r="D36" s="51">
        <v>53961.74</v>
      </c>
      <c r="E36" s="207">
        <v>32343.24</v>
      </c>
      <c r="F36" s="207">
        <v>9192.2900000000009</v>
      </c>
      <c r="G36" s="207">
        <v>6291.61</v>
      </c>
      <c r="H36" s="207">
        <v>1702.28</v>
      </c>
      <c r="I36" s="207">
        <v>2219.77</v>
      </c>
      <c r="J36" s="207">
        <v>1552.48</v>
      </c>
      <c r="K36" s="206">
        <v>660.07</v>
      </c>
    </row>
    <row r="37" spans="1:11">
      <c r="A37" s="205" t="s">
        <v>124</v>
      </c>
      <c r="B37" s="207">
        <v>34489000.009999998</v>
      </c>
      <c r="C37" s="207">
        <v>37142000</v>
      </c>
      <c r="D37" s="51">
        <v>58166.69</v>
      </c>
      <c r="E37" s="207">
        <v>34863.589999999997</v>
      </c>
      <c r="F37" s="207">
        <v>9908.6</v>
      </c>
      <c r="G37" s="207">
        <v>6781.88</v>
      </c>
      <c r="H37" s="207">
        <v>1834.93</v>
      </c>
      <c r="I37" s="207">
        <v>2392.7399999999998</v>
      </c>
      <c r="J37" s="207">
        <v>1673.45</v>
      </c>
      <c r="K37" s="206">
        <v>711.5</v>
      </c>
    </row>
    <row r="38" spans="1:11">
      <c r="A38" s="205" t="s">
        <v>125</v>
      </c>
      <c r="B38" s="207">
        <v>37142000.009999998</v>
      </c>
      <c r="C38" s="207">
        <v>39795000</v>
      </c>
      <c r="D38" s="51">
        <v>62371.68</v>
      </c>
      <c r="E38" s="207">
        <v>37383.94</v>
      </c>
      <c r="F38" s="207">
        <v>10624.91</v>
      </c>
      <c r="G38" s="207">
        <v>7272.16</v>
      </c>
      <c r="H38" s="207">
        <v>1967.58</v>
      </c>
      <c r="I38" s="207">
        <v>2565.7199999999998</v>
      </c>
      <c r="J38" s="207">
        <v>1794.43</v>
      </c>
      <c r="K38" s="206">
        <v>762.94</v>
      </c>
    </row>
    <row r="39" spans="1:11">
      <c r="A39" s="205" t="s">
        <v>126</v>
      </c>
      <c r="B39" s="207">
        <v>39795000.009999998</v>
      </c>
      <c r="C39" s="207">
        <v>45101000</v>
      </c>
      <c r="D39" s="51">
        <v>68679.12</v>
      </c>
      <c r="E39" s="207">
        <v>41164.46</v>
      </c>
      <c r="F39" s="207">
        <v>11699.38</v>
      </c>
      <c r="G39" s="207">
        <v>8007.57</v>
      </c>
      <c r="H39" s="207">
        <v>2166.5500000000002</v>
      </c>
      <c r="I39" s="207">
        <v>2825.18</v>
      </c>
      <c r="J39" s="207">
        <v>1975.89</v>
      </c>
      <c r="K39" s="206">
        <v>840.09</v>
      </c>
    </row>
    <row r="40" spans="1:11">
      <c r="A40" s="205" t="s">
        <v>127</v>
      </c>
      <c r="B40" s="207">
        <v>45101000.009999998</v>
      </c>
      <c r="C40" s="207">
        <v>50407000</v>
      </c>
      <c r="D40" s="51">
        <v>77089.070000000007</v>
      </c>
      <c r="E40" s="207">
        <v>46205.16</v>
      </c>
      <c r="F40" s="207">
        <v>13132</v>
      </c>
      <c r="G40" s="207">
        <v>8988.1200000000008</v>
      </c>
      <c r="H40" s="207">
        <v>2431.85</v>
      </c>
      <c r="I40" s="207">
        <v>3171.13</v>
      </c>
      <c r="J40" s="207">
        <v>2217.85</v>
      </c>
      <c r="K40" s="206">
        <v>942.96</v>
      </c>
    </row>
    <row r="41" spans="1:11">
      <c r="A41" s="205" t="s">
        <v>128</v>
      </c>
      <c r="B41" s="207">
        <v>50407000.009999998</v>
      </c>
      <c r="C41" s="207">
        <v>55713000</v>
      </c>
      <c r="D41" s="51">
        <v>85499.01</v>
      </c>
      <c r="E41" s="207">
        <v>51245.86</v>
      </c>
      <c r="F41" s="207">
        <v>14564.62</v>
      </c>
      <c r="G41" s="207">
        <v>9968.67</v>
      </c>
      <c r="H41" s="207">
        <v>2697.15</v>
      </c>
      <c r="I41" s="207">
        <v>3517.08</v>
      </c>
      <c r="J41" s="207">
        <v>2459.8000000000002</v>
      </c>
      <c r="K41" s="207">
        <v>1045.83</v>
      </c>
    </row>
    <row r="42" spans="1:11">
      <c r="A42" s="205" t="s">
        <v>129</v>
      </c>
      <c r="B42" s="207">
        <v>55713000.009999998</v>
      </c>
      <c r="C42" s="207">
        <v>61019000</v>
      </c>
      <c r="D42" s="51">
        <v>93908.98</v>
      </c>
      <c r="E42" s="207">
        <v>56286.559999999998</v>
      </c>
      <c r="F42" s="207">
        <v>15997.24</v>
      </c>
      <c r="G42" s="207">
        <v>10949.22</v>
      </c>
      <c r="H42" s="207">
        <v>2962.45</v>
      </c>
      <c r="I42" s="207">
        <v>3863.04</v>
      </c>
      <c r="J42" s="207">
        <v>2701.76</v>
      </c>
      <c r="K42" s="207">
        <v>1148.71</v>
      </c>
    </row>
    <row r="43" spans="1:11">
      <c r="A43" s="205" t="s">
        <v>130</v>
      </c>
      <c r="B43" s="207">
        <v>61019000.009999998</v>
      </c>
      <c r="C43" s="207">
        <v>66325000</v>
      </c>
      <c r="D43" s="51">
        <v>102318.92</v>
      </c>
      <c r="E43" s="207">
        <v>61327.26</v>
      </c>
      <c r="F43" s="207">
        <v>17429.86</v>
      </c>
      <c r="G43" s="207">
        <v>11929.77</v>
      </c>
      <c r="H43" s="207">
        <v>3227.75</v>
      </c>
      <c r="I43" s="207">
        <v>4208.99</v>
      </c>
      <c r="J43" s="207">
        <v>2943.71</v>
      </c>
      <c r="K43" s="207">
        <v>1251.58</v>
      </c>
    </row>
    <row r="44" spans="1:11">
      <c r="A44" s="205" t="s">
        <v>131</v>
      </c>
      <c r="B44" s="207">
        <v>66325000.009999998</v>
      </c>
      <c r="C44" s="207">
        <v>71631000</v>
      </c>
      <c r="D44" s="51">
        <v>110728.85</v>
      </c>
      <c r="E44" s="207">
        <v>66367.960000000006</v>
      </c>
      <c r="F44" s="207">
        <v>18862.48</v>
      </c>
      <c r="G44" s="207">
        <v>12910.31</v>
      </c>
      <c r="H44" s="207">
        <v>3493.05</v>
      </c>
      <c r="I44" s="207">
        <v>4554.9399999999996</v>
      </c>
      <c r="J44" s="207">
        <v>3185.66</v>
      </c>
      <c r="K44" s="207">
        <v>1354.45</v>
      </c>
    </row>
    <row r="45" spans="1:11">
      <c r="A45" s="205" t="s">
        <v>132</v>
      </c>
      <c r="B45" s="207">
        <v>71631000.010000005</v>
      </c>
      <c r="C45" s="207">
        <v>76937000</v>
      </c>
      <c r="D45" s="51">
        <v>119138.8</v>
      </c>
      <c r="E45" s="207">
        <v>71408.66</v>
      </c>
      <c r="F45" s="207">
        <v>20295.099999999999</v>
      </c>
      <c r="G45" s="207">
        <v>13890.86</v>
      </c>
      <c r="H45" s="207">
        <v>3758.35</v>
      </c>
      <c r="I45" s="207">
        <v>4900.8900000000003</v>
      </c>
      <c r="J45" s="207">
        <v>3427.62</v>
      </c>
      <c r="K45" s="207">
        <v>1457.32</v>
      </c>
    </row>
    <row r="46" spans="1:11">
      <c r="A46" s="205" t="s">
        <v>133</v>
      </c>
      <c r="B46" s="207">
        <v>76937000.010000005</v>
      </c>
      <c r="C46" s="207">
        <v>82243000</v>
      </c>
      <c r="D46" s="51">
        <v>127548.74</v>
      </c>
      <c r="E46" s="207">
        <v>76449.36</v>
      </c>
      <c r="F46" s="207">
        <v>21727.72</v>
      </c>
      <c r="G46" s="207">
        <v>14871.41</v>
      </c>
      <c r="H46" s="207">
        <v>4023.65</v>
      </c>
      <c r="I46" s="207">
        <v>5246.84</v>
      </c>
      <c r="J46" s="207">
        <v>3669.57</v>
      </c>
      <c r="K46" s="207">
        <v>1560.19</v>
      </c>
    </row>
    <row r="47" spans="1:11">
      <c r="A47" s="205" t="s">
        <v>134</v>
      </c>
      <c r="B47" s="207">
        <v>82243000.010000005</v>
      </c>
      <c r="C47" s="207">
        <v>87549000</v>
      </c>
      <c r="D47" s="51">
        <v>135958.68</v>
      </c>
      <c r="E47" s="207">
        <v>81490.06</v>
      </c>
      <c r="F47" s="207">
        <v>23160.34</v>
      </c>
      <c r="G47" s="207">
        <v>15851.96</v>
      </c>
      <c r="H47" s="207">
        <v>4288.95</v>
      </c>
      <c r="I47" s="207">
        <v>5592.79</v>
      </c>
      <c r="J47" s="207">
        <v>3911.52</v>
      </c>
      <c r="K47" s="207">
        <v>1663.06</v>
      </c>
    </row>
    <row r="48" spans="1:11">
      <c r="A48" s="205" t="s">
        <v>135</v>
      </c>
      <c r="B48" s="207">
        <v>87549000.010000005</v>
      </c>
      <c r="C48" s="207">
        <v>92855000</v>
      </c>
      <c r="D48" s="51">
        <v>144368.63</v>
      </c>
      <c r="E48" s="207">
        <v>86530.76</v>
      </c>
      <c r="F48" s="207">
        <v>24592.959999999999</v>
      </c>
      <c r="G48" s="207">
        <v>16832.509999999998</v>
      </c>
      <c r="H48" s="207">
        <v>4554.25</v>
      </c>
      <c r="I48" s="207">
        <v>5938.74</v>
      </c>
      <c r="J48" s="207">
        <v>4153.4799999999996</v>
      </c>
      <c r="K48" s="207">
        <v>1765.93</v>
      </c>
    </row>
    <row r="49" spans="1:11">
      <c r="A49" s="205" t="s">
        <v>136</v>
      </c>
      <c r="B49" s="207">
        <v>92855000.010000005</v>
      </c>
      <c r="C49" s="207">
        <v>98161000</v>
      </c>
      <c r="D49" s="51">
        <v>152778.57999999999</v>
      </c>
      <c r="E49" s="207">
        <v>91571.46</v>
      </c>
      <c r="F49" s="207">
        <v>26025.58</v>
      </c>
      <c r="G49" s="207">
        <v>17813.060000000001</v>
      </c>
      <c r="H49" s="207">
        <v>4819.55</v>
      </c>
      <c r="I49" s="207">
        <v>6284.69</v>
      </c>
      <c r="J49" s="207">
        <v>4395.43</v>
      </c>
      <c r="K49" s="207">
        <v>1868.81</v>
      </c>
    </row>
    <row r="50" spans="1:11">
      <c r="A50" s="205" t="s">
        <v>137</v>
      </c>
      <c r="B50" s="207">
        <v>92855000.010000005</v>
      </c>
      <c r="C50" s="207">
        <v>100000000</v>
      </c>
      <c r="D50" s="51">
        <v>161678.39999999999</v>
      </c>
      <c r="E50" s="207">
        <v>96905.78</v>
      </c>
      <c r="F50" s="207">
        <v>27541.65</v>
      </c>
      <c r="G50" s="207">
        <v>18850.72</v>
      </c>
      <c r="H50" s="207">
        <v>5100.3</v>
      </c>
      <c r="I50" s="207">
        <v>6650.8</v>
      </c>
      <c r="J50" s="207">
        <v>4651.4799999999996</v>
      </c>
      <c r="K50" s="207">
        <v>1977.67</v>
      </c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7"/>
  <dimension ref="A1:G320"/>
  <sheetViews>
    <sheetView showGridLines="0" workbookViewId="0">
      <selection activeCell="E6" sqref="E6"/>
    </sheetView>
  </sheetViews>
  <sheetFormatPr defaultColWidth="8.77734375" defaultRowHeight="14.4"/>
  <cols>
    <col min="2" max="2" width="10.44140625" bestFit="1" customWidth="1"/>
    <col min="5" max="5" width="10.77734375" bestFit="1" customWidth="1"/>
  </cols>
  <sheetData>
    <row r="1" spans="1:7">
      <c r="A1" s="6" t="s">
        <v>66</v>
      </c>
      <c r="B1" s="6" t="s">
        <v>6</v>
      </c>
      <c r="E1" s="57"/>
      <c r="F1" s="5">
        <v>1</v>
      </c>
      <c r="G1" s="6" t="s">
        <v>144</v>
      </c>
    </row>
    <row r="2" spans="1:7">
      <c r="A2" s="6" t="s">
        <v>10</v>
      </c>
      <c r="B2" s="6" t="s">
        <v>144</v>
      </c>
      <c r="E2" s="57"/>
      <c r="F2" s="5">
        <v>2</v>
      </c>
      <c r="G2" s="6" t="s">
        <v>145</v>
      </c>
    </row>
    <row r="3" spans="1:7">
      <c r="B3" s="6" t="s">
        <v>145</v>
      </c>
      <c r="E3" s="57"/>
      <c r="F3" s="5">
        <f>F2+1</f>
        <v>3</v>
      </c>
      <c r="G3" s="6" t="s">
        <v>146</v>
      </c>
    </row>
    <row r="4" spans="1:7">
      <c r="B4" s="6" t="s">
        <v>146</v>
      </c>
      <c r="E4" s="57"/>
      <c r="F4" s="5">
        <f t="shared" ref="F4:F12" si="0">F3+1</f>
        <v>4</v>
      </c>
      <c r="G4" s="6" t="s">
        <v>147</v>
      </c>
    </row>
    <row r="5" spans="1:7">
      <c r="B5" s="6" t="s">
        <v>147</v>
      </c>
      <c r="E5" s="57"/>
      <c r="F5" s="5">
        <f t="shared" si="0"/>
        <v>5</v>
      </c>
      <c r="G5" s="6" t="s">
        <v>148</v>
      </c>
    </row>
    <row r="6" spans="1:7">
      <c r="B6" s="6" t="s">
        <v>148</v>
      </c>
      <c r="E6" s="57"/>
      <c r="F6" s="5">
        <f t="shared" si="0"/>
        <v>6</v>
      </c>
      <c r="G6" s="6" t="s">
        <v>149</v>
      </c>
    </row>
    <row r="7" spans="1:7">
      <c r="B7" s="6" t="s">
        <v>149</v>
      </c>
      <c r="E7" s="57"/>
      <c r="F7" s="5">
        <f t="shared" si="0"/>
        <v>7</v>
      </c>
      <c r="G7" s="6" t="s">
        <v>150</v>
      </c>
    </row>
    <row r="8" spans="1:7">
      <c r="B8" s="6" t="s">
        <v>150</v>
      </c>
      <c r="E8" s="57"/>
      <c r="F8" s="5">
        <f t="shared" si="0"/>
        <v>8</v>
      </c>
      <c r="G8" s="6" t="s">
        <v>151</v>
      </c>
    </row>
    <row r="9" spans="1:7">
      <c r="B9" s="6" t="s">
        <v>151</v>
      </c>
      <c r="E9" s="57"/>
      <c r="F9" s="5">
        <f t="shared" si="0"/>
        <v>9</v>
      </c>
      <c r="G9" s="6" t="s">
        <v>152</v>
      </c>
    </row>
    <row r="10" spans="1:7">
      <c r="B10" s="6" t="s">
        <v>152</v>
      </c>
      <c r="E10" s="57"/>
      <c r="F10" s="5">
        <f t="shared" si="0"/>
        <v>10</v>
      </c>
      <c r="G10" s="6" t="s">
        <v>153</v>
      </c>
    </row>
    <row r="11" spans="1:7">
      <c r="B11" s="6" t="s">
        <v>153</v>
      </c>
      <c r="E11" s="57"/>
      <c r="F11" s="5">
        <f t="shared" si="0"/>
        <v>11</v>
      </c>
      <c r="G11" s="6" t="s">
        <v>154</v>
      </c>
    </row>
    <row r="12" spans="1:7">
      <c r="B12" s="6" t="s">
        <v>154</v>
      </c>
      <c r="E12" s="57"/>
      <c r="F12" s="5">
        <f t="shared" si="0"/>
        <v>12</v>
      </c>
      <c r="G12" s="6" t="s">
        <v>155</v>
      </c>
    </row>
    <row r="13" spans="1:7">
      <c r="B13" s="6" t="s">
        <v>155</v>
      </c>
      <c r="E13" s="57"/>
      <c r="F13" s="5" t="str">
        <f>LEFT(E13,3)</f>
        <v/>
      </c>
      <c r="G13" s="5"/>
    </row>
    <row r="14" spans="1:7">
      <c r="E14" s="57"/>
      <c r="F14" s="5" t="str">
        <f>LEFT(E14,3)</f>
        <v/>
      </c>
      <c r="G14" s="5"/>
    </row>
    <row r="15" spans="1:7">
      <c r="E15" s="58"/>
    </row>
    <row r="16" spans="1:7">
      <c r="E16" s="58"/>
    </row>
    <row r="17" spans="5:5">
      <c r="E17" s="58"/>
    </row>
    <row r="18" spans="5:5">
      <c r="E18" s="58"/>
    </row>
    <row r="19" spans="5:5">
      <c r="E19" s="58"/>
    </row>
    <row r="20" spans="5:5">
      <c r="E20" s="58"/>
    </row>
    <row r="21" spans="5:5">
      <c r="E21" s="58"/>
    </row>
    <row r="22" spans="5:5">
      <c r="E22" s="58"/>
    </row>
    <row r="23" spans="5:5">
      <c r="E23" s="58"/>
    </row>
    <row r="24" spans="5:5">
      <c r="E24" s="58"/>
    </row>
    <row r="25" spans="5:5">
      <c r="E25" s="58"/>
    </row>
    <row r="26" spans="5:5">
      <c r="E26" s="58"/>
    </row>
    <row r="27" spans="5:5">
      <c r="E27" s="58"/>
    </row>
    <row r="28" spans="5:5">
      <c r="E28" s="58"/>
    </row>
    <row r="29" spans="5:5">
      <c r="E29" s="58"/>
    </row>
    <row r="30" spans="5:5">
      <c r="E30" s="58"/>
    </row>
    <row r="31" spans="5:5">
      <c r="E31" s="58"/>
    </row>
    <row r="32" spans="5:5">
      <c r="E32" s="58"/>
    </row>
    <row r="33" spans="5:5">
      <c r="E33" s="58"/>
    </row>
    <row r="34" spans="5:5">
      <c r="E34" s="58"/>
    </row>
    <row r="35" spans="5:5">
      <c r="E35" s="58"/>
    </row>
    <row r="36" spans="5:5">
      <c r="E36" s="58"/>
    </row>
    <row r="37" spans="5:5">
      <c r="E37" s="58"/>
    </row>
    <row r="38" spans="5:5">
      <c r="E38" s="58"/>
    </row>
    <row r="39" spans="5:5">
      <c r="E39" s="58"/>
    </row>
    <row r="40" spans="5:5">
      <c r="E40" s="58"/>
    </row>
    <row r="41" spans="5:5">
      <c r="E41" s="58"/>
    </row>
    <row r="42" spans="5:5">
      <c r="E42" s="58"/>
    </row>
    <row r="43" spans="5:5">
      <c r="E43" s="58"/>
    </row>
    <row r="44" spans="5:5">
      <c r="E44" s="58"/>
    </row>
    <row r="45" spans="5:5">
      <c r="E45" s="58"/>
    </row>
    <row r="46" spans="5:5">
      <c r="E46" s="58"/>
    </row>
    <row r="47" spans="5:5">
      <c r="E47" s="58"/>
    </row>
    <row r="48" spans="5:5">
      <c r="E48" s="58"/>
    </row>
    <row r="49" spans="5:5">
      <c r="E49" s="58"/>
    </row>
    <row r="50" spans="5:5">
      <c r="E50" s="58"/>
    </row>
    <row r="51" spans="5:5">
      <c r="E51" s="58"/>
    </row>
    <row r="52" spans="5:5">
      <c r="E52" s="58"/>
    </row>
    <row r="53" spans="5:5">
      <c r="E53" s="58"/>
    </row>
    <row r="54" spans="5:5">
      <c r="E54" s="58"/>
    </row>
    <row r="55" spans="5:5">
      <c r="E55" s="58"/>
    </row>
    <row r="56" spans="5:5">
      <c r="E56" s="58"/>
    </row>
    <row r="57" spans="5:5">
      <c r="E57" s="58"/>
    </row>
    <row r="58" spans="5:5">
      <c r="E58" s="58"/>
    </row>
    <row r="59" spans="5:5">
      <c r="E59" s="58"/>
    </row>
    <row r="60" spans="5:5">
      <c r="E60" s="58"/>
    </row>
    <row r="61" spans="5:5">
      <c r="E61" s="58"/>
    </row>
    <row r="62" spans="5:5">
      <c r="E62" s="58"/>
    </row>
    <row r="63" spans="5:5">
      <c r="E63" s="58"/>
    </row>
    <row r="64" spans="5:5">
      <c r="E64" s="58"/>
    </row>
    <row r="65" spans="5:5">
      <c r="E65" s="58"/>
    </row>
    <row r="66" spans="5:5">
      <c r="E66" s="58"/>
    </row>
    <row r="67" spans="5:5">
      <c r="E67" s="58"/>
    </row>
    <row r="68" spans="5:5">
      <c r="E68" s="58"/>
    </row>
    <row r="69" spans="5:5">
      <c r="E69" s="58"/>
    </row>
    <row r="70" spans="5:5">
      <c r="E70" s="58"/>
    </row>
    <row r="71" spans="5:5">
      <c r="E71" s="58"/>
    </row>
    <row r="72" spans="5:5">
      <c r="E72" s="58"/>
    </row>
    <row r="73" spans="5:5">
      <c r="E73" s="58"/>
    </row>
    <row r="74" spans="5:5">
      <c r="E74" s="58"/>
    </row>
    <row r="75" spans="5:5">
      <c r="E75" s="58"/>
    </row>
    <row r="76" spans="5:5">
      <c r="E76" s="58"/>
    </row>
    <row r="77" spans="5:5">
      <c r="E77" s="58"/>
    </row>
    <row r="78" spans="5:5">
      <c r="E78" s="58"/>
    </row>
    <row r="79" spans="5:5">
      <c r="E79" s="58"/>
    </row>
    <row r="80" spans="5:5">
      <c r="E80" s="58"/>
    </row>
    <row r="81" spans="5:5">
      <c r="E81" s="58"/>
    </row>
    <row r="82" spans="5:5">
      <c r="E82" s="58"/>
    </row>
    <row r="83" spans="5:5">
      <c r="E83" s="58"/>
    </row>
    <row r="84" spans="5:5">
      <c r="E84" s="58"/>
    </row>
    <row r="85" spans="5:5">
      <c r="E85" s="58"/>
    </row>
    <row r="86" spans="5:5">
      <c r="E86" s="58"/>
    </row>
    <row r="87" spans="5:5">
      <c r="E87" s="58"/>
    </row>
    <row r="88" spans="5:5">
      <c r="E88" s="58"/>
    </row>
    <row r="89" spans="5:5">
      <c r="E89" s="58"/>
    </row>
    <row r="90" spans="5:5">
      <c r="E90" s="58"/>
    </row>
    <row r="91" spans="5:5">
      <c r="E91" s="58"/>
    </row>
    <row r="92" spans="5:5">
      <c r="E92" s="58"/>
    </row>
    <row r="93" spans="5:5">
      <c r="E93" s="58"/>
    </row>
    <row r="94" spans="5:5">
      <c r="E94" s="58"/>
    </row>
    <row r="95" spans="5:5">
      <c r="E95" s="58"/>
    </row>
    <row r="96" spans="5:5">
      <c r="E96" s="58"/>
    </row>
    <row r="97" spans="5:5">
      <c r="E97" s="58"/>
    </row>
    <row r="98" spans="5:5">
      <c r="E98" s="58"/>
    </row>
    <row r="99" spans="5:5">
      <c r="E99" s="58"/>
    </row>
    <row r="100" spans="5:5">
      <c r="E100" s="58"/>
    </row>
    <row r="101" spans="5:5">
      <c r="E101" s="58"/>
    </row>
    <row r="102" spans="5:5">
      <c r="E102" s="58"/>
    </row>
    <row r="103" spans="5:5">
      <c r="E103" s="58"/>
    </row>
    <row r="104" spans="5:5">
      <c r="E104" s="58"/>
    </row>
    <row r="105" spans="5:5">
      <c r="E105" s="58"/>
    </row>
    <row r="106" spans="5:5">
      <c r="E106" s="58"/>
    </row>
    <row r="107" spans="5:5">
      <c r="E107" s="58"/>
    </row>
    <row r="108" spans="5:5">
      <c r="E108" s="58"/>
    </row>
    <row r="109" spans="5:5">
      <c r="E109" s="58"/>
    </row>
    <row r="110" spans="5:5">
      <c r="E110" s="58"/>
    </row>
    <row r="111" spans="5:5">
      <c r="E111" s="58"/>
    </row>
    <row r="112" spans="5:5">
      <c r="E112" s="58"/>
    </row>
    <row r="113" spans="5:5">
      <c r="E113" s="58"/>
    </row>
    <row r="114" spans="5:5">
      <c r="E114" s="58"/>
    </row>
    <row r="115" spans="5:5">
      <c r="E115" s="58"/>
    </row>
    <row r="116" spans="5:5">
      <c r="E116" s="58"/>
    </row>
    <row r="117" spans="5:5">
      <c r="E117" s="58"/>
    </row>
    <row r="118" spans="5:5">
      <c r="E118" s="58"/>
    </row>
    <row r="119" spans="5:5">
      <c r="E119" s="58"/>
    </row>
    <row r="120" spans="5:5">
      <c r="E120" s="58"/>
    </row>
    <row r="121" spans="5:5">
      <c r="E121" s="58"/>
    </row>
    <row r="122" spans="5:5">
      <c r="E122" s="58"/>
    </row>
    <row r="123" spans="5:5">
      <c r="E123" s="58"/>
    </row>
    <row r="124" spans="5:5">
      <c r="E124" s="58"/>
    </row>
    <row r="125" spans="5:5">
      <c r="E125" s="58"/>
    </row>
    <row r="126" spans="5:5">
      <c r="E126" s="58"/>
    </row>
    <row r="127" spans="5:5">
      <c r="E127" s="58"/>
    </row>
    <row r="128" spans="5:5">
      <c r="E128" s="58"/>
    </row>
    <row r="129" spans="5:5">
      <c r="E129" s="58"/>
    </row>
    <row r="130" spans="5:5">
      <c r="E130" s="58"/>
    </row>
    <row r="131" spans="5:5">
      <c r="E131" s="58"/>
    </row>
    <row r="132" spans="5:5">
      <c r="E132" s="58"/>
    </row>
    <row r="133" spans="5:5">
      <c r="E133" s="58"/>
    </row>
    <row r="134" spans="5:5">
      <c r="E134" s="58"/>
    </row>
    <row r="135" spans="5:5">
      <c r="E135" s="58"/>
    </row>
    <row r="136" spans="5:5">
      <c r="E136" s="58"/>
    </row>
    <row r="137" spans="5:5">
      <c r="E137" s="58"/>
    </row>
    <row r="138" spans="5:5">
      <c r="E138" s="58"/>
    </row>
    <row r="139" spans="5:5">
      <c r="E139" s="58"/>
    </row>
    <row r="140" spans="5:5">
      <c r="E140" s="58"/>
    </row>
    <row r="141" spans="5:5">
      <c r="E141" s="58"/>
    </row>
    <row r="142" spans="5:5">
      <c r="E142" s="58"/>
    </row>
    <row r="143" spans="5:5">
      <c r="E143" s="58"/>
    </row>
    <row r="144" spans="5:5">
      <c r="E144" s="58"/>
    </row>
    <row r="145" spans="5:5">
      <c r="E145" s="58"/>
    </row>
    <row r="146" spans="5:5">
      <c r="E146" s="58"/>
    </row>
    <row r="147" spans="5:5">
      <c r="E147" s="58"/>
    </row>
    <row r="148" spans="5:5">
      <c r="E148" s="58"/>
    </row>
    <row r="149" spans="5:5">
      <c r="E149" s="58"/>
    </row>
    <row r="150" spans="5:5">
      <c r="E150" s="58"/>
    </row>
    <row r="151" spans="5:5">
      <c r="E151" s="58"/>
    </row>
    <row r="152" spans="5:5">
      <c r="E152" s="58"/>
    </row>
    <row r="153" spans="5:5">
      <c r="E153" s="58"/>
    </row>
    <row r="154" spans="5:5">
      <c r="E154" s="58"/>
    </row>
    <row r="155" spans="5:5">
      <c r="E155" s="58"/>
    </row>
    <row r="156" spans="5:5">
      <c r="E156" s="58"/>
    </row>
    <row r="157" spans="5:5">
      <c r="E157" s="58"/>
    </row>
    <row r="158" spans="5:5">
      <c r="E158" s="58"/>
    </row>
    <row r="159" spans="5:5">
      <c r="E159" s="58"/>
    </row>
    <row r="160" spans="5:5">
      <c r="E160" s="58"/>
    </row>
    <row r="161" spans="5:5">
      <c r="E161" s="58"/>
    </row>
    <row r="162" spans="5:5">
      <c r="E162" s="58"/>
    </row>
    <row r="163" spans="5:5">
      <c r="E163" s="58"/>
    </row>
    <row r="164" spans="5:5">
      <c r="E164" s="58"/>
    </row>
    <row r="165" spans="5:5">
      <c r="E165" s="58"/>
    </row>
    <row r="166" spans="5:5">
      <c r="E166" s="58"/>
    </row>
    <row r="167" spans="5:5">
      <c r="E167" s="58"/>
    </row>
    <row r="168" spans="5:5">
      <c r="E168" s="58"/>
    </row>
    <row r="169" spans="5:5">
      <c r="E169" s="58"/>
    </row>
    <row r="170" spans="5:5">
      <c r="E170" s="58"/>
    </row>
    <row r="171" spans="5:5">
      <c r="E171" s="58"/>
    </row>
    <row r="172" spans="5:5">
      <c r="E172" s="58"/>
    </row>
    <row r="173" spans="5:5">
      <c r="E173" s="58"/>
    </row>
    <row r="174" spans="5:5">
      <c r="E174" s="58"/>
    </row>
    <row r="175" spans="5:5">
      <c r="E175" s="58"/>
    </row>
    <row r="176" spans="5:5">
      <c r="E176" s="58"/>
    </row>
    <row r="177" spans="5:5">
      <c r="E177" s="58"/>
    </row>
    <row r="178" spans="5:5">
      <c r="E178" s="58"/>
    </row>
    <row r="179" spans="5:5">
      <c r="E179" s="58"/>
    </row>
    <row r="180" spans="5:5">
      <c r="E180" s="58"/>
    </row>
    <row r="181" spans="5:5">
      <c r="E181" s="58"/>
    </row>
    <row r="182" spans="5:5">
      <c r="E182" s="58"/>
    </row>
    <row r="183" spans="5:5">
      <c r="E183" s="58"/>
    </row>
    <row r="184" spans="5:5">
      <c r="E184" s="58"/>
    </row>
    <row r="185" spans="5:5">
      <c r="E185" s="58"/>
    </row>
    <row r="186" spans="5:5">
      <c r="E186" s="58"/>
    </row>
    <row r="187" spans="5:5">
      <c r="E187" s="58"/>
    </row>
    <row r="188" spans="5:5">
      <c r="E188" s="58"/>
    </row>
    <row r="189" spans="5:5">
      <c r="E189" s="58"/>
    </row>
    <row r="190" spans="5:5">
      <c r="E190" s="58"/>
    </row>
    <row r="191" spans="5:5">
      <c r="E191" s="58"/>
    </row>
    <row r="192" spans="5:5">
      <c r="E192" s="58"/>
    </row>
    <row r="193" spans="5:5">
      <c r="E193" s="58"/>
    </row>
    <row r="194" spans="5:5">
      <c r="E194" s="58"/>
    </row>
    <row r="195" spans="5:5">
      <c r="E195" s="58"/>
    </row>
    <row r="196" spans="5:5">
      <c r="E196" s="58"/>
    </row>
    <row r="197" spans="5:5">
      <c r="E197" s="58"/>
    </row>
    <row r="198" spans="5:5">
      <c r="E198" s="58"/>
    </row>
    <row r="199" spans="5:5">
      <c r="E199" s="58"/>
    </row>
    <row r="200" spans="5:5">
      <c r="E200" s="58"/>
    </row>
    <row r="201" spans="5:5">
      <c r="E201" s="58"/>
    </row>
    <row r="202" spans="5:5">
      <c r="E202" s="58"/>
    </row>
    <row r="203" spans="5:5">
      <c r="E203" s="58"/>
    </row>
    <row r="204" spans="5:5">
      <c r="E204" s="58"/>
    </row>
    <row r="205" spans="5:5">
      <c r="E205" s="58"/>
    </row>
    <row r="206" spans="5:5">
      <c r="E206" s="58"/>
    </row>
    <row r="207" spans="5:5">
      <c r="E207" s="58"/>
    </row>
    <row r="208" spans="5:5">
      <c r="E208" s="58"/>
    </row>
    <row r="209" spans="5:5">
      <c r="E209" s="58"/>
    </row>
    <row r="210" spans="5:5">
      <c r="E210" s="58"/>
    </row>
    <row r="211" spans="5:5">
      <c r="E211" s="58"/>
    </row>
    <row r="212" spans="5:5">
      <c r="E212" s="58"/>
    </row>
    <row r="213" spans="5:5">
      <c r="E213" s="58"/>
    </row>
    <row r="214" spans="5:5">
      <c r="E214" s="58"/>
    </row>
    <row r="215" spans="5:5">
      <c r="E215" s="58"/>
    </row>
    <row r="216" spans="5:5">
      <c r="E216" s="58"/>
    </row>
    <row r="217" spans="5:5">
      <c r="E217" s="58"/>
    </row>
    <row r="218" spans="5:5">
      <c r="E218" s="58"/>
    </row>
    <row r="219" spans="5:5">
      <c r="E219" s="58"/>
    </row>
    <row r="220" spans="5:5">
      <c r="E220" s="58"/>
    </row>
    <row r="221" spans="5:5">
      <c r="E221" s="58"/>
    </row>
    <row r="222" spans="5:5">
      <c r="E222" s="58"/>
    </row>
    <row r="223" spans="5:5">
      <c r="E223" s="58"/>
    </row>
    <row r="224" spans="5:5">
      <c r="E224" s="58"/>
    </row>
    <row r="225" spans="5:5">
      <c r="E225" s="58"/>
    </row>
    <row r="226" spans="5:5">
      <c r="E226" s="58"/>
    </row>
    <row r="227" spans="5:5">
      <c r="E227" s="58"/>
    </row>
    <row r="228" spans="5:5">
      <c r="E228" s="58"/>
    </row>
    <row r="229" spans="5:5">
      <c r="E229" s="58"/>
    </row>
    <row r="230" spans="5:5">
      <c r="E230" s="58"/>
    </row>
    <row r="231" spans="5:5">
      <c r="E231" s="58"/>
    </row>
    <row r="232" spans="5:5">
      <c r="E232" s="58"/>
    </row>
    <row r="233" spans="5:5">
      <c r="E233" s="58"/>
    </row>
    <row r="234" spans="5:5">
      <c r="E234" s="58"/>
    </row>
    <row r="235" spans="5:5">
      <c r="E235" s="58"/>
    </row>
    <row r="236" spans="5:5">
      <c r="E236" s="58"/>
    </row>
    <row r="237" spans="5:5">
      <c r="E237" s="58"/>
    </row>
    <row r="238" spans="5:5">
      <c r="E238" s="58"/>
    </row>
    <row r="239" spans="5:5">
      <c r="E239" s="58"/>
    </row>
    <row r="240" spans="5:5">
      <c r="E240" s="58"/>
    </row>
    <row r="241" spans="5:5">
      <c r="E241" s="58"/>
    </row>
    <row r="242" spans="5:5">
      <c r="E242" s="58"/>
    </row>
    <row r="243" spans="5:5">
      <c r="E243" s="58"/>
    </row>
    <row r="244" spans="5:5">
      <c r="E244" s="58"/>
    </row>
    <row r="245" spans="5:5">
      <c r="E245" s="58"/>
    </row>
    <row r="246" spans="5:5">
      <c r="E246" s="58"/>
    </row>
    <row r="247" spans="5:5">
      <c r="E247" s="58"/>
    </row>
    <row r="248" spans="5:5">
      <c r="E248" s="58"/>
    </row>
    <row r="249" spans="5:5">
      <c r="E249" s="58"/>
    </row>
    <row r="250" spans="5:5">
      <c r="E250" s="58"/>
    </row>
    <row r="251" spans="5:5">
      <c r="E251" s="58"/>
    </row>
    <row r="252" spans="5:5">
      <c r="E252" s="58"/>
    </row>
    <row r="253" spans="5:5">
      <c r="E253" s="58"/>
    </row>
    <row r="254" spans="5:5">
      <c r="E254" s="58"/>
    </row>
    <row r="255" spans="5:5">
      <c r="E255" s="58"/>
    </row>
    <row r="256" spans="5:5">
      <c r="E256" s="58"/>
    </row>
    <row r="257" spans="5:5">
      <c r="E257" s="58"/>
    </row>
    <row r="258" spans="5:5">
      <c r="E258" s="58"/>
    </row>
    <row r="259" spans="5:5">
      <c r="E259" s="58"/>
    </row>
    <row r="260" spans="5:5">
      <c r="E260" s="58"/>
    </row>
    <row r="261" spans="5:5">
      <c r="E261" s="58"/>
    </row>
    <row r="262" spans="5:5">
      <c r="E262" s="58"/>
    </row>
    <row r="263" spans="5:5">
      <c r="E263" s="58"/>
    </row>
    <row r="264" spans="5:5">
      <c r="E264" s="58"/>
    </row>
    <row r="265" spans="5:5">
      <c r="E265" s="58"/>
    </row>
    <row r="266" spans="5:5">
      <c r="E266" s="58"/>
    </row>
    <row r="267" spans="5:5">
      <c r="E267" s="58"/>
    </row>
    <row r="268" spans="5:5">
      <c r="E268" s="58"/>
    </row>
    <row r="269" spans="5:5">
      <c r="E269" s="58"/>
    </row>
    <row r="270" spans="5:5">
      <c r="E270" s="58"/>
    </row>
    <row r="271" spans="5:5">
      <c r="E271" s="58"/>
    </row>
    <row r="272" spans="5:5">
      <c r="E272" s="58"/>
    </row>
    <row r="273" spans="5:5">
      <c r="E273" s="58"/>
    </row>
    <row r="274" spans="5:5">
      <c r="E274" s="58"/>
    </row>
    <row r="275" spans="5:5">
      <c r="E275" s="58"/>
    </row>
    <row r="276" spans="5:5">
      <c r="E276" s="58"/>
    </row>
    <row r="277" spans="5:5">
      <c r="E277" s="58"/>
    </row>
    <row r="278" spans="5:5">
      <c r="E278" s="58"/>
    </row>
    <row r="279" spans="5:5">
      <c r="E279" s="58"/>
    </row>
    <row r="280" spans="5:5">
      <c r="E280" s="58"/>
    </row>
    <row r="281" spans="5:5">
      <c r="E281" s="58"/>
    </row>
    <row r="282" spans="5:5">
      <c r="E282" s="58"/>
    </row>
    <row r="283" spans="5:5">
      <c r="E283" s="58"/>
    </row>
    <row r="284" spans="5:5">
      <c r="E284" s="58"/>
    </row>
    <row r="285" spans="5:5">
      <c r="E285" s="58"/>
    </row>
    <row r="286" spans="5:5">
      <c r="E286" s="58"/>
    </row>
    <row r="287" spans="5:5">
      <c r="E287" s="58"/>
    </row>
    <row r="288" spans="5:5">
      <c r="E288" s="58"/>
    </row>
    <row r="289" spans="5:5">
      <c r="E289" s="58"/>
    </row>
    <row r="290" spans="5:5">
      <c r="E290" s="58"/>
    </row>
    <row r="291" spans="5:5">
      <c r="E291" s="58"/>
    </row>
    <row r="292" spans="5:5">
      <c r="E292" s="58"/>
    </row>
    <row r="293" spans="5:5">
      <c r="E293" s="58"/>
    </row>
    <row r="294" spans="5:5">
      <c r="E294" s="58"/>
    </row>
    <row r="295" spans="5:5">
      <c r="E295" s="58"/>
    </row>
    <row r="296" spans="5:5">
      <c r="E296" s="58"/>
    </row>
    <row r="297" spans="5:5">
      <c r="E297" s="58"/>
    </row>
    <row r="298" spans="5:5">
      <c r="E298" s="58"/>
    </row>
    <row r="299" spans="5:5">
      <c r="E299" s="58"/>
    </row>
    <row r="300" spans="5:5">
      <c r="E300" s="58"/>
    </row>
    <row r="301" spans="5:5">
      <c r="E301" s="58"/>
    </row>
    <row r="302" spans="5:5">
      <c r="E302" s="58"/>
    </row>
    <row r="303" spans="5:5">
      <c r="E303" s="58"/>
    </row>
    <row r="304" spans="5:5">
      <c r="E304" s="58"/>
    </row>
    <row r="305" spans="5:5">
      <c r="E305" s="58"/>
    </row>
    <row r="306" spans="5:5">
      <c r="E306" s="58"/>
    </row>
    <row r="307" spans="5:5">
      <c r="E307" s="58"/>
    </row>
    <row r="308" spans="5:5">
      <c r="E308" s="58"/>
    </row>
    <row r="309" spans="5:5">
      <c r="E309" s="58"/>
    </row>
    <row r="310" spans="5:5">
      <c r="E310" s="58"/>
    </row>
    <row r="311" spans="5:5">
      <c r="E311" s="58"/>
    </row>
    <row r="312" spans="5:5">
      <c r="E312" s="58"/>
    </row>
    <row r="313" spans="5:5">
      <c r="E313" s="58"/>
    </row>
    <row r="314" spans="5:5">
      <c r="E314" s="58"/>
    </row>
    <row r="315" spans="5:5">
      <c r="E315" s="58"/>
    </row>
    <row r="316" spans="5:5">
      <c r="E316" s="58"/>
    </row>
    <row r="317" spans="5:5">
      <c r="E317" s="58"/>
    </row>
    <row r="318" spans="5:5">
      <c r="E318" s="58"/>
    </row>
    <row r="319" spans="5:5">
      <c r="E319" s="58"/>
    </row>
    <row r="320" spans="5:5">
      <c r="E320" s="58"/>
    </row>
  </sheetData>
  <dataConsolidate/>
  <pageMargins left="0.7" right="0.7" top="0.75" bottom="0.75" header="0.3" footer="0.3"/>
  <pageSetup paperSize="9"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A56F609-B2DE-4B35-83C4-B097E0F41DF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7</vt:i4>
      </vt:variant>
    </vt:vector>
  </HeadingPairs>
  <TitlesOfParts>
    <vt:vector size="19" baseType="lpstr">
      <vt:lpstr>Graficos</vt:lpstr>
      <vt:lpstr>Sim_SAC</vt:lpstr>
      <vt:lpstr>Sim_PRICE</vt:lpstr>
      <vt:lpstr>Contrato</vt:lpstr>
      <vt:lpstr>Simulador PDF</vt:lpstr>
      <vt:lpstr>Resumo</vt:lpstr>
      <vt:lpstr>RENDA</vt:lpstr>
      <vt:lpstr>Avaliacao</vt:lpstr>
      <vt:lpstr>Rating</vt:lpstr>
      <vt:lpstr>Relatório</vt:lpstr>
      <vt:lpstr>Registros</vt:lpstr>
      <vt:lpstr>Sheet2</vt:lpstr>
      <vt:lpstr>Sim_PRICE!Area_de_impressao</vt:lpstr>
      <vt:lpstr>Sim_SAC!Area_de_impressao</vt:lpstr>
      <vt:lpstr>'Simulador PDF'!Area_de_impressao</vt:lpstr>
      <vt:lpstr>Dívida</vt:lpstr>
      <vt:lpstr>Divida2</vt:lpstr>
      <vt:lpstr>Não</vt:lpstr>
      <vt:lpstr>tabeladeaprovados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Pin Ferronato</dc:creator>
  <cp:lastModifiedBy>Murillo Marinho Leão da Silva</cp:lastModifiedBy>
  <cp:lastPrinted>2022-06-23T19:31:08Z</cp:lastPrinted>
  <dcterms:created xsi:type="dcterms:W3CDTF">2019-03-13T21:51:35Z</dcterms:created>
  <dcterms:modified xsi:type="dcterms:W3CDTF">2022-06-24T18:47:44Z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 id">
    <vt:lpwstr>476b722a-c1ba-4590-ad09-a6f101af4247</vt:lpwstr>
  </property>
  <property fmtid="{D5CDD505-2E9C-101B-9397-08002B2CF9AE}" pid="3" name="Workbook type">
    <vt:lpwstr>Custom</vt:lpwstr>
  </property>
  <property fmtid="{D5CDD505-2E9C-101B-9397-08002B2CF9AE}" pid="4" name="Workbook version">
    <vt:lpwstr>Custom</vt:lpwstr>
  </property>
</Properties>
</file>